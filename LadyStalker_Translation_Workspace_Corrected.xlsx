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acbbf55994b4dcc" /></Relationships>
</file>

<file path=xl/workbook.xml><?xml version="1.0" encoding="utf-8"?>
<x:workbook xmlns:x="http://schemas.openxmlformats.org/spreadsheetml/2006/main">
  <x:sheets>
    <x:sheet xmlns:r="http://schemas.openxmlformats.org/officeDocument/2006/relationships" name="Dialogue" sheetId="1" r:id="Ref121d7581c14308"/>
    <x:sheet xmlns:r="http://schemas.openxmlformats.org/officeDocument/2006/relationships" name="Lookups" sheetId="2" r:id="Rc96b70afab6d47bf"/>
    <x:sheet xmlns:r="http://schemas.openxmlformats.org/officeDocument/2006/relationships" name="Glyph Corrections" sheetId="3" r:id="R2a2cc2f438eb4bd9"/>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
    <x:numFmt numFmtId="201" formatCode="0"/>
  </x:numFmts>
  <x:fonts count="9">
    <x:font>
      <x:sz val="11"/>
      <x:name val="Carlito"/>
    </x:font>
    <x:font>
      <x:sz val="10"/>
      <x:name val="Arial"/>
    </x:font>
    <x:font>
      <x:b/>
      <x:sz val="10"/>
      <x:color rgb="FFFFFFFF"/>
      <x:name val="Arial"/>
    </x:font>
    <x:font>
      <x:sz val="10"/>
      <x:name val="Yu Gothic"/>
    </x:font>
    <x:font>
      <x:sz val="9"/>
      <x:color rgb="FF4D4D4D"/>
      <x:name val="Consolas"/>
    </x:font>
    <x:font>
      <x:b/>
      <x:sz val="14"/>
      <x:color rgb="FFFFFFFF"/>
      <x:name val="Arial"/>
    </x:font>
    <x:font>
      <x:sz val="10"/>
      <x:color rgb="FF1F1F1F"/>
      <x:name val="Arial"/>
    </x:font>
    <x:font>
      <x:sz val="11"/>
      <x:name val="Arial"/>
    </x:font>
    <x:font>
      <x:sz val="11"/>
      <x:name val="Yu Gothic"/>
    </x:font>
  </x:fonts>
  <x:fills count="7">
    <x:fill>
      <x:patternFill patternType="none"/>
    </x:fill>
    <x:fill>
      <x:patternFill patternType="gray125"/>
    </x:fill>
    <x:fill>
      <x:patternFill patternType="solid">
        <x:fgColor rgb="FF17365D"/>
      </x:patternFill>
    </x:fill>
    <x:fill>
      <x:patternFill patternType="solid">
        <x:fgColor rgb="FFFFF2CC"/>
      </x:patternFill>
    </x:fill>
    <x:fill>
      <x:patternFill patternType="solid">
        <x:fgColor rgb="FFEAF2F8"/>
      </x:patternFill>
    </x:fill>
    <x:fill>
      <x:patternFill patternType="solid">
        <x:fgColor rgb="FFE2F0D9"/>
      </x:patternFill>
    </x:fill>
    <x:fill>
      <x:patternFill patternType="solid">
        <x:fgColor rgb="FF5B9BD5"/>
      </x:patternFill>
    </x:fill>
  </x:fills>
  <x:borders count="13">
    <x:border/>
    <x:border>
      <x:left style="thin">
        <x:color rgb="FF0F243E"/>
      </x:left>
      <x:top style="thin">
        <x:color rgb="FF0F243E"/>
      </x:top>
      <x:bottom style="thin">
        <x:color rgb="FF0F243E"/>
      </x:bottom>
    </x:border>
    <x:border>
      <x:top style="thin">
        <x:color rgb="FF0F243E"/>
      </x:top>
      <x:bottom style="thin">
        <x:color rgb="FF0F243E"/>
      </x:bottom>
    </x:border>
    <x:border>
      <x:right style="thin">
        <x:color rgb="FF0F243E"/>
      </x:right>
      <x:top style="thin">
        <x:color rgb="FF0F243E"/>
      </x:top>
      <x:bottom style="thin">
        <x:color rgb="FF0F243E"/>
      </x:bottom>
    </x:border>
    <x:border>
      <x:right style="thin">
        <x:color rgb="FFD9E2F3"/>
      </x:right>
      <x:bottom style="thin">
        <x:color rgb="FFD9E2F3"/>
      </x:bottom>
    </x:border>
    <x:border>
      <x:left style="thin">
        <x:color rgb="FFD9E2F3"/>
      </x:left>
      <x:right style="thin">
        <x:color rgb="FFD9E2F3"/>
      </x:right>
      <x:bottom style="thin">
        <x:color rgb="FFD9E2F3"/>
      </x:bottom>
    </x:border>
    <x:border>
      <x:left style="thin">
        <x:color rgb="FFD9E2F3"/>
      </x:left>
      <x:bottom style="thin">
        <x:color rgb="FFD9E2F3"/>
      </x:bottom>
    </x:border>
    <x:border>
      <x:right style="thin">
        <x:color rgb="FFD9E2F3"/>
      </x:right>
      <x:top style="thin">
        <x:color rgb="FFD9E2F3"/>
      </x:top>
      <x:bottom style="thin">
        <x:color rgb="FFD9E2F3"/>
      </x:bottom>
    </x:border>
    <x:border>
      <x:left style="thin">
        <x:color rgb="FFD9E2F3"/>
      </x:left>
      <x:right style="thin">
        <x:color rgb="FFD9E2F3"/>
      </x:right>
      <x:top style="thin">
        <x:color rgb="FFD9E2F3"/>
      </x:top>
      <x:bottom style="thin">
        <x:color rgb="FFD9E2F3"/>
      </x:bottom>
    </x:border>
    <x:border>
      <x:left style="thin">
        <x:color rgb="FFD9E2F3"/>
      </x:left>
      <x:top style="thin">
        <x:color rgb="FFD9E2F3"/>
      </x:top>
      <x:bottom style="thin">
        <x:color rgb="FFD9E2F3"/>
      </x:bottom>
    </x:border>
    <x:border>
      <x:right style="thin">
        <x:color rgb="FFD9E2F3"/>
      </x:right>
      <x:top style="thin">
        <x:color rgb="FFD9E2F3"/>
      </x:top>
    </x:border>
    <x:border>
      <x:left style="thin">
        <x:color rgb="FFD9E2F3"/>
      </x:left>
      <x:right style="thin">
        <x:color rgb="FFD9E2F3"/>
      </x:right>
      <x:top style="thin">
        <x:color rgb="FFD9E2F3"/>
      </x:top>
    </x:border>
    <x:border>
      <x:left style="thin">
        <x:color rgb="FFD9E2F3"/>
      </x:left>
      <x:top style="thin">
        <x:color rgb="FFD9E2F3"/>
      </x:top>
    </x:border>
  </x:borders>
  <x:cellStyleXfs count="1">
    <x:xf numFmtId="0" fontId="0" fillId="0" borderId="0"/>
  </x:cellStyleXfs>
  <x:cellXfs count="70">
    <x:xf numFmtId="0" fontId="0" fillId="0" borderId="0" xfId="0"/>
    <x:xf numFmtId="200" fontId="0" fillId="0" borderId="0" xfId="0" applyNumberFormat="1" applyFont="1" applyFill="1" applyBorder="1"/>
    <x:xf numFmtId="200" fontId="0" fillId="0" borderId="0" xfId="0" applyNumberFormat="1" applyFont="1" applyFill="1" applyBorder="1" applyAlignment="1">
      <x:alignment vertical="top"/>
    </x:xf>
    <x:xf numFmtId="200" fontId="1" fillId="0" borderId="0" xfId="0" applyNumberFormat="1" applyFont="1" applyFill="1" applyBorder="1" applyAlignment="1">
      <x:alignment vertical="top"/>
    </x:xf>
    <x:xf numFmtId="200" fontId="1" fillId="2" borderId="0" xfId="0" applyNumberFormat="1" applyFont="1" applyFill="1" applyBorder="1" applyAlignment="1">
      <x:alignment vertical="top"/>
    </x:xf>
    <x:xf numFmtId="200" fontId="2" fillId="2" borderId="0" xfId="0" applyNumberFormat="1" applyFont="1" applyFill="1" applyBorder="1" applyAlignment="1">
      <x:alignment vertical="top"/>
    </x:xf>
    <x:xf numFmtId="200" fontId="2" fillId="2" borderId="1" xfId="0" applyNumberFormat="1" applyFont="1" applyFill="1" applyBorder="1" applyAlignment="1">
      <x:alignment vertical="top"/>
    </x:xf>
    <x:xf numFmtId="200" fontId="2" fillId="2" borderId="2" xfId="0" applyNumberFormat="1" applyFont="1" applyFill="1" applyBorder="1" applyAlignment="1">
      <x:alignment vertical="top"/>
    </x:xf>
    <x:xf numFmtId="200" fontId="2" fillId="2" borderId="3" xfId="0" applyNumberFormat="1" applyFont="1" applyFill="1" applyBorder="1" applyAlignment="1">
      <x:alignment vertical="top"/>
    </x:xf>
    <x:xf numFmtId="200" fontId="2" fillId="2" borderId="1" xfId="0" applyNumberFormat="1" applyFont="1" applyFill="1" applyBorder="1" applyAlignment="1">
      <x:alignment vertical="top" wrapText="1"/>
    </x:xf>
    <x:xf numFmtId="200" fontId="2" fillId="2" borderId="2" xfId="0" applyNumberFormat="1" applyFont="1" applyFill="1" applyBorder="1" applyAlignment="1">
      <x:alignment vertical="top" wrapText="1"/>
    </x:xf>
    <x:xf numFmtId="200" fontId="2" fillId="2" borderId="3" xfId="0" applyNumberFormat="1" applyFont="1" applyFill="1" applyBorder="1" applyAlignment="1">
      <x:alignment vertical="top" wrapText="1"/>
    </x:xf>
    <x:xf numFmtId="200" fontId="2" fillId="2" borderId="1" xfId="0" applyNumberFormat="1" applyFont="1" applyFill="1" applyBorder="1" applyAlignment="1">
      <x:alignment horizontal="center" vertical="top" wrapText="1"/>
    </x:xf>
    <x:xf numFmtId="200" fontId="2" fillId="2" borderId="2" xfId="0" applyNumberFormat="1" applyFont="1" applyFill="1" applyBorder="1" applyAlignment="1">
      <x:alignment horizontal="center" vertical="top" wrapText="1"/>
    </x:xf>
    <x:xf numFmtId="200" fontId="2" fillId="2" borderId="3" xfId="0" applyNumberFormat="1" applyFont="1" applyFill="1" applyBorder="1" applyAlignment="1">
      <x:alignment horizontal="center" vertical="top" wrapText="1"/>
    </x:xf>
    <x:xf numFmtId="200" fontId="2" fillId="2" borderId="1" xfId="0" applyNumberFormat="1" applyFont="1" applyFill="1" applyBorder="1" applyAlignment="1">
      <x:alignment horizontal="center" vertical="center" wrapText="1"/>
    </x:xf>
    <x:xf numFmtId="200" fontId="2" fillId="2" borderId="2" xfId="0" applyNumberFormat="1" applyFont="1" applyFill="1" applyBorder="1" applyAlignment="1">
      <x:alignment horizontal="center" vertical="center" wrapText="1"/>
    </x:xf>
    <x:xf numFmtId="200" fontId="2" fillId="2" borderId="3" xfId="0" applyNumberFormat="1" applyFont="1" applyFill="1" applyBorder="1" applyAlignment="1">
      <x:alignment horizontal="center" vertical="center" wrapText="1"/>
    </x:xf>
    <x:xf numFmtId="200" fontId="1" fillId="3" borderId="0" xfId="0" applyNumberFormat="1" applyFont="1" applyFill="1" applyBorder="1" applyAlignment="1">
      <x:alignment vertical="top"/>
    </x:xf>
    <x:xf numFmtId="200" fontId="1" fillId="0" borderId="0" xfId="0" applyNumberFormat="1" applyFont="1" applyFill="1" applyBorder="1" applyAlignment="1">
      <x:alignment vertical="top" wrapText="1"/>
    </x:xf>
    <x:xf numFmtId="200" fontId="1" fillId="3" borderId="0" xfId="0" applyNumberFormat="1" applyFont="1" applyFill="1" applyBorder="1" applyAlignment="1">
      <x:alignment vertical="top" wrapText="1"/>
    </x:xf>
    <x:xf numFmtId="200" fontId="3" fillId="0" borderId="0" xfId="0" applyNumberFormat="1" applyFont="1" applyFill="1" applyBorder="1" applyAlignment="1">
      <x:alignment vertical="top" wrapText="1"/>
    </x:xf>
    <x:xf numFmtId="200" fontId="1" fillId="4" borderId="0" xfId="0" applyNumberFormat="1" applyFont="1" applyFill="1" applyBorder="1" applyAlignment="1">
      <x:alignment vertical="top"/>
    </x:xf>
    <x:xf numFmtId="200" fontId="4" fillId="0" borderId="0" xfId="0" applyNumberFormat="1" applyFont="1" applyFill="1" applyBorder="1" applyAlignment="1">
      <x:alignment vertical="top"/>
    </x:xf>
    <x:xf numFmtId="0" fontId="0" fillId="2" borderId="0" xfId="0" applyNumberFormat="1" applyFont="1" applyFill="1" applyBorder="1"/>
    <x:xf numFmtId="0" fontId="5" fillId="2" borderId="0" xfId="0" applyNumberFormat="1" applyFont="1" applyFill="1" applyBorder="1"/>
    <x:xf numFmtId="0" fontId="5" fillId="2" borderId="0" xfId="0" applyNumberFormat="1" applyFont="1" applyFill="1" applyBorder="1" applyAlignment="1">
      <x:alignment horizontal="left"/>
    </x:xf>
    <x:xf numFmtId="0" fontId="5" fillId="2" borderId="0" xfId="0" applyNumberFormat="1" applyFont="1" applyFill="1" applyBorder="1" applyAlignment="1">
      <x:alignment horizontal="left" vertical="center"/>
    </x:xf>
    <x:xf numFmtId="0" fontId="0" fillId="5" borderId="0" xfId="0" applyNumberFormat="1" applyFont="1" applyFill="1" applyBorder="1"/>
    <x:xf numFmtId="0" fontId="6" fillId="5" borderId="0" xfId="0" applyNumberFormat="1" applyFont="1" applyFill="1" applyBorder="1"/>
    <x:xf numFmtId="0" fontId="6" fillId="5" borderId="0" xfId="0" applyNumberFormat="1" applyFont="1" applyFill="1" applyBorder="1" applyAlignment="1">
      <x:alignment wrapText="1"/>
    </x:xf>
    <x:xf numFmtId="0" fontId="6" fillId="5" borderId="0" xfId="0" applyNumberFormat="1" applyFont="1" applyFill="1" applyBorder="1" applyAlignment="1">
      <x:alignment vertical="center"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horizontal="center" wrapText="1"/>
    </x:xf>
    <x:xf numFmtId="0" fontId="7" fillId="0" borderId="0" xfId="0" applyNumberFormat="1" applyFont="1" applyFill="1" applyBorder="1"/>
    <x:xf numFmtId="0" fontId="7" fillId="0" borderId="4"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4" xfId="0" applyNumberFormat="1" applyFont="1" applyFill="1" applyBorder="1" applyAlignment="1">
      <x:alignment vertical="center"/>
    </x:xf>
    <x:xf numFmtId="0" fontId="7" fillId="0" borderId="5" xfId="0" applyNumberFormat="1" applyFont="1" applyFill="1" applyBorder="1" applyAlignment="1">
      <x:alignment vertical="center"/>
    </x:xf>
    <x:xf numFmtId="0" fontId="7" fillId="0" borderId="6" xfId="0" applyNumberFormat="1" applyFont="1" applyFill="1" applyBorder="1" applyAlignment="1">
      <x:alignment vertical="center"/>
    </x:xf>
    <x:xf numFmtId="0" fontId="7" fillId="0" borderId="7" xfId="0" applyNumberFormat="1" applyFont="1" applyFill="1" applyBorder="1" applyAlignment="1">
      <x:alignment vertical="center"/>
    </x:xf>
    <x:xf numFmtId="0" fontId="7" fillId="0" borderId="8" xfId="0" applyNumberFormat="1" applyFont="1" applyFill="1" applyBorder="1" applyAlignment="1">
      <x:alignment vertical="center"/>
    </x:xf>
    <x:xf numFmtId="0" fontId="7" fillId="0" borderId="9" xfId="0" applyNumberFormat="1" applyFont="1" applyFill="1" applyBorder="1" applyAlignment="1">
      <x:alignment vertical="center"/>
    </x:xf>
    <x:xf numFmtId="0" fontId="7" fillId="0" borderId="10" xfId="0" applyNumberFormat="1" applyFont="1" applyFill="1" applyBorder="1" applyAlignment="1">
      <x:alignment vertical="center"/>
    </x:xf>
    <x:xf numFmtId="0" fontId="7" fillId="0" borderId="11" xfId="0" applyNumberFormat="1" applyFont="1" applyFill="1" applyBorder="1" applyAlignment="1">
      <x:alignment vertical="center"/>
    </x:xf>
    <x:xf numFmtId="0" fontId="7" fillId="0" borderId="12" xfId="0" applyNumberFormat="1" applyFont="1" applyFill="1" applyBorder="1" applyAlignment="1">
      <x:alignment vertical="center"/>
    </x:xf>
    <x:xf numFmtId="0" fontId="7" fillId="0" borderId="4" xfId="0" applyNumberFormat="1" applyFont="1" applyFill="1" applyBorder="1" applyAlignment="1">
      <x:alignment horizontal="center" vertical="center"/>
    </x:xf>
    <x:xf numFmtId="0" fontId="7" fillId="0" borderId="5" xfId="0" applyNumberFormat="1" applyFont="1" applyFill="1" applyBorder="1" applyAlignment="1">
      <x:alignment horizontal="center" vertical="center"/>
    </x:xf>
    <x:xf numFmtId="0" fontId="7" fillId="0" borderId="7" xfId="0" applyNumberFormat="1" applyFont="1" applyFill="1" applyBorder="1" applyAlignment="1">
      <x:alignment horizontal="center" vertical="center"/>
    </x:xf>
    <x:xf numFmtId="0" fontId="7" fillId="0" borderId="8" xfId="0" applyNumberFormat="1" applyFont="1" applyFill="1" applyBorder="1" applyAlignment="1">
      <x:alignment horizontal="center" vertical="center"/>
    </x:xf>
    <x:xf numFmtId="0" fontId="7" fillId="0" borderId="10" xfId="0" applyNumberFormat="1" applyFont="1" applyFill="1" applyBorder="1" applyAlignment="1">
      <x:alignment horizontal="center" vertical="center"/>
    </x:xf>
    <x:xf numFmtId="0" fontId="7" fillId="0" borderId="11" xfId="0" applyNumberFormat="1" applyFont="1" applyFill="1" applyBorder="1" applyAlignment="1">
      <x:alignment horizontal="center" vertical="center"/>
    </x:xf>
    <x:xf numFmtId="0" fontId="8" fillId="0" borderId="5" xfId="0" applyNumberFormat="1" applyFont="1" applyFill="1" applyBorder="1" applyAlignment="1">
      <x:alignment horizontal="center" vertical="center"/>
    </x:xf>
    <x:xf numFmtId="0" fontId="8" fillId="0" borderId="5" xfId="0" applyNumberFormat="1" applyFont="1" applyFill="1" applyBorder="1" applyAlignment="1">
      <x:alignment vertical="center"/>
    </x:xf>
    <x:xf numFmtId="0" fontId="8" fillId="0" borderId="8" xfId="0" applyNumberFormat="1" applyFont="1" applyFill="1" applyBorder="1" applyAlignment="1">
      <x:alignment horizontal="center" vertical="center"/>
    </x:xf>
    <x:xf numFmtId="0" fontId="8" fillId="0" borderId="8" xfId="0" applyNumberFormat="1" applyFont="1" applyFill="1" applyBorder="1" applyAlignment="1">
      <x:alignment vertical="center"/>
    </x:xf>
    <x:xf numFmtId="0" fontId="8" fillId="0" borderId="11" xfId="0" applyNumberFormat="1" applyFont="1" applyFill="1" applyBorder="1" applyAlignment="1">
      <x:alignment horizontal="center" vertical="center"/>
    </x:xf>
    <x:xf numFmtId="0" fontId="8" fillId="0" borderId="11" xfId="0" applyNumberFormat="1" applyFont="1" applyFill="1" applyBorder="1" applyAlignment="1">
      <x:alignment vertical="center"/>
    </x:xf>
    <x:xf numFmtId="201" fontId="7" fillId="0" borderId="6" xfId="0" applyNumberFormat="1" applyFont="1" applyFill="1" applyBorder="1" applyAlignment="1">
      <x:alignment vertical="center"/>
    </x:xf>
    <x:xf numFmtId="201" fontId="7" fillId="0" borderId="9" xfId="0" applyNumberFormat="1" applyFont="1" applyFill="1" applyBorder="1" applyAlignment="1">
      <x:alignment vertical="center"/>
    </x:xf>
    <x:xf numFmtId="201" fontId="7" fillId="0" borderId="12" xfId="0" applyNumberFormat="1" applyFont="1" applyFill="1" applyBorder="1" applyAlignment="1">
      <x:alignment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22c796f997f4480" /><Relationship Type="http://schemas.openxmlformats.org/officeDocument/2006/relationships/theme" Target="/xl/theme/theme1.xml" Id="R2f6dce208584423f" /><Relationship Type="http://schemas.openxmlformats.org/officeDocument/2006/relationships/sharedStrings" Target="/xl/sharedStrings.xml" Id="R12080988f78c4e2f" /><Relationship Type="http://schemas.openxmlformats.org/officeDocument/2006/relationships/worksheet" Target="/xl/worksheets/sheet1.xml" Id="Ref121d7581c14308" /><Relationship Type="http://schemas.openxmlformats.org/officeDocument/2006/relationships/worksheet" Target="/xl/worksheets/sheet2.xml" Id="Rc96b70afab6d47bf" /><Relationship Type="http://schemas.openxmlformats.org/officeDocument/2006/relationships/worksheet" Target="/xl/worksheets/sheet3.xml" Id="R2a2cc2f438eb4bd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1" workbookViewId="0"/>
  </x:sheetViews>
  <x:sheetFormatPr defaultRowHeight="15"/>
  <x:cols>
    <x:col min="1" max="1" width="8.75" hidden="0" customWidth="1"/>
    <x:col min="2" max="2" width="8.75" hidden="0" customWidth="1"/>
    <x:col min="3" max="3" width="12.5" hidden="0" customWidth="1"/>
    <x:col min="4" max="4" width="62.5" hidden="0" customWidth="1"/>
    <x:col min="5" max="5" width="62.5" hidden="0" customWidth="1"/>
    <x:col min="6" max="6" width="62.5" hidden="0" customWidth="1"/>
    <x:col min="7" max="7" width="37.5" hidden="0" customWidth="1"/>
    <x:col min="8" max="8" width="31.25" hidden="0" customWidth="1"/>
    <x:col min="9" max="9" width="18.75" hidden="0" customWidth="1"/>
    <x:col min="10" max="10" width="35" hidden="0" customWidth="1"/>
    <x:col min="11" max="11" width="35" hidden="0" customWidth="1"/>
  </x:cols>
  <x:sheetData>
    <x:row r="1" ht="25.5" customHeight="1">
      <x:c r="A1" s="15" t="str">
        <x:v>group</x:v>
      </x:c>
      <x:c r="B1" s="16" t="str">
        <x:v>index</x:v>
      </x:c>
      <x:c r="C1" s="16" t="str">
        <x:v>message_id</x:v>
      </x:c>
      <x:c r="D1" s="16" t="str">
        <x:v>japanese</x:v>
      </x:c>
      <x:c r="E1" s="16" t="str">
        <x:v>machine_english_reference</x:v>
      </x:c>
      <x:c r="F1" s="16" t="str">
        <x:v>professional_translation</x:v>
      </x:c>
      <x:c r="G1" s="16" t="str">
        <x:v>translator_notes</x:v>
      </x:c>
      <x:c r="H1" s="16" t="str">
        <x:v>control_signature</x:v>
      </x:c>
      <x:c r="I1" s="16" t="str">
        <x:v>english_cpu_pointer</x:v>
      </x:c>
      <x:c r="J1" s="16" t="str">
        <x:v>english_bytes</x:v>
      </x:c>
      <x:c r="K1" s="17" t="str">
        <x:v>japanese_symbols</x:v>
      </x:c>
    </x:row>
    <x:row r="2" ht="40.5" customHeight="1">
      <x:c r="A2" s="22" t="str">
        <x:f>"00"</x:f>
        <x:v>00</x:v>
      </x:c>
      <x:c r="B2" s="22" t="str">
        <x:f>"00"</x:f>
        <x:v>00</x:v>
      </x:c>
      <x:c r="C2" s="22" t="str">
        <x:f>"0x0000"</x:f>
        <x:v>0x0000</x:v>
      </x:c>
      <x:c r="D2" s="21" t="str">
        <x:v>その 方向には 何もない&lt;WAIT_INPUT&gt;</x:v>
      </x:c>
      <x:c r="E2" s="19" t="str">
        <x:v>There's nothing that way.&lt;WAIT_INPUT&gt;</x:v>
      </x:c>
      <x:c r="F2" s="20" t="str"/>
      <x:c r="G2" s="20" t="str"/>
      <x:c r="H2" s="23" t="str">
        <x:v>WAIT_INPUT END</x:v>
      </x:c>
      <x:c r="I2" s="23" t="str">
        <x:v>EA:0CF8</x:v>
      </x:c>
      <x:c r="J2" s="23" t="str">
        <x:v>54 68 65 72 65 27 73 01 6E 6F 74 68 69 6E 67 01 74 68 61 74 01 77 61 79 2E C9 C0</x:v>
      </x:c>
      <x:c r="K2" s="23" t="str">
        <x:v>01E 028 001 0B9 1AB 025 029 001 093 032 024 011 1C9 1C0</x:v>
      </x:c>
    </x:row>
    <x:row r="3" ht="40.5" customHeight="1">
      <x:c r="A3" s="22" t="str">
        <x:f>"00"</x:f>
        <x:v>00</x:v>
      </x:c>
      <x:c r="B3" s="22" t="str">
        <x:f>"01"</x:f>
        <x:v>01</x:v>
      </x:c>
      <x:c r="C3" s="22" t="str">
        <x:f>"0x0001"</x:f>
        <x:v>0x0001</x:v>
      </x:c>
      <x:c r="D3" s="21" t="str">
        <x:v>レディは たからばこをあけてみた</x:v>
      </x:c>
      <x:c r="E3" s="19" t="str">
        <x:v>Lady opened the treasure chest.</x:v>
      </x:c>
      <x:c r="F3" s="20" t="str"/>
      <x:c r="G3" s="20" t="str"/>
      <x:c r="H3" s="23" t="str">
        <x:v>END</x:v>
      </x:c>
      <x:c r="I3" s="23" t="str">
        <x:v>EA:0D13</x:v>
      </x:c>
      <x:c r="J3" s="23" t="str">
        <x:v>4C 61 64 79 01 6F 70 65 6E 65 64 01 74 68 65 01 74 72 65 61 73 75 72 65 01 63 68 65 73 74 2E C0</x:v>
      </x:c>
      <x:c r="K3" s="23" t="str">
        <x:v>06B 084 054 075 029 001 01F 015 036 084 029 019 03C 010 018 022 02F 01F 1C0</x:v>
      </x:c>
    </x:row>
    <x:row r="4" ht="40.5" customHeight="1">
      <x:c r="A4" s="22" t="str">
        <x:f>"00"</x:f>
        <x:v>00</x:v>
      </x:c>
      <x:c r="B4" s="22" t="str">
        <x:f>"02"</x:f>
        <x:v>02</x:v>
      </x:c>
      <x:c r="C4" s="22" t="str">
        <x:f>"0x0002"</x:f>
        <x:v>0x0002</x:v>
      </x:c>
      <x:c r="D4" s="21" t="str">
        <x:v>&lt;INSERT_A&gt;を 見つけた</x:v>
      </x:c>
      <x:c r="E4" s="19" t="str">
        <x:v>Found &lt;INSERT_A&gt;!</x:v>
      </x:c>
      <x:c r="F4" s="20" t="str"/>
      <x:c r="G4" s="20" t="str"/>
      <x:c r="H4" s="23" t="str">
        <x:v>INSERT_A END</x:v>
      </x:c>
      <x:c r="I4" s="23" t="str">
        <x:v>EA:0D33</x:v>
      </x:c>
      <x:c r="J4" s="23" t="str">
        <x:v>46 6F 75 6E 64 01 C4 21 C0</x:v>
      </x:c>
      <x:c r="K4" s="23" t="str">
        <x:v>1C4 03C 001 090 021 018 01F 1C0</x:v>
      </x:c>
    </x:row>
    <x:row r="5" ht="40.5" customHeight="1">
      <x:c r="A5" s="22" t="str">
        <x:f>"00"</x:f>
        <x:v>00</x:v>
      </x:c>
      <x:c r="B5" s="22" t="str">
        <x:f>"03"</x:f>
        <x:v>03</x:v>
      </x:c>
      <x:c r="C5" s="22" t="str">
        <x:f>"0x0003"</x:f>
        <x:v>0x0003</x:v>
      </x:c>
      <x:c r="D5" s="21" t="str">
        <x:v>はこの中は からだった&lt;WAIT_INPUT&gt;</x:v>
      </x:c>
      <x:c r="E5" s="19" t="str">
        <x:v>The chest was empty.&lt;WAIT_INPUT&gt;</x:v>
      </x:c>
      <x:c r="F5" s="20" t="str"/>
      <x:c r="G5" s="20" t="str"/>
      <x:c r="H5" s="23" t="str">
        <x:v>WAIT_INPUT END</x:v>
      </x:c>
      <x:c r="I5" s="23" t="str">
        <x:v>EA:0D3C</x:v>
      </x:c>
      <x:c r="J5" s="23" t="str">
        <x:v>54 68 65 01 63 68 65 73 74 01 77 61 73 01 65 6D 70 74 79 2E C9 C0</x:v>
      </x:c>
      <x:c r="K5" s="23" t="str">
        <x:v>029 019 028 0A1 029 001 015 036 084 01F 03E 01F 1C9 1C0</x:v>
      </x:c>
    </x:row>
    <x:row r="6" ht="40.5" customHeight="1">
      <x:c r="A6" s="22" t="str">
        <x:f>"00"</x:f>
        <x:v>00</x:v>
      </x:c>
      <x:c r="B6" s="22" t="str">
        <x:f>"04"</x:f>
        <x:v>04</x:v>
      </x:c>
      <x:c r="C6" s="22" t="str">
        <x:f>"0x0004"</x:f>
        <x:v>0x0004</x:v>
      </x:c>
      <x:c r="D6" s="21" t="str">
        <x:v>しかし にもつが いっぱいだった&lt;WAIT_INPUT&gt;</x:v>
      </x:c>
      <x:c r="E6" s="19" t="str">
        <x:v>But the inventory was full.&lt;WAIT_INPUT&gt;</x:v>
      </x:c>
      <x:c r="F6" s="20" t="str"/>
      <x:c r="G6" s="20" t="str"/>
      <x:c r="H6" s="23" t="str">
        <x:v>WAIT_INPUT END</x:v>
      </x:c>
      <x:c r="I6" s="23" t="str">
        <x:v>EA:0D52</x:v>
      </x:c>
      <x:c r="J6" s="23" t="str">
        <x:v>42 75 74 01 74 68 65 01 69 6E 76 65 6E 74 6F 72 79 01 77 61 73 01 66 75 6C 6C 2E C9 C0</x:v>
      </x:c>
      <x:c r="K6" s="23" t="str">
        <x:v>01B 015 01B 001 025 032 021 084 015 001 011 03E 083 029 011 084 01F 03E 01F 1C9 1C0</x:v>
      </x:c>
    </x:row>
    <x:row r="7" ht="40.5" customHeight="1">
      <x:c r="A7" s="22" t="str">
        <x:f>"00"</x:f>
        <x:v>00</x:v>
      </x:c>
      <x:c r="B7" s="22" t="str">
        <x:f>"05"</x:f>
        <x:v>05</x:v>
      </x:c>
      <x:c r="C7" s="22" t="str">
        <x:f>"0x0005"</x:f>
        <x:v>0x0005</x:v>
      </x:c>
      <x:c r="D7" s="21" t="str">
        <x:v>&lt;INSERT_B&gt;は &lt;INSERT_A&gt;を使った&lt;PAUSE_30&gt;</x:v>
      </x:c>
      <x:c r="E7" s="19" t="str">
        <x:v>&lt;INSERT_B&gt;
used &lt;INSERT_A&gt;.&lt;PAUSE_30&gt;</x:v>
      </x:c>
      <x:c r="F7" s="20" t="str"/>
      <x:c r="G7" s="20" t="str"/>
      <x:c r="H7" s="23" t="str">
        <x:v>INSERT_B NEWLINE INSERT_A PAUSE_30 END</x:v>
      </x:c>
      <x:c r="I7" s="23" t="str">
        <x:v>EA:0D6F</x:v>
      </x:c>
      <x:c r="J7" s="23" t="str">
        <x:v>CA C8 75 73 65 64 01 C4 2E CD C0</x:v>
      </x:c>
      <x:c r="K7" s="23" t="str">
        <x:v>1CA 029 001 1C4 03C 123 03E 01F 1CD 1C0</x:v>
      </x:c>
    </x:row>
    <x:row r="8" ht="40.5" customHeight="1">
      <x:c r="A8" s="22" t="str">
        <x:f>"00"</x:f>
        <x:v>00</x:v>
      </x:c>
      <x:c r="B8" s="22" t="str">
        <x:f>"06"</x:f>
        <x:v>06</x:v>
      </x:c>
      <x:c r="C8" s="22" t="str">
        <x:f>"0x0006"</x:f>
        <x:v>0x0006</x:v>
      </x:c>
      <x:c r="D8" s="21" t="str">
        <x:v>&lt;INSERT_B&gt;は &lt;INSERT_B&gt;をとなえた&lt;PAUSE_30&gt;</x:v>
      </x:c>
      <x:c r="E8" s="19" t="str">
        <x:v>&lt;INSERT_B&gt; cast
&lt;INSERT_B&gt;.&lt;PAUSE_30&gt;</x:v>
      </x:c>
      <x:c r="F8" s="20" t="str"/>
      <x:c r="G8" s="20" t="str"/>
      <x:c r="H8" s="23" t="str">
        <x:v>INSERT_B NEWLINE INSERT_B PAUSE_30 END</x:v>
      </x:c>
      <x:c r="I8" s="23" t="str">
        <x:v>EA:0D7A</x:v>
      </x:c>
      <x:c r="J8" s="23" t="str">
        <x:v>CA 01 63 61 73 74 C8 CA 2E CD C0</x:v>
      </x:c>
      <x:c r="K8" s="23" t="str">
        <x:v>1CA 029 001 1CA 03C 023 024 013 01F 1CD 1C0</x:v>
      </x:c>
    </x:row>
    <x:row r="9" ht="40.5" customHeight="1">
      <x:c r="A9" s="22" t="str">
        <x:f>"00"</x:f>
        <x:v>00</x:v>
      </x:c>
      <x:c r="B9" s="22" t="str">
        <x:f>"07"</x:f>
        <x:v>07</x:v>
      </x:c>
      <x:c r="C9" s="22" t="str">
        <x:f>"0x0007"</x:f>
        <x:v>0x0007</x:v>
      </x:c>
      <x:c r="D9" s="21" t="str">
        <x:v>しかし 何ごともおこらない&lt;WAIT_INPUT&gt;</x:v>
      </x:c>
      <x:c r="E9" s="19" t="str">
        <x:v>But nothing happened.&lt;WAIT_INPUT&gt;</x:v>
      </x:c>
      <x:c r="F9" s="20" t="str"/>
      <x:c r="G9" s="20" t="str"/>
      <x:c r="H9" s="23" t="str">
        <x:v>WAIT_INPUT END</x:v>
      </x:c>
      <x:c r="I9" s="23" t="str">
        <x:v>EA:0D85</x:v>
      </x:c>
      <x:c r="J9" s="23" t="str">
        <x:v>42 75 74 01 6E 6F 74 68 69 6E 67 01 68 61 70 70 65 6E 65 64 2E C9 C0</x:v>
      </x:c>
      <x:c r="K9" s="23" t="str">
        <x:v>01B 015 01B 001 093 084 019 023 032 014 019 036 024 011 1C9 1C0</x:v>
      </x:c>
    </x:row>
    <x:row r="10" ht="40.5" customHeight="1">
      <x:c r="A10" s="22" t="str">
        <x:f>"00"</x:f>
        <x:v>00</x:v>
      </x:c>
      <x:c r="B10" s="22" t="str">
        <x:f>"08"</x:f>
        <x:v>08</x:v>
      </x:c>
      <x:c r="C10" s="22" t="str">
        <x:f>"0x0008"</x:f>
        <x:v>0x0008</x:v>
      </x:c>
      <x:c r="D10" s="21" t="str">
        <x:v>&lt;INSERT_B&gt;の LPが&lt;NUMBER&gt;回復した&lt;WAIT_INPUT&gt;</x:v>
      </x:c>
      <x:c r="E10" s="19" t="str">
        <x:v>&lt;INSERT_B&gt;
recovered &lt;NUMBER&gt; LP.&lt;WAIT_INPUT&gt;</x:v>
      </x:c>
      <x:c r="F10" s="20" t="str"/>
      <x:c r="G10" s="20" t="str"/>
      <x:c r="H10" s="23" t="str">
        <x:v>INSERT_B NEWLINE NUMBER WAIT_INPUT END</x:v>
      </x:c>
      <x:c r="I10" s="23" t="str">
        <x:v>EA:0D9C</x:v>
      </x:c>
      <x:c r="J10" s="23" t="str">
        <x:v>CA C8 72 65 63 6F 76 65 72 65 64 01 C2 01 4C 50 2E C9 C0</x:v>
      </x:c>
      <x:c r="K10" s="23" t="str">
        <x:v>1CA 028 001 00C 00E 084 015 1C2 169 18B 01B 01F 1C9 1C0</x:v>
      </x:c>
    </x:row>
    <x:row r="11" ht="40.5" customHeight="1">
      <x:c r="A11" s="22" t="str">
        <x:f>"00"</x:f>
        <x:v>00</x:v>
      </x:c>
      <x:c r="B11" s="22" t="str">
        <x:f>"09"</x:f>
        <x:v>09</x:v>
      </x:c>
      <x:c r="C11" s="22" t="str">
        <x:f>"0x0009"</x:f>
        <x:v>0x0009</x:v>
      </x:c>
      <x:c r="D11" s="21" t="str">
        <x:v>&lt;INSERT_B&gt;の SPが&lt;NUMBER&gt;回復した&lt;WAIT_INPUT&gt;</x:v>
      </x:c>
      <x:c r="E11" s="19" t="str">
        <x:v>&lt;INSERT_B&gt;
recovered &lt;NUMBER&gt; SP.&lt;WAIT_INPUT&gt;</x:v>
      </x:c>
      <x:c r="F11" s="20" t="str"/>
      <x:c r="G11" s="20" t="str"/>
      <x:c r="H11" s="23" t="str">
        <x:v>INSERT_B NEWLINE NUMBER WAIT_INPUT END</x:v>
      </x:c>
      <x:c r="I11" s="23" t="str">
        <x:v>EA:0DAF</x:v>
      </x:c>
      <x:c r="J11" s="23" t="str">
        <x:v>CA C8 72 65 63 6F 76 65 72 65 64 01 C2 01 53 50 2E C9 C0</x:v>
      </x:c>
      <x:c r="K11" s="23" t="str">
        <x:v>1CA 028 001 00D 00E 084 015 1C2 169 18B 01B 01F 1C9 1C0</x:v>
      </x:c>
    </x:row>
    <x:row r="12" ht="40.5" customHeight="1">
      <x:c r="A12" s="22" t="str">
        <x:f>"00"</x:f>
        <x:v>00</x:v>
      </x:c>
      <x:c r="B12" s="22" t="str">
        <x:f>"0A"</x:f>
        <x:v>0A</x:v>
      </x:c>
      <x:c r="C12" s="22" t="str">
        <x:f>"0x000A"</x:f>
        <x:v>0x000A</x:v>
      </x:c>
      <x:c r="D12" s="21" t="str">
        <x:v>ザコナイの効果が なくなった&lt;WAIT_INPUT&gt;</x:v>
      </x:c>
      <x:c r="E12" s="19" t="str">
        <x:v>Zakonai's effect wore off.&lt;WAIT_INPUT&gt;</x:v>
      </x:c>
      <x:c r="F12" s="20" t="str"/>
      <x:c r="G12" s="20" t="str"/>
      <x:c r="H12" s="23" t="str">
        <x:v>WAIT_INPUT END</x:v>
      </x:c>
      <x:c r="I12" s="23" t="str">
        <x:v>EA:0DC2</x:v>
      </x:c>
      <x:c r="J12" s="23" t="str">
        <x:v>5A 61 6B 6F 6E 61 69 27 73 01 65 66 66 65 63 74 01 77 6F 72 65 01 6F 66 66 2E C9 C0</x:v>
      </x:c>
      <x:c r="K12" s="23" t="str">
        <x:v>084 04C 04B 056 043 028 186 1A4 084 015 001 024 017 024 03E 01F 1C9 1C0</x:v>
      </x:c>
    </x:row>
    <x:row r="13" ht="40.5" customHeight="1">
      <x:c r="A13" s="22" t="str">
        <x:f>"00"</x:f>
        <x:v>00</x:v>
      </x:c>
      <x:c r="B13" s="22" t="str">
        <x:f>"0B"</x:f>
        <x:v>0B</x:v>
      </x:c>
      <x:c r="C13" s="22" t="str">
        <x:f>"0x000B"</x:f>
        <x:v>0x000B</x:v>
      </x:c>
      <x:c r="D13" s="21" t="str">
        <x:v>おふだの効果が なくなった&lt;WAIT_INPUT&gt;</x:v>
      </x:c>
      <x:c r="E13" s="19" t="str">
        <x:v>The Ward Charm's
effect wore off.&lt;WAIT_INPUT&gt;</x:v>
      </x:c>
      <x:c r="F13" s="20" t="str"/>
      <x:c r="G13" s="20" t="str"/>
      <x:c r="H13" s="23" t="str">
        <x:v>NEWLINE WAIT_INPUT END</x:v>
      </x:c>
      <x:c r="I13" s="23" t="str">
        <x:v>EA:0DDE</x:v>
      </x:c>
      <x:c r="J13" s="23" t="str">
        <x:v>54 68 65 01 57 61 72 64 01 43 68 61 72 6D 27 73 C8 65 66 66 65 63 74 01 77 6F 72 65 01 6F 66 66 2E C9 C0</x:v>
      </x:c>
      <x:c r="K13" s="23" t="str">
        <x:v>014 02B 084 01F 028 186 1A4 084 015 001 024 017 024 03E 01F 1C9 1C0</x:v>
      </x:c>
    </x:row>
    <x:row r="14" ht="40.5" customHeight="1">
      <x:c r="A14" s="22" t="str">
        <x:f>"00"</x:f>
        <x:v>00</x:v>
      </x:c>
      <x:c r="B14" s="22" t="str">
        <x:f>"0C"</x:f>
        <x:v>0C</x:v>
      </x:c>
      <x:c r="C14" s="22" t="str">
        <x:f>"0x000C"</x:f>
        <x:v>0x000C</x:v>
      </x:c>
      <x:c r="D14" s="21" t="str">
        <x:v>&lt;INSERT_B&gt;が よみがえった&lt;WAIT_INPUT&gt;</x:v>
      </x:c>
      <x:c r="E14" s="19" t="str">
        <x:v>&lt;INSERT_B&gt;
came back to life!&lt;WAIT_INPUT&gt;</x:v>
      </x:c>
      <x:c r="F14" s="20" t="str"/>
      <x:c r="G14" s="20" t="str"/>
      <x:c r="H14" s="23" t="str">
        <x:v>INSERT_B NEWLINE WAIT_INPUT END</x:v>
      </x:c>
      <x:c r="I14" s="23" t="str">
        <x:v>EA:0E01</x:v>
      </x:c>
      <x:c r="J14" s="23" t="str">
        <x:v>CA C8 63 61 6D 65 01 62 61 63 6B 01 74 6F 01 6C 69 66 65 21 C9 C0</x:v>
      </x:c>
      <x:c r="K14" s="23" t="str">
        <x:v>1CA 084 015 001 035 02F 084 015 013 03E 01F 1C9 1C0</x:v>
      </x:c>
    </x:row>
    <x:row r="15" ht="40.5" customHeight="1">
      <x:c r="A15" s="22" t="str">
        <x:f>"00"</x:f>
        <x:v>00</x:v>
      </x:c>
      <x:c r="B15" s="22" t="str">
        <x:f>"0D"</x:f>
        <x:v>0D</x:v>
      </x:c>
      <x:c r="C15" s="22" t="str">
        <x:f>"0x000D"</x:f>
        <x:v>0x000D</x:v>
      </x:c>
      <x:c r="D15" s="21" t="str">
        <x:v>&lt;INSERT_B&gt;は よみがえらなかった&lt;WAIT_INPUT&gt;</x:v>
      </x:c>
      <x:c r="E15" s="19" t="str">
        <x:v>&lt;INSERT_B&gt;
could not be revived.&lt;WAIT_INPUT&gt;</x:v>
      </x:c>
      <x:c r="F15" s="20" t="str"/>
      <x:c r="G15" s="20" t="str"/>
      <x:c r="H15" s="23" t="str">
        <x:v>INSERT_B NEWLINE WAIT_INPUT END</x:v>
      </x:c>
      <x:c r="I15" s="23" t="str">
        <x:v>EA:0E17</x:v>
      </x:c>
      <x:c r="J15" s="23" t="str">
        <x:v>CA C8 63 6F 75 6C 64 01 6E 6F 74 01 62 65 01 72 65 76 69 76 65 64 2E C9 C0</x:v>
      </x:c>
      <x:c r="K15" s="23" t="str">
        <x:v>1CA 029 001 035 02F 084 015 013 036 024 015 03E 01F 1C9 1C0</x:v>
      </x:c>
    </x:row>
    <x:row r="16" ht="40.5" customHeight="1">
      <x:c r="A16" s="22" t="str">
        <x:f>"00"</x:f>
        <x:v>00</x:v>
      </x:c>
      <x:c r="B16" s="22" t="str">
        <x:f>"0E"</x:f>
        <x:v>0E</x:v>
      </x:c>
      <x:c r="C16" s="22" t="str">
        <x:f>"0x000E"</x:f>
        <x:v>0x000E</x:v>
      </x:c>
      <x:c r="D16" s="21" t="str">
        <x:v>&lt;INSERT_B&gt;の ちからが &lt;NUMBER&gt;ふえた&lt;WAIT_INPUT&gt;</x:v>
      </x:c>
      <x:c r="E16" s="19" t="str">
        <x:v>&lt;INSERT_B&gt;'s
Power rose by &lt;NUMBER&gt;.&lt;WAIT_INPUT&gt;</x:v>
      </x:c>
      <x:c r="F16" s="20" t="str"/>
      <x:c r="G16" s="20" t="str"/>
      <x:c r="H16" s="23" t="str">
        <x:v>INSERT_B NEWLINE NUMBER WAIT_INPUT END</x:v>
      </x:c>
      <x:c r="I16" s="23" t="str">
        <x:v>EA:0E30</x:v>
      </x:c>
      <x:c r="J16" s="23" t="str">
        <x:v>CA 27 73 C8 50 6F 77 65 72 01 72 6F 73 65 01 62 79 01 C2 2E C9 C0</x:v>
      </x:c>
      <x:c r="K16" s="23" t="str">
        <x:v>1CA 028 001 020 015 036 084 015 001 1C2 02B 013 01F 1C9 1C0</x:v>
      </x:c>
    </x:row>
    <x:row r="17" ht="40.5" customHeight="1">
      <x:c r="A17" s="22" t="str">
        <x:f>"00"</x:f>
        <x:v>00</x:v>
      </x:c>
      <x:c r="B17" s="22" t="str">
        <x:f>"0F"</x:f>
        <x:v>0F</x:v>
      </x:c>
      <x:c r="C17" s="22" t="str">
        <x:f>"0x000F"</x:f>
        <x:v>0x000F</x:v>
      </x:c>
      <x:c r="D17" s="21" t="str">
        <x:v>&lt;INSERT_B&gt;の きびんさが &lt;NUMBER&gt;ふえた&lt;WAIT_INPUT&gt;</x:v>
      </x:c>
      <x:c r="E17" s="19" t="str">
        <x:v>&lt;INSERT_B&gt;'s
Agility rose by &lt;NUMBER&gt;.&lt;WAIT_INPUT&gt;</x:v>
      </x:c>
      <x:c r="F17" s="20" t="str"/>
      <x:c r="G17" s="20" t="str"/>
      <x:c r="H17" s="23" t="str">
        <x:v>INSERT_B NEWLINE NUMBER WAIT_INPUT END</x:v>
      </x:c>
      <x:c r="I17" s="23" t="str">
        <x:v>EA:0E46</x:v>
      </x:c>
      <x:c r="J17" s="23" t="str">
        <x:v>CA 27 73 C8 41 67 69 6C 69 74 79 01 72 6F 73 65 01 62 79 01 C2 2E C9 C0</x:v>
      </x:c>
      <x:c r="K17" s="23" t="str">
        <x:v>1CA 028 001 016 084 02A 03D 01A 084 015 001 1C2 02B 013 01F 1C9 1C0</x:v>
      </x:c>
    </x:row>
    <x:row r="18" ht="40.5" customHeight="1">
      <x:c r="A18" s="22" t="str">
        <x:f>"00"</x:f>
        <x:v>00</x:v>
      </x:c>
      <x:c r="B18" s="22" t="str">
        <x:f>"10"</x:f>
        <x:v>10</x:v>
      </x:c>
      <x:c r="C18" s="22" t="str">
        <x:f>"0x0010"</x:f>
        <x:v>0x0010</x:v>
      </x:c>
      <x:c r="D18" s="21" t="str">
        <x:v>&lt;INSERT_B&gt;の LPの最大値が &lt;NUMBER&gt;ふえた&lt;WAIT_INPUT&gt;</x:v>
      </x:c>
      <x:c r="E18" s="19" t="str">
        <x:v>&lt;INSERT_B&gt;'s
max LP rose by &lt;NUMBER&gt;.&lt;WAIT_INPUT&gt;</x:v>
      </x:c>
      <x:c r="F18" s="20" t="str"/>
      <x:c r="G18" s="20" t="str"/>
      <x:c r="H18" s="23" t="str">
        <x:v>INSERT_B NEWLINE NUMBER WAIT_INPUT END</x:v>
      </x:c>
      <x:c r="I18" s="23" t="str">
        <x:v>EA:0E5E</x:v>
      </x:c>
      <x:c r="J18" s="23" t="str">
        <x:v>CA 27 73 C8 6D 61 78 01 4C 50 01 72 6F 73 65 01 62 79 01 C2 2E C9 C0</x:v>
      </x:c>
      <x:c r="K18" s="23" t="str">
        <x:v>1CA 028 001 00C 00E 028 18A 0AC 199 084 015 001 1C2 02B 013 01F 1C9 1C0</x:v>
      </x:c>
    </x:row>
    <x:row r="19" ht="40.5" customHeight="1">
      <x:c r="A19" s="22" t="str">
        <x:f>"00"</x:f>
        <x:v>00</x:v>
      </x:c>
      <x:c r="B19" s="22" t="str">
        <x:f>"11"</x:f>
        <x:v>11</x:v>
      </x:c>
      <x:c r="C19" s="22" t="str">
        <x:f>"0x0011"</x:f>
        <x:v>0x0011</x:v>
      </x:c>
      <x:c r="D19" s="21" t="str">
        <x:v>&lt;INSERT_B&gt;の SPの最大値が &lt;NUMBER&gt;ふえた&lt;WAIT_INPUT&gt;</x:v>
      </x:c>
      <x:c r="E19" s="19" t="str">
        <x:v>&lt;INSERT_B&gt;'s
max SP rose by &lt;NUMBER&gt;.&lt;WAIT_INPUT&gt;</x:v>
      </x:c>
      <x:c r="F19" s="20" t="str"/>
      <x:c r="G19" s="20" t="str"/>
      <x:c r="H19" s="23" t="str">
        <x:v>INSERT_B NEWLINE NUMBER WAIT_INPUT END</x:v>
      </x:c>
      <x:c r="I19" s="23" t="str">
        <x:v>EA:0E75</x:v>
      </x:c>
      <x:c r="J19" s="23" t="str">
        <x:v>CA 27 73 C8 6D 61 78 01 53 50 01 72 6F 73 65 01 62 79 01 C2 2E C9 C0</x:v>
      </x:c>
      <x:c r="K19" s="23" t="str">
        <x:v>1CA 028 001 00D 00E 028 18A 0AC 199 084 015 001 1C2 02B 013 01F 1C9 1C0</x:v>
      </x:c>
    </x:row>
    <x:row r="20" ht="40.5" customHeight="1">
      <x:c r="A20" s="22" t="str">
        <x:f>"00"</x:f>
        <x:v>00</x:v>
      </x:c>
      <x:c r="B20" s="22" t="str">
        <x:f>"12"</x:f>
        <x:v>12</x:v>
      </x:c>
      <x:c r="C20" s="22" t="str">
        <x:f>"0x0012"</x:f>
        <x:v>0x0012</x:v>
      </x:c>
      <x:c r="D20" s="21" t="str">
        <x:v>&lt;INSERT_B&gt;は &lt;INSERT_A&gt;を使った&lt;WAIT_INPUT&gt;</x:v>
      </x:c>
      <x:c r="E20" s="19" t="str">
        <x:v>&lt;INSERT_B&gt;
used &lt;INSERT_A&gt;.&lt;WAIT_INPUT&gt;</x:v>
      </x:c>
      <x:c r="F20" s="20" t="str"/>
      <x:c r="G20" s="20" t="str"/>
      <x:c r="H20" s="23" t="str">
        <x:v>INSERT_B NEWLINE INSERT_A WAIT_INPUT END</x:v>
      </x:c>
      <x:c r="I20" s="23" t="str">
        <x:v>EA:0E8C</x:v>
      </x:c>
      <x:c r="J20" s="23" t="str">
        <x:v>CA C8 75 73 65 64 01 C4 2E C9 C0</x:v>
      </x:c>
      <x:c r="K20" s="23" t="str">
        <x:v>1CA 029 001 1C4 03C 123 03E 01F 1C9 1C0</x:v>
      </x:c>
    </x:row>
    <x:row r="21" ht="40.5" customHeight="1">
      <x:c r="A21" s="22" t="str">
        <x:f>"00"</x:f>
        <x:v>00</x:v>
      </x:c>
      <x:c r="B21" s="22" t="str">
        <x:f>"13"</x:f>
        <x:v>13</x:v>
      </x:c>
      <x:c r="C21" s="22" t="str">
        <x:f>"0x0013"</x:f>
        <x:v>0x0013</x:v>
      </x:c>
      <x:c r="D21" s="21" t="str">
        <x:v>&lt;INSERT_B&gt;は &lt;INSERT_B&gt;をかけた&lt;WAIT_INPUT&gt;</x:v>
      </x:c>
      <x:c r="E21" s="19" t="str">
        <x:v>&lt;INSERT_B&gt; cast
&lt;INSERT_B&gt;.&lt;WAIT_INPUT&gt;</x:v>
      </x:c>
      <x:c r="F21" s="20" t="str"/>
      <x:c r="G21" s="20" t="str"/>
      <x:c r="H21" s="23" t="str">
        <x:v>INSERT_B NEWLINE INSERT_B WAIT_INPUT END</x:v>
      </x:c>
      <x:c r="I21" s="23" t="str">
        <x:v>EA:0E97</x:v>
      </x:c>
      <x:c r="J21" s="23" t="str">
        <x:v>CA 01 63 61 73 74 C8 CA 2E C9 C0</x:v>
      </x:c>
      <x:c r="K21" s="23" t="str">
        <x:v>1CA 029 001 1CA 03C 015 018 01F 1C9 1C0</x:v>
      </x:c>
    </x:row>
    <x:row r="22" ht="40.5" customHeight="1">
      <x:c r="A22" s="22" t="str">
        <x:f>"00"</x:f>
        <x:v>00</x:v>
      </x:c>
      <x:c r="B22" s="22" t="str">
        <x:f>"14"</x:f>
        <x:v>14</x:v>
      </x:c>
      <x:c r="C22" s="22" t="str">
        <x:f>"0x0014"</x:f>
        <x:v>0x0014</x:v>
      </x:c>
      <x:c r="D22" s="21" t="str">
        <x:v>&lt;NOP&gt;&lt;WAIT&gt;</x:v>
      </x:c>
      <x:c r="E22" s="19" t="str">
        <x:v>&lt;NOP&gt;&lt;WAIT&gt;</x:v>
      </x:c>
      <x:c r="F22" s="20" t="str"/>
      <x:c r="G22" s="20" t="str"/>
      <x:c r="H22" s="23" t="str">
        <x:v>NOP WAIT END</x:v>
      </x:c>
      <x:c r="I22" s="23" t="str">
        <x:v>EA:0EA2</x:v>
      </x:c>
      <x:c r="J22" s="23" t="str">
        <x:v>C1 C5 C0</x:v>
      </x:c>
      <x:c r="K22" s="23" t="str">
        <x:v>1C1 1C5 1C0</x:v>
      </x:c>
    </x:row>
    <x:row r="23" ht="40.5" customHeight="1">
      <x:c r="A23" s="22" t="str">
        <x:f>"00"</x:f>
        <x:v>00</x:v>
      </x:c>
      <x:c r="B23" s="22" t="str">
        <x:f>"15"</x:f>
        <x:v>15</x:v>
      </x:c>
      <x:c r="C23" s="22" t="str">
        <x:f>"0x0015"</x:f>
        <x:v>0x0015</x:v>
      </x:c>
      <x:c r="D23" s="21" t="str">
        <x:v>&lt;NOP&gt;&lt;WAIT_INPUT&gt;</x:v>
      </x:c>
      <x:c r="E23" s="19" t="str">
        <x:v>&lt;NOP&gt;&lt;WAIT_INPUT&gt;</x:v>
      </x:c>
      <x:c r="F23" s="20" t="str"/>
      <x:c r="G23" s="20" t="str"/>
      <x:c r="H23" s="23" t="str">
        <x:v>NOP WAIT_INPUT END</x:v>
      </x:c>
      <x:c r="I23" s="23" t="str">
        <x:v>EA:0EA5</x:v>
      </x:c>
      <x:c r="J23" s="23" t="str">
        <x:v>C1 C9 C0</x:v>
      </x:c>
      <x:c r="K23" s="23" t="str">
        <x:v>1C1 1C9 1C0</x:v>
      </x:c>
    </x:row>
    <x:row r="24" ht="40.5" customHeight="1">
      <x:c r="A24" s="22" t="str">
        <x:f>"00"</x:f>
        <x:v>00</x:v>
      </x:c>
      <x:c r="B24" s="22" t="str">
        <x:f>"16"</x:f>
        <x:v>16</x:v>
      </x:c>
      <x:c r="C24" s="22" t="str">
        <x:f>"0x0016"</x:f>
        <x:v>0x0016</x:v>
      </x:c>
      <x:c r="D24" s="21" t="str">
        <x:v>&lt;INSERT_B&gt;は &lt;INSERT_B&gt;をかけた</x:v>
      </x:c>
      <x:c r="E24" s="19" t="str">
        <x:v>&lt;INSERT_B&gt; cast
&lt;INSERT_B&gt;.</x:v>
      </x:c>
      <x:c r="F24" s="20" t="str"/>
      <x:c r="G24" s="20" t="str"/>
      <x:c r="H24" s="23" t="str">
        <x:v>INSERT_B NEWLINE INSERT_B END</x:v>
      </x:c>
      <x:c r="I24" s="23" t="str">
        <x:v>EA:0EA8</x:v>
      </x:c>
      <x:c r="J24" s="23" t="str">
        <x:v>CA 01 63 61 73 74 C8 CA 2E C0</x:v>
      </x:c>
      <x:c r="K24" s="23" t="str">
        <x:v>1CA 029 001 1CA 03C 015 018 01F 1C0</x:v>
      </x:c>
    </x:row>
    <x:row r="25" ht="40.5" customHeight="1">
      <x:c r="A25" s="22" t="str">
        <x:f>"00"</x:f>
        <x:v>00</x:v>
      </x:c>
      <x:c r="B25" s="22" t="str">
        <x:f>"17"</x:f>
        <x:v>17</x:v>
      </x:c>
      <x:c r="C25" s="22" t="str">
        <x:f>"0x0017"</x:f>
        <x:v>0x0017</x:v>
      </x:c>
      <x:c r="D25" s="21" t="str">
        <x:v>&lt;INSERT_B&gt;の LPが&lt;NUMBER&gt;回復した</x:v>
      </x:c>
      <x:c r="E25" s="19" t="str">
        <x:v>&lt;INSERT_B&gt;
recovered &lt;NUMBER&gt; LP.</x:v>
      </x:c>
      <x:c r="F25" s="20" t="str"/>
      <x:c r="G25" s="20" t="str"/>
      <x:c r="H25" s="23" t="str">
        <x:v>INSERT_B NEWLINE NUMBER END</x:v>
      </x:c>
      <x:c r="I25" s="23" t="str">
        <x:v>EA:0EB2</x:v>
      </x:c>
      <x:c r="J25" s="23" t="str">
        <x:v>CA C8 72 65 63 6F 76 65 72 65 64 01 C2 01 4C 50 2E C0</x:v>
      </x:c>
      <x:c r="K25" s="23" t="str">
        <x:v>1CA 028 001 00C 00E 084 015 1C2 169 18B 01B 01F 1C0</x:v>
      </x:c>
    </x:row>
    <x:row r="26" ht="40.5" customHeight="1">
      <x:c r="A26" s="22" t="str">
        <x:f>"00"</x:f>
        <x:v>00</x:v>
      </x:c>
      <x:c r="B26" s="22" t="str">
        <x:f>"18"</x:f>
        <x:v>18</x:v>
      </x:c>
      <x:c r="C26" s="22" t="str">
        <x:f>"0x0018"</x:f>
        <x:v>0x0018</x:v>
      </x:c>
      <x:c r="D26" s="21" t="str">
        <x:v>たからばこは &lt;INSERT_B&gt;だった!&lt;WAIT_INPUT&gt;</x:v>
      </x:c>
      <x:c r="E26" s="19" t="str">
        <x:v>The treasure chest was
&lt;INSERT_B&gt;!&lt;WAIT_INPUT&gt;</x:v>
      </x:c>
      <x:c r="F26" s="20" t="str"/>
      <x:c r="G26" s="20" t="str"/>
      <x:c r="H26" s="23" t="str">
        <x:v>NEWLINE INSERT_B WAIT_INPUT END</x:v>
      </x:c>
      <x:c r="I26" s="23" t="str">
        <x:v>EA:0EC4</x:v>
      </x:c>
      <x:c r="J26" s="23" t="str">
        <x:v>54 68 65 01 74 72 65 61 73 75 72 65 01 63 68 65 73 74 01 77 61 73 C8 CA 21 C9 C0</x:v>
      </x:c>
      <x:c r="K26" s="23" t="str">
        <x:v>01F 015 036 084 029 019 029 001 1CA 084 01F 03E 01F 07A 1C9 1C0</x:v>
      </x:c>
    </x:row>
    <x:row r="27" ht="40.5" customHeight="1">
      <x:c r="A27" s="22" t="str">
        <x:f>"00"</x:f>
        <x:v>00</x:v>
      </x:c>
      <x:c r="B27" s="22" t="str">
        <x:f>"19"</x:f>
        <x:v>19</x:v>
      </x:c>
      <x:c r="C27" s="22" t="str">
        <x:f>"0x0019"</x:f>
        <x:v>0x0019</x:v>
      </x:c>
      <x:c r="D27" s="21" t="str">
        <x:v>SPが たりない&lt;WAIT_INPUT&gt;</x:v>
      </x:c>
      <x:c r="E27" s="19" t="str">
        <x:v>Not enough SP.&lt;WAIT_INPUT&gt;</x:v>
      </x:c>
      <x:c r="F27" s="20" t="str"/>
      <x:c r="G27" s="20" t="str"/>
      <x:c r="H27" s="23" t="str">
        <x:v>WAIT_INPUT END</x:v>
      </x:c>
      <x:c r="I27" s="23" t="str">
        <x:v>EA:0EDF</x:v>
      </x:c>
      <x:c r="J27" s="23" t="str">
        <x:v>4E 6F 74 01 65 6E 6F 75 67 68 01 53 50 2E C9 C0</x:v>
      </x:c>
      <x:c r="K27" s="23" t="str">
        <x:v>00D 00E 084 015 001 01F 037 024 011 1C9 1C0</x:v>
      </x:c>
    </x:row>
    <x:row r="28" ht="40.5" customHeight="1">
      <x:c r="A28" s="22" t="str">
        <x:f>"00"</x:f>
        <x:v>00</x:v>
      </x:c>
      <x:c r="B28" s="22" t="str">
        <x:f>"1A"</x:f>
        <x:v>1A</x:v>
      </x:c>
      <x:c r="C28" s="22" t="str">
        <x:f>"0x001A"</x:f>
        <x:v>0x001A</x:v>
      </x:c>
      <x:c r="D28" s="21" t="str">
        <x:v>その 方向には おけない&lt;WAIT_INPUT&gt;</x:v>
      </x:c>
      <x:c r="E28" s="19" t="str">
        <x:v>Can't place it that way.&lt;WAIT_INPUT&gt;</x:v>
      </x:c>
      <x:c r="F28" s="20" t="str"/>
      <x:c r="G28" s="20" t="str"/>
      <x:c r="H28" s="23" t="str">
        <x:v>WAIT_INPUT END</x:v>
      </x:c>
      <x:c r="I28" s="23" t="str">
        <x:v>EA:0EEF</x:v>
      </x:c>
      <x:c r="J28" s="23" t="str">
        <x:v>43 61 6E 27 74 01 70 6C 61 63 65 01 69 74 01 74 68 61 74 01 77 61 79 2E C9 C0</x:v>
      </x:c>
      <x:c r="K28" s="23" t="str">
        <x:v>01E 028 001 0B9 1AB 025 029 001 014 018 024 011 1C9 1C0</x:v>
      </x:c>
    </x:row>
    <x:row r="29" ht="40.5" customHeight="1">
      <x:c r="A29" s="22" t="str">
        <x:f>"00"</x:f>
        <x:v>00</x:v>
      </x:c>
      <x:c r="B29" s="22" t="str">
        <x:f>"1B"</x:f>
        <x:v>1B</x:v>
      </x:c>
      <x:c r="C29" s="22" t="str">
        <x:f>"0x001B"</x:f>
        <x:v>0x001B</x:v>
      </x:c>
      <x:c r="D29" s="21" t="str">
        <x:v>&lt;INSERT_B&gt;は &lt;INSERT_A&gt;を
&lt;INSERT_B&gt;にわたした&lt;WAIT_INPUT&gt;</x:v>
      </x:c>
      <x:c r="E29" s="19" t="str">
        <x:v>&lt;INSERT_B&gt;
gave &lt;INSERT_A&gt; to
&lt;INSERT_B&gt;.&lt;WAIT_INPUT&gt;</x:v>
      </x:c>
      <x:c r="F29" s="20" t="str"/>
      <x:c r="G29" s="20" t="str"/>
      <x:c r="H29" s="23" t="str">
        <x:v>INSERT_B NEWLINE INSERT_A NEWLINE INSERT_B WAIT_INPUT END</x:v>
      </x:c>
      <x:c r="I29" s="23" t="str">
        <x:v>EA:0F09</x:v>
      </x:c>
      <x:c r="J29" s="23" t="str">
        <x:v>CA C8 67 61 76 65 01 C4 01 74 6F C8 CA 2E C9 C0</x:v>
      </x:c>
      <x:c r="K29" s="23" t="str">
        <x:v>1CA 029 001 1C4 03C 1C8 1CA 025 03B 01F 01B 01F 1C9 1C0</x:v>
      </x:c>
    </x:row>
    <x:row r="30" ht="40.5" customHeight="1">
      <x:c r="A30" s="22" t="str">
        <x:f>"00"</x:f>
        <x:v>00</x:v>
      </x:c>
      <x:c r="B30" s="22" t="str">
        <x:f>"1C"</x:f>
        <x:v>1C</x:v>
      </x:c>
      <x:c r="C30" s="22" t="str">
        <x:f>"0x001C"</x:f>
        <x:v>0x001C</x:v>
      </x:c>
      <x:c r="D30" s="21" t="str">
        <x:v>&lt;INSERT_B&gt;は
気がかわったので やめた&lt;WAIT_INPUT&gt;</x:v>
      </x:c>
      <x:c r="E30" s="19" t="str">
        <x:v>&lt;INSERT_B&gt; thought
better of it and stopped.&lt;WAIT_INPUT&gt;</x:v>
      </x:c>
      <x:c r="F30" s="20" t="str"/>
      <x:c r="G30" s="20" t="str"/>
      <x:c r="H30" s="23" t="str">
        <x:v>INSERT_B NEWLINE WAIT_INPUT END</x:v>
      </x:c>
      <x:c r="I30" s="23" t="str">
        <x:v>EA:0F19</x:v>
      </x:c>
      <x:c r="J30" s="23" t="str">
        <x:v>CA 01 74 68 6F 75 67 68 74 C8 62 65 74 74 65 72 01 6F 66 01 69 74 01 61 6E 64 01 73 74 6F 70 70 65 64 2E C9 C0</x:v>
      </x:c>
      <x:c r="K30" s="23" t="str">
        <x:v>1CA 029 1C8 099 084 015 015 03B 03E 01F 028 084 022 001 033 031 01F 1C9 1C0</x:v>
      </x:c>
    </x:row>
    <x:row r="31" ht="40.5" customHeight="1">
      <x:c r="A31" s="22" t="str">
        <x:f>"00"</x:f>
        <x:v>00</x:v>
      </x:c>
      <x:c r="B31" s="22" t="str">
        <x:f>"1D"</x:f>
        <x:v>1D</x:v>
      </x:c>
      <x:c r="C31" s="22" t="str">
        <x:f>"0x001D"</x:f>
        <x:v>0x001D</x:v>
      </x:c>
      <x:c r="D31" s="21" t="str">
        <x:v>&lt;INSERT_B&gt;は
&lt;INSERT_A&gt;を すてた&lt;WAIT_INPUT&gt;</x:v>
      </x:c>
      <x:c r="E31" s="19" t="str">
        <x:v>&lt;INSERT_B&gt; threw
away &lt;INSERT_A&gt;.&lt;WAIT_INPUT&gt;</x:v>
      </x:c>
      <x:c r="F31" s="20" t="str"/>
      <x:c r="G31" s="20" t="str"/>
      <x:c r="H31" s="23" t="str">
        <x:v>INSERT_B NEWLINE INSERT_A WAIT_INPUT END</x:v>
      </x:c>
      <x:c r="I31" s="23" t="str">
        <x:v>EA:0F3E</x:v>
      </x:c>
      <x:c r="J31" s="23" t="str">
        <x:v>CA 01 74 68 72 65 77 C8 61 77 61 79 01 C4 2E C9 C0</x:v>
      </x:c>
      <x:c r="K31" s="23" t="str">
        <x:v>1CA 029 1C8 1C4 03C 001 01C 022 01F 1C9 1C0</x:v>
      </x:c>
    </x:row>
    <x:row r="32" ht="40.5" customHeight="1">
      <x:c r="A32" s="22" t="str">
        <x:f>"00"</x:f>
        <x:v>00</x:v>
      </x:c>
      <x:c r="B32" s="22" t="str">
        <x:f>"1E"</x:f>
        <x:v>1E</x:v>
      </x:c>
      <x:c r="C32" s="22" t="str">
        <x:f>"0x001E"</x:f>
        <x:v>0x001E</x:v>
      </x:c>
      <x:c r="D32" s="21" t="str">
        <x:v>&lt;INSERT_B&gt;は &lt;INSERT_A&gt;を 読んだ&lt;WAIT&gt;</x:v>
      </x:c>
      <x:c r="E32" s="19" t="str">
        <x:v>&lt;INSERT_B&gt;
read &lt;INSERT_A&gt;.&lt;WAIT&gt;</x:v>
      </x:c>
      <x:c r="F32" s="20" t="str"/>
      <x:c r="G32" s="20" t="str"/>
      <x:c r="H32" s="23" t="str">
        <x:v>INSERT_B NEWLINE INSERT_A WAIT END</x:v>
      </x:c>
      <x:c r="I32" s="23" t="str">
        <x:v>EA:0F4F</x:v>
      </x:c>
      <x:c r="J32" s="23" t="str">
        <x:v>CA C8 72 65 61 64 01 C4 2E C5 C0</x:v>
      </x:c>
      <x:c r="K32" s="23" t="str">
        <x:v>1CA 029 001 1C4 03C 001 118 03D 084 01F 1C5 1C0</x:v>
      </x:c>
    </x:row>
    <x:row r="33" ht="40.5" customHeight="1">
      <x:c r="A33" s="22" t="str">
        <x:f>"00"</x:f>
        <x:v>00</x:v>
      </x:c>
      <x:c r="B33" s="22" t="str">
        <x:f>"1F"</x:f>
        <x:v>1F</x:v>
      </x:c>
      <x:c r="C33" s="22" t="str">
        <x:f>"0x001F"</x:f>
        <x:v>0x001F</x:v>
      </x:c>
      <x:c r="D33" s="21" t="str">
        <x:v>レディは &lt;NUMBER&gt;エンドルを
手に入れた</x:v>
      </x:c>
      <x:c r="E33" s="19" t="str">
        <x:v>Lady got &lt;NUMBER&gt; Endol.</x:v>
      </x:c>
      <x:c r="F33" s="20" t="str"/>
      <x:c r="G33" s="20" t="str"/>
      <x:c r="H33" s="23" t="str">
        <x:v>NUMBER END</x:v>
      </x:c>
      <x:c r="I33" s="23" t="str">
        <x:v>EA:0F5A</x:v>
      </x:c>
      <x:c r="J33" s="23" t="str">
        <x:v>4C 61 64 79 01 67 6F 74 01 C2 01 45 6E 64 6F 6C 2E C0</x:v>
      </x:c>
      <x:c r="K33" s="23" t="str">
        <x:v>06B 084 054 075 029 001 1C2 045 06F 084 055 06A 03C 1C8 177 025 08E 039 01F 1C0</x:v>
      </x:c>
    </x:row>
    <x:row r="34" ht="40.5" customHeight="1">
      <x:c r="A34" s="22" t="str">
        <x:f>"00"</x:f>
        <x:v>00</x:v>
      </x:c>
      <x:c r="B34" s="22" t="str">
        <x:f>"20"</x:f>
        <x:v>20</x:v>
      </x:c>
      <x:c r="C34" s="22" t="str">
        <x:f>"0x0020"</x:f>
        <x:v>0x0020</x:v>
      </x:c>
      <x:c r="D34" s="21" t="str">
        <x:v>&lt;INSERT_B&gt;の 毒が
ちゅうわされた&lt;WAIT_INPUT&gt;</x:v>
      </x:c>
      <x:c r="E34" s="19" t="str">
        <x:v>&lt;INSERT_B&gt;'s
poison was cured.&lt;WAIT_INPUT&gt;</x:v>
      </x:c>
      <x:c r="F34" s="20" t="str"/>
      <x:c r="G34" s="20" t="str"/>
      <x:c r="H34" s="23" t="str">
        <x:v>INSERT_B NEWLINE WAIT_INPUT END</x:v>
      </x:c>
      <x:c r="I34" s="23" t="str">
        <x:v>EA:0F6C</x:v>
      </x:c>
      <x:c r="J34" s="23" t="str">
        <x:v>CA 27 73 C8 70 6F 69 73 6F 6E 01 77 61 73 01 63 75 72 65 64 2E C9 C0</x:v>
      </x:c>
      <x:c r="K34" s="23" t="str">
        <x:v>1CA 028 001 137 084 015 1C8 020 040 012 03B 01A 039 01F 1C9 1C0</x:v>
      </x:c>
    </x:row>
    <x:row r="35" ht="40.5" customHeight="1">
      <x:c r="A35" s="22" t="str">
        <x:f>"00"</x:f>
        <x:v>00</x:v>
      </x:c>
      <x:c r="B35" s="22" t="str">
        <x:f>"21"</x:f>
        <x:v>21</x:v>
      </x:c>
      <x:c r="C35" s="22" t="str">
        <x:f>"0x0021"</x:f>
        <x:v>0x0021</x:v>
      </x:c>
      <x:c r="D35" s="21" t="str">
        <x:v>&lt;INSERT_B&gt;は &lt;INSERT_A&gt;を使った</x:v>
      </x:c>
      <x:c r="E35" s="19" t="str">
        <x:v>&lt;INSERT_B&gt;
used &lt;INSERT_A&gt;.</x:v>
      </x:c>
      <x:c r="F35" s="20" t="str"/>
      <x:c r="G35" s="20" t="str"/>
      <x:c r="H35" s="23" t="str">
        <x:v>INSERT_B NEWLINE INSERT_A END</x:v>
      </x:c>
      <x:c r="I35" s="23" t="str">
        <x:v>EA:0F83</x:v>
      </x:c>
      <x:c r="J35" s="23" t="str">
        <x:v>CA C8 75 73 65 64 01 C4 2E C0</x:v>
      </x:c>
      <x:c r="K35" s="23" t="str">
        <x:v>1CA 029 001 1C4 03C 123 03E 01F 1C0</x:v>
      </x:c>
    </x:row>
    <x:row r="36" ht="40.5" customHeight="1">
      <x:c r="A36" s="22" t="str">
        <x:f>"00"</x:f>
        <x:v>00</x:v>
      </x:c>
      <x:c r="B36" s="22" t="str">
        <x:f>"22"</x:f>
        <x:v>22</x:v>
      </x:c>
      <x:c r="C36" s="22" t="str">
        <x:f>"0x0022"</x:f>
        <x:v>0x0022</x:v>
      </x:c>
      <x:c r="D36" s="21" t="str">
        <x:v>&lt;NOP&gt;&lt;PAUSE_30&gt;</x:v>
      </x:c>
      <x:c r="E36" s="19" t="str">
        <x:v>&lt;NOP&gt;&lt;PAUSE_30&gt;</x:v>
      </x:c>
      <x:c r="F36" s="20" t="str"/>
      <x:c r="G36" s="20" t="str"/>
      <x:c r="H36" s="23" t="str">
        <x:v>NOP PAUSE_30 END</x:v>
      </x:c>
      <x:c r="I36" s="23" t="str">
        <x:v>EA:0F8D</x:v>
      </x:c>
      <x:c r="J36" s="23" t="str">
        <x:v>C1 CD C0</x:v>
      </x:c>
      <x:c r="K36" s="23" t="str">
        <x:v>1C1 1CD 1C0</x:v>
      </x:c>
    </x:row>
    <x:row r="37" ht="40.5" customHeight="1">
      <x:c r="A37" s="22" t="str">
        <x:f>"00"</x:f>
        <x:v>00</x:v>
      </x:c>
      <x:c r="B37" s="22" t="str">
        <x:f>"23"</x:f>
        <x:v>23</x:v>
      </x:c>
      <x:c r="C37" s="22" t="str">
        <x:f>"0x0023"</x:f>
        <x:v>0x0023</x:v>
      </x:c>
      <x:c r="D37" s="21" t="str">
        <x:v>探険日記の &lt;NUMBER&gt;巻を
けしても いいですか?</x:v>
      </x:c>
      <x:c r="E37" s="19" t="str">
        <x:v>Delete Explorer's Journal
volume &lt;NUMBER&gt;?</x:v>
      </x:c>
      <x:c r="F37" s="20" t="str"/>
      <x:c r="G37" s="20" t="str"/>
      <x:c r="H37" s="23" t="str">
        <x:v>NEWLINE NUMBER END</x:v>
      </x:c>
      <x:c r="I37" s="23" t="str">
        <x:v>EA:0F90</x:v>
      </x:c>
      <x:c r="J37" s="23" t="str">
        <x:v>44 65 6C 65 74 65 01 45 78 70 6C 6F 72 65 72 27 73 01 4A 6F 75 72 6E 61 6C C8 76 6F 6C 75 6D 65 01 C2 3F C0</x:v>
      </x:c>
      <x:c r="K37" s="23" t="str">
        <x:v>184 0BB 120 11B 028 001 1C2 188 03C 1C8 018 01B 022 032 001 011 011 084 022 01C 015 079 1C0</x:v>
      </x:c>
    </x:row>
    <x:row r="38" ht="40.5" customHeight="1">
      <x:c r="A38" s="22" t="str">
        <x:f>"00"</x:f>
        <x:v>00</x:v>
      </x:c>
      <x:c r="B38" s="22" t="str">
        <x:f>"24"</x:f>
        <x:v>24</x:v>
      </x:c>
      <x:c r="C38" s="22" t="str">
        <x:f>"0x0024"</x:f>
        <x:v>0x0024</x:v>
      </x:c>
      <x:c r="D38" s="21" t="str">
        <x:v>探険日記の &lt;NUMBER&gt;巻が
きえてしまいました</x:v>
      </x:c>
      <x:c r="E38" s="19" t="str">
        <x:v>Explorer's Journal volume
&lt;NUMBER&gt; was deleted.</x:v>
      </x:c>
      <x:c r="F38" s="20" t="str"/>
      <x:c r="G38" s="20" t="str"/>
      <x:c r="H38" s="23" t="str">
        <x:v>NEWLINE NUMBER END</x:v>
      </x:c>
      <x:c r="I38" s="23" t="str">
        <x:v>EA:0FB4</x:v>
      </x:c>
      <x:c r="J38" s="23" t="str">
        <x:v>45 78 70 6C 6F 72 65 72 27 73 01 4A 6F 75 72 6E 61 6C 01 76 6F 6C 75 6D 65 C8 C2 01 77 61 73 01 64 65 6C 65 74 65 64 2E C0</x:v>
      </x:c>
      <x:c r="K38" s="23" t="str">
        <x:v>184 0BB 120 11B 028 001 1C2 188 084 015 1C8 016 013 022 01B 02E 011 02E 01B 01F 1C0</x:v>
      </x:c>
    </x:row>
    <x:row r="39" ht="40.5" customHeight="1">
      <x:c r="A39" s="22" t="str">
        <x:f>"00"</x:f>
        <x:v>00</x:v>
      </x:c>
      <x:c r="B39" s="22" t="str">
        <x:f>"25"</x:f>
        <x:v>25</x:v>
      </x:c>
      <x:c r="C39" s="22" t="str">
        <x:f>"0x0025"</x:f>
        <x:v>0x0025</x:v>
      </x:c>
      <x:c r="D39" s="21" t="str">
        <x:v>何ごとも なかったように
しずまりかえっている&lt;WAIT_INPUT&gt;</x:v>
      </x:c>
      <x:c r="E39" s="19" t="str">
        <x:v>Everything has gone still,
as if nothing happened.&lt;WAIT_INPUT&gt;</x:v>
      </x:c>
      <x:c r="F39" s="20" t="str"/>
      <x:c r="G39" s="20" t="str"/>
      <x:c r="H39" s="23" t="str">
        <x:v>NEWLINE WAIT_INPUT END</x:v>
      </x:c>
      <x:c r="I39" s="23" t="str">
        <x:v>EA:0FDD</x:v>
      </x:c>
      <x:c r="J39" s="23" t="str">
        <x:v>45 76 65 72 79 74 68 69 6E 67 01 68 61 73 01 67 6F 6E 65 01 73 74 69 6C 6C 2C C8 61 73 01 69 66 01 6E 6F 74 68 69 6E 67 01 68 61 70 70 65 6E 65 64 2E C9 C0</x:v>
      </x:c>
      <x:c r="K39" s="23" t="str">
        <x:v>093 084 019 023 032 001 024 015 03E 01F 035 012 025 1C8 01B 084 01C 02E 037 015 013 03E 022 011 038 1C9 1C0</x:v>
      </x:c>
    </x:row>
    <x:row r="40" ht="40.5" customHeight="1">
      <x:c r="A40" s="22" t="str">
        <x:f>"00"</x:f>
        <x:v>00</x:v>
      </x:c>
      <x:c r="B40" s="22" t="str">
        <x:f>"26"</x:f>
        <x:v>26</x:v>
      </x:c>
      <x:c r="C40" s="22" t="str">
        <x:f>"0x0026"</x:f>
        <x:v>0x0026</x:v>
      </x:c>
      <x:c r="D40" s="21" t="str">
        <x:v>&lt;INSERT_A&gt;は くだけた&lt;WAIT_INPUT&gt;</x:v>
      </x:c>
      <x:c r="E40" s="19" t="str">
        <x:v>&lt;INSERT_A&gt; shattered.&lt;WAIT_INPUT&gt;</x:v>
      </x:c>
      <x:c r="F40" s="20" t="str"/>
      <x:c r="G40" s="20" t="str"/>
      <x:c r="H40" s="23" t="str">
        <x:v>INSERT_A WAIT_INPUT END</x:v>
      </x:c>
      <x:c r="I40" s="23" t="str">
        <x:v>EA:1011</x:v>
      </x:c>
      <x:c r="J40" s="23" t="str">
        <x:v>C4 01 73 68 61 74 74 65 72 65 64 2E C9 C0</x:v>
      </x:c>
      <x:c r="K40" s="23" t="str">
        <x:v>1C4 029 001 017 084 01F 018 01F 1C9 1C0</x:v>
      </x:c>
    </x:row>
    <x:row r="41">
      <x:c r="A41" s="22" t="str">
        <x:f>"00"</x:f>
        <x:v>00</x:v>
      </x:c>
      <x:c r="B41" s="22" t="str">
        <x:f>"27"</x:f>
        <x:v>27</x:v>
      </x:c>
      <x:c r="C41" s="22" t="str">
        <x:f>"0x0027"</x:f>
        <x:v>0x0027</x:v>
      </x:c>
      <x:c r="D41" s="21" t="str">
        <x:v>死人は 道具を 使えません&lt;WAIT_INPUT&gt;</x:v>
      </x:c>
      <x:c r="E41" s="19" t="str">
        <x:v>The dead can't use items.&lt;WAIT_INPUT&gt;</x:v>
      </x:c>
      <x:c r="F41" s="20" t="str"/>
      <x:c r="G41" s="20" t="str"/>
      <x:c r="H41" s="23" t="str">
        <x:v>WAIT_INPUT END</x:v>
      </x:c>
      <x:c r="I41" s="23" t="str">
        <x:v>EA:101F</x:v>
      </x:c>
      <x:c r="J41" s="23" t="str">
        <x:v>54 68 65 01 64 65 61 64 01 63 61 6E 27 74 01 75 73 65 01 69 74 65 6D 73 2E C9 C0</x:v>
      </x:c>
      <x:c r="K41" s="23" t="str">
        <x:v>0D6 091 029 001 0C7 124 03C 001 123 013 02E 01D 03D 1C9 1C0</x:v>
      </x:c>
    </x:row>
    <x:row r="42">
      <x:c r="A42" s="22" t="str">
        <x:f>"00"</x:f>
        <x:v>00</x:v>
      </x:c>
      <x:c r="B42" s="22" t="str">
        <x:f>"28"</x:f>
        <x:v>28</x:v>
      </x:c>
      <x:c r="C42" s="22" t="str">
        <x:f>"0x0028"</x:f>
        <x:v>0x0028</x:v>
      </x:c>
      <x:c r="D42" s="21" t="str">
        <x:v>レディは &lt;INSERT_A&gt;を
&lt;INSERT_B&gt;の にもつから
&lt;INSERT_B&gt;のにもつにうつした&lt;WAIT_INPUT&gt;</x:v>
      </x:c>
      <x:c r="E42" s="19" t="str">
        <x:v>Lady moved &lt;INSERT_A&gt;
from &lt;INSERT_B&gt;
to &lt;INSERT_B&gt;.&lt;WAIT_INPUT&gt;</x:v>
      </x:c>
      <x:c r="F42" s="20" t="str"/>
      <x:c r="G42" s="20" t="str"/>
      <x:c r="H42" s="23" t="str">
        <x:v>INSERT_A NEWLINE INSERT_B NEWLINE INSERT_B WAIT_INPUT END</x:v>
      </x:c>
      <x:c r="I42" s="23" t="str">
        <x:v>EA:103A</x:v>
      </x:c>
      <x:c r="J42" s="23" t="str">
        <x:v>4C 61 64 79 01 6D 6F 76 65 64 01 C4 C8 66 72 6F 6D 01 CA C8 74 6F 01 CA 2E C9 C0</x:v>
      </x:c>
      <x:c r="K42" s="23" t="str">
        <x:v>06B 084 054 075 029 001 1C4 03C 1C8 1CA 028 001 025 032 021 015 036 1C8 1CA 028 025 032 021 025 012 021 01B 01F 1C9 1C0</x:v>
      </x:c>
    </x:row>
    <x:row r="43">
      <x:c r="A43" s="22" t="str">
        <x:f>"00"</x:f>
        <x:v>00</x:v>
      </x:c>
      <x:c r="B43" s="22" t="str">
        <x:f>"29"</x:f>
        <x:v>29</x:v>
      </x:c>
      <x:c r="C43" s="22" t="str">
        <x:f>"0x0029"</x:f>
        <x:v>0x0029</x:v>
      </x:c>
      <x:c r="D43" s="21" t="str">
        <x:v>&lt;INSERT_A&gt;は すてられない&lt;WAIT_INPUT&gt;</x:v>
      </x:c>
      <x:c r="E43" s="19" t="str">
        <x:v>&lt;INSERT_A&gt;
can't be discarded.&lt;WAIT_INPUT&gt;</x:v>
      </x:c>
      <x:c r="F43" s="20" t="str"/>
      <x:c r="G43" s="20" t="str"/>
      <x:c r="H43" s="23" t="str">
        <x:v>INSERT_A NEWLINE WAIT_INPUT END</x:v>
      </x:c>
      <x:c r="I43" s="23" t="str">
        <x:v>EA:1055</x:v>
      </x:c>
      <x:c r="J43" s="23" t="str">
        <x:v>C4 C8 63 61 6E 27 74 01 62 65 01 64 69 73 63 61 72 64 65 64 2E C9 C0</x:v>
      </x:c>
      <x:c r="K43" s="23" t="str">
        <x:v>1C4 029 001 01C 022 036 039 024 011 1C9 1C0</x:v>
      </x:c>
    </x:row>
    <x:row r="44">
      <x:c r="A44" s="22" t="str">
        <x:f>"00"</x:f>
        <x:v>00</x:v>
      </x:c>
      <x:c r="B44" s="22" t="str">
        <x:f>"2A"</x:f>
        <x:v>2A</x:v>
      </x:c>
      <x:c r="C44" s="22" t="str">
        <x:f>"0x002A"</x:f>
        <x:v>0x002A</x:v>
      </x:c>
      <x:c r="D44" s="21" t="str">
        <x:v>&lt;INSERT_A&gt;を すてますか?</x:v>
      </x:c>
      <x:c r="E44" s="19" t="str">
        <x:v>Discard &lt;INSERT_A&gt;?</x:v>
      </x:c>
      <x:c r="F44" s="20" t="str"/>
      <x:c r="G44" s="20" t="str"/>
      <x:c r="H44" s="23" t="str">
        <x:v>INSERT_A END</x:v>
      </x:c>
      <x:c r="I44" s="23" t="str">
        <x:v>EA:106C</x:v>
      </x:c>
      <x:c r="J44" s="23" t="str">
        <x:v>44 69 73 63 61 72 64 01 C4 3F C0</x:v>
      </x:c>
      <x:c r="K44" s="23" t="str">
        <x:v>1C4 03C 001 01C 022 02E 01C 015 079 1C0</x:v>
      </x:c>
    </x:row>
    <x:row r="45">
      <x:c r="A45" s="22" t="str">
        <x:f>"00"</x:f>
        <x:v>00</x:v>
      </x:c>
      <x:c r="B45" s="22" t="str">
        <x:f>"2B"</x:f>
        <x:v>2B</x:v>
      </x:c>
      <x:c r="C45" s="22" t="str">
        <x:f>"0x002B"</x:f>
        <x:v>0x002B</x:v>
      </x:c>
      <x:c r="D45" s="21" t="str">
        <x:v>レディは
&lt;INSERT_B&gt;のにもつから
&lt;INSERT_A&gt;を取り出して すてた&lt;WAIT_INPUT&gt;</x:v>
      </x:c>
      <x:c r="E45" s="19" t="str">
        <x:v>&lt;INSERT_B&gt;'s inventory:
Lady took out &lt;INSERT_A&gt;
and threw it away.&lt;WAIT_INPUT&gt;</x:v>
      </x:c>
      <x:c r="F45" s="20" t="str"/>
      <x:c r="G45" s="20" t="str"/>
      <x:c r="H45" s="23" t="str">
        <x:v>INSERT_B NEWLINE INSERT_A NEWLINE WAIT_INPUT END</x:v>
      </x:c>
      <x:c r="I45" s="23" t="str">
        <x:v>EA:1077</x:v>
      </x:c>
      <x:c r="J45" s="23" t="str">
        <x:v>CA 27 73 01 69 6E 76 65 6E 74 6F 72 79 3A C8 4C 61 64 79 01 74 6F 6F 6B 01 6F 75 74 01 C4 C8 61 6E 64 01 74 68 72 65 77 01 69 74 01 61 77 61 79 2E C9 C0</x:v>
      </x:c>
      <x:c r="K45" s="23" t="str">
        <x:v>06B 084 054 075 029 1C8 1CA 028 025 032 021 015 036 1C8 1C4 03C 0FB 037 106 01B 022 001 01C 022 01F 1C9 1C0</x:v>
      </x:c>
    </x:row>
    <x:row r="46">
      <x:c r="A46" s="22" t="str">
        <x:f>"00"</x:f>
        <x:v>00</x:v>
      </x:c>
      <x:c r="B46" s="22" t="str">
        <x:f>"2C"</x:f>
        <x:v>2C</x:v>
      </x:c>
      <x:c r="C46" s="22" t="str">
        <x:f>"0x002C"</x:f>
        <x:v>0x002C</x:v>
      </x:c>
      <x:c r="D46" s="21" t="str">
        <x:v>&lt;INSERT_B&gt;は
&lt;INSERT_B&gt;のにもつから
&lt;INSERT_A&gt;を取り出した&lt;WAIT_INPUT&gt;</x:v>
      </x:c>
      <x:c r="E46" s="19" t="str">
        <x:v>&lt;INSERT_B&gt; took
from &lt;INSERT_B&gt;:
&lt;INSERT_A&gt;.&lt;WAIT_INPUT&gt;</x:v>
      </x:c>
      <x:c r="F46" s="20" t="str"/>
      <x:c r="G46" s="20" t="str"/>
      <x:c r="H46" s="23" t="str">
        <x:v>INSERT_B NEWLINE INSERT_B NEWLINE INSERT_A WAIT_INPUT END</x:v>
      </x:c>
      <x:c r="I46" s="23" t="str">
        <x:v>EA:10AA</x:v>
      </x:c>
      <x:c r="J46" s="23" t="str">
        <x:v>CA 01 74 6F 6F 6B C8 66 72 6F 6D 01 CA 3A C8 C4 2E C9 C0</x:v>
      </x:c>
      <x:c r="K46" s="23" t="str">
        <x:v>1CA 029 1C8 1CA 028 025 032 021 015 036 1C8 1C4 03C 0FB 037 106 01B 01F 1C9 1C0</x:v>
      </x:c>
    </x:row>
    <x:row r="47">
      <x:c r="A47" s="22" t="str">
        <x:f>"00"</x:f>
        <x:v>00</x:v>
      </x:c>
      <x:c r="B47" s="22" t="str">
        <x:f>"2D"</x:f>
        <x:v>2D</x:v>
      </x:c>
      <x:c r="C47" s="22" t="str">
        <x:f>"0x002D"</x:f>
        <x:v>0x002D</x:v>
      </x:c>
      <x:c r="D47" s="21" t="str">
        <x:v>&lt;INSERT_B&gt;は
&lt;INSERT_B&gt;のにもつに
&lt;INSERT_A&gt;を入れた&lt;WAIT_INPUT&gt;</x:v>
      </x:c>
      <x:c r="E47" s="19" t="str">
        <x:v>&lt;INSERT_B&gt; put
in &lt;INSERT_B&gt;'s
bag: &lt;INSERT_A&gt;.&lt;WAIT_INPUT&gt;</x:v>
      </x:c>
      <x:c r="F47" s="20" t="str"/>
      <x:c r="G47" s="20" t="str"/>
      <x:c r="H47" s="23" t="str">
        <x:v>INSERT_B NEWLINE INSERT_B NEWLINE INSERT_A WAIT_INPUT END</x:v>
      </x:c>
      <x:c r="I47" s="23" t="str">
        <x:v>EA:10BD</x:v>
      </x:c>
      <x:c r="J47" s="23" t="str">
        <x:v>CA 01 70 75 74 C8 69 6E 01 CA 27 73 C8 62 61 67 3A 01 C4 2E C9 C0</x:v>
      </x:c>
      <x:c r="K47" s="23" t="str">
        <x:v>1CA 029 1C8 1CA 028 025 032 021 025 1C8 1C4 03C 08E 039 01F 1C9 1C0</x:v>
      </x:c>
    </x:row>
    <x:row r="48">
      <x:c r="A48" s="22" t="str">
        <x:f>"00"</x:f>
        <x:v>00</x:v>
      </x:c>
      <x:c r="B48" s="22" t="str">
        <x:f>"2E"</x:f>
        <x:v>2E</x:v>
      </x:c>
      <x:c r="C48" s="22" t="str">
        <x:f>"0x002E"</x:f>
        <x:v>0x002E</x:v>
      </x:c>
      <x:c r="D48" s="21" t="str">
        <x:v>レディは ひとりでさくせんをねった&lt;WAIT_INPUT&gt;</x:v>
      </x:c>
      <x:c r="E48" s="19" t="str">
        <x:v>Lady planned her strategy alone.&lt;WAIT_INPUT&gt;</x:v>
      </x:c>
      <x:c r="F48" s="20" t="str"/>
      <x:c r="G48" s="20" t="str"/>
      <x:c r="H48" s="23" t="str">
        <x:v>WAIT_INPUT END</x:v>
      </x:c>
      <x:c r="I48" s="23" t="str">
        <x:v>EA:10D3</x:v>
      </x:c>
      <x:c r="J48" s="23" t="str">
        <x:v>4C 61 64 79 01 70 6C 61 6E 6E 65 64 01 68 65 72 01 73 74 72 61 74 65 67 79 01 61 6C 6F 6E 65 2E C9 C0</x:v>
      </x:c>
      <x:c r="K48" s="23" t="str">
        <x:v>06B 084 054 075 029 001 02A 023 037 084 022 01A 017 01D 03D 03C 027 03E 01F 1C9 1C0</x:v>
      </x:c>
    </x:row>
    <x:row r="49">
      <x:c r="A49" s="22" t="str">
        <x:f>"00"</x:f>
        <x:v>00</x:v>
      </x:c>
      <x:c r="B49" s="22" t="str">
        <x:f>"2F"</x:f>
        <x:v>2F</x:v>
      </x:c>
      <x:c r="C49" s="22" t="str">
        <x:f>"0x002F"</x:f>
        <x:v>0x002F</x:v>
      </x:c>
      <x:c r="D49" s="21" t="str">
        <x:v>ルーラできる できる できる</x:v>
      </x:c>
      <x:c r="E49" s="19" t="str">
        <x:v>Zoom works! Works! Works!</x:v>
      </x:c>
      <x:c r="F49" s="20" t="str"/>
      <x:c r="G49" s="20" t="str"/>
      <x:c r="H49" s="23" t="str">
        <x:v>END</x:v>
      </x:c>
      <x:c r="I49" s="23" t="str">
        <x:v>EA:10F5</x:v>
      </x:c>
      <x:c r="J49" s="23" t="str">
        <x:v>5A 6F 6F 6D 01 77 6F 72 6B 73 21 01 57 6F 72 6B 73 21 01 57 6F 72 6B 73 21 C0</x:v>
      </x:c>
      <x:c r="K49" s="23" t="str">
        <x:v>06A 078 068 084 022 016 038 001 084 022 016 038 001 084 022 016 038 1C0</x:v>
      </x:c>
    </x:row>
    <x:row r="50">
      <x:c r="A50" s="22" t="str">
        <x:f>"00"</x:f>
        <x:v>00</x:v>
      </x:c>
      <x:c r="B50" s="22" t="str">
        <x:f>"30"</x:f>
        <x:v>30</x:v>
      </x:c>
      <x:c r="C50" s="22" t="str">
        <x:f>"0x0030"</x:f>
        <x:v>0x0030</x:v>
      </x:c>
      <x:c r="D50" s="21" t="str">
        <x:v>ルーラできない できない できない</x:v>
      </x:c>
      <x:c r="E50" s="19" t="str">
        <x:v>Zoom won't work! Won't! Won't!</x:v>
      </x:c>
      <x:c r="F50" s="20" t="str"/>
      <x:c r="G50" s="20" t="str"/>
      <x:c r="H50" s="23" t="str">
        <x:v>END</x:v>
      </x:c>
      <x:c r="I50" s="23" t="str">
        <x:v>EA:110F</x:v>
      </x:c>
      <x:c r="J50" s="23" t="str">
        <x:v>5A 6F 6F 6D 01 77 6F 6E 27 74 01 77 6F 72 6B 21 01 57 6F 6E 27 74 21 01 57 6F 6E 27 74 21 C0</x:v>
      </x:c>
      <x:c r="K50" s="23" t="str">
        <x:v>06A 078 068 084 022 016 024 011 001 084 022 016 024 011 001 084 022 016 024 011 1C0</x:v>
      </x:c>
    </x:row>
    <x:row r="51">
      <x:c r="A51" s="22" t="str">
        <x:f>"00"</x:f>
        <x:v>00</x:v>
      </x:c>
      <x:c r="B51" s="22" t="str">
        <x:f>"31"</x:f>
        <x:v>31</x:v>
      </x:c>
      <x:c r="C51" s="22" t="str">
        <x:f>"0x0031"</x:f>
        <x:v>0x0031</x:v>
      </x:c>
      <x:c r="D51" s="21" t="str">
        <x:v>リレミトできる できる できる&lt;WAIT_INPUT&gt;</x:v>
      </x:c>
      <x:c r="E51" s="19" t="str">
        <x:v>Evac works! Works! Works!&lt;WAIT_INPUT&gt;</x:v>
      </x:c>
      <x:c r="F51" s="20" t="str"/>
      <x:c r="G51" s="20" t="str"/>
      <x:c r="H51" s="23" t="str">
        <x:v>WAIT_INPUT END</x:v>
      </x:c>
      <x:c r="I51" s="23" t="str">
        <x:v>EA:112E</x:v>
      </x:c>
      <x:c r="J51" s="23" t="str">
        <x:v>45 76 61 63 01 77 6F 72 6B 73 21 01 57 6F 72 6B 73 21 01 57 6F 72 6B 73 21 C9 C0</x:v>
      </x:c>
      <x:c r="K51" s="23" t="str">
        <x:v>069 06B 061 055 084 022 016 038 001 084 022 016 038 001 084 022 016 038 1C9 1C0</x:v>
      </x:c>
    </x:row>
    <x:row r="52">
      <x:c r="A52" s="22" t="str">
        <x:f>"00"</x:f>
        <x:v>00</x:v>
      </x:c>
      <x:c r="B52" s="22" t="str">
        <x:f>"32"</x:f>
        <x:v>32</x:v>
      </x:c>
      <x:c r="C52" s="22" t="str">
        <x:f>"0x0032"</x:f>
        <x:v>0x0032</x:v>
      </x:c>
      <x:c r="D52" s="21" t="str">
        <x:v>リレミトできない できない できない&lt;WAIT_INPUT&gt;</x:v>
      </x:c>
      <x:c r="E52" s="19" t="str">
        <x:v>Evac won't work! Won't! Won't!&lt;WAIT_INPUT&gt;</x:v>
      </x:c>
      <x:c r="F52" s="20" t="str"/>
      <x:c r="G52" s="20" t="str"/>
      <x:c r="H52" s="23" t="str">
        <x:v>WAIT_INPUT END</x:v>
      </x:c>
      <x:c r="I52" s="23" t="str">
        <x:v>EA:1149</x:v>
      </x:c>
      <x:c r="J52" s="23" t="str">
        <x:v>45 76 61 63 01 77 6F 6E 27 74 01 77 6F 72 6B 21 01 57 6F 6E 27 74 21 01 57 6F 6E 27 74 21 C9 C0</x:v>
      </x:c>
      <x:c r="K52" s="23" t="str">
        <x:v>069 06B 061 055 084 022 016 024 011 001 084 022 016 024 011 001 084 022 016 024 011 1C9 1C0</x:v>
      </x:c>
    </x:row>
    <x:row r="53">
      <x:c r="A53" s="22" t="str">
        <x:f>"00"</x:f>
        <x:v>00</x:v>
      </x:c>
      <x:c r="B53" s="22" t="str">
        <x:f>"33"</x:f>
        <x:v>33</x:v>
      </x:c>
      <x:c r="C53" s="22" t="str">
        <x:f>"0x0033"</x:f>
        <x:v>0x0033</x:v>
      </x:c>
      <x:c r="D53" s="21" t="str">
        <x:v>呪いで 魔術が 使えない&lt;WAIT_INPUT&gt;</x:v>
      </x:c>
      <x:c r="E53" s="19" t="str">
        <x:v>A curse prevents magic.&lt;WAIT_INPUT&gt;</x:v>
      </x:c>
      <x:c r="F53" s="20" t="str"/>
      <x:c r="G53" s="20" t="str"/>
      <x:c r="H53" s="23" t="str">
        <x:v>WAIT_INPUT END</x:v>
      </x:c>
      <x:c r="I53" s="23" t="str">
        <x:v>EA:1169</x:v>
      </x:c>
      <x:c r="J53" s="23" t="str">
        <x:v>41 01 63 75 72 73 65 01 70 72 65 76 65 6E 74 73 01 6D 61 67 69 63 2E C9 C0</x:v>
      </x:c>
      <x:c r="K53" s="23" t="str">
        <x:v>12D 011 084 022 001 09A 16A 084 015 001 123 013 024 011 1C9 1C0</x:v>
      </x:c>
    </x:row>
    <x:row r="54">
      <x:c r="A54" s="22" t="str">
        <x:f>"00"</x:f>
        <x:v>00</x:v>
      </x:c>
      <x:c r="B54" s="22" t="str">
        <x:f>"34"</x:f>
        <x:v>34</x:v>
      </x:c>
      <x:c r="C54" s="22" t="str">
        <x:f>"0x0034"</x:f>
        <x:v>0x0034</x:v>
      </x:c>
      <x:c r="D54" s="21" t="str">
        <x:v>&lt;INSERT_B&gt;は
呪われてしまった!</x:v>
      </x:c>
      <x:c r="E54" s="19" t="str">
        <x:v>&lt;INSERT_B&gt;
was cursed!</x:v>
      </x:c>
      <x:c r="F54" s="20" t="str"/>
      <x:c r="G54" s="20" t="str"/>
      <x:c r="H54" s="23" t="str">
        <x:v>INSERT_B NEWLINE END</x:v>
      </x:c>
      <x:c r="I54" s="23" t="str">
        <x:v>EA:1182</x:v>
      </x:c>
      <x:c r="J54" s="23" t="str">
        <x:v>CA C8 77 61 73 01 63 75 72 73 65 64 21 C0</x:v>
      </x:c>
      <x:c r="K54" s="23" t="str">
        <x:v>1CA 029 1C8 12D 03B 039 022 01B 02E 03E 01F 07A 1C0</x:v>
      </x:c>
    </x:row>
    <x:row r="55">
      <x:c r="A55" s="22" t="str">
        <x:f>"00"</x:f>
        <x:v>00</x:v>
      </x:c>
      <x:c r="B55" s="22" t="str">
        <x:f>"35"</x:f>
        <x:v>35</x:v>
      </x:c>
      <x:c r="C55" s="22" t="str">
        <x:f>"0x0035"</x:f>
        <x:v>0x0035</x:v>
      </x:c>
      <x:c r="D55" s="21" t="str">
        <x:v>&lt;INSERT_A&gt;は
呪いで 体から はなれない&lt;WAIT_INPUT&gt;</x:v>
      </x:c>
      <x:c r="E55" s="19" t="str">
        <x:v>&lt;INSERT_A&gt; is cursed
and won't come off.&lt;WAIT_INPUT&gt;</x:v>
      </x:c>
      <x:c r="F55" s="20" t="str"/>
      <x:c r="G55" s="20" t="str"/>
      <x:c r="H55" s="23" t="str">
        <x:v>INSERT_A NEWLINE WAIT_INPUT END</x:v>
      </x:c>
      <x:c r="I55" s="23" t="str">
        <x:v>EA:1190</x:v>
      </x:c>
      <x:c r="J55" s="23" t="str">
        <x:v>C4 01 69 73 01 63 75 72 73 65 64 C8 61 6E 64 01 77 6F 6E 27 74 01 63 6F 6D 65 01 6F 66 66 2E C9 C0</x:v>
      </x:c>
      <x:c r="K55" s="23" t="str">
        <x:v>1C4 029 1C8 12D 011 084 022 001 0F0 015 036 001 029 024 039 024 011 1C9 1C0</x:v>
      </x:c>
    </x:row>
    <x:row r="56">
      <x:c r="A56" s="22" t="str">
        <x:f>"00"</x:f>
        <x:v>00</x:v>
      </x:c>
      <x:c r="B56" s="22" t="str">
        <x:f>"36"</x:f>
        <x:v>36</x:v>
      </x:c>
      <x:c r="C56" s="22" t="str">
        <x:f>"0x0036"</x:f>
        <x:v>0x0036</x:v>
      </x:c>
      <x:c r="D56" s="21" t="str">
        <x:v>レディは &lt;INSERT_B&gt;の にもつから
&lt;INSERT_A&gt;を とりだすのを
やめた&lt;WAIT_INPUT&gt;</x:v>
      </x:c>
      <x:c r="E56" s="19" t="str">
        <x:v>Lady stopped rummaging
in &lt;INSERT_B&gt;'s
inventory for &lt;INSERT_A&gt;.&lt;WAIT_INPUT&gt;</x:v>
      </x:c>
      <x:c r="F56" s="20" t="str"/>
      <x:c r="G56" s="20" t="str"/>
      <x:c r="H56" s="23" t="str">
        <x:v>NEWLINE INSERT_B NEWLINE INSERT_A WAIT_INPUT END</x:v>
      </x:c>
      <x:c r="I56" s="23" t="str">
        <x:v>EA:11B1</x:v>
      </x:c>
      <x:c r="J56" s="23" t="str">
        <x:v>4C 61 64 79 01 73 74 6F 70 70 65 64 01 72 75 6D 6D 61 67 69 6E 67 C8 69 6E 01 CA 27 73 C8 69 6E 76 65 6E 74 6F 72 79 01 66 6F 72 01 C4 2E C9 C0</x:v>
      </x:c>
      <x:c r="K56" s="23" t="str">
        <x:v>06B 084 054 075 029 001 1CA 028 001 025 032 021 015 036 1C8 1C4 03C 001 023 037 084 01F 01C 028 03C 1C8 033 031 01F 1C9 1C0</x:v>
      </x:c>
    </x:row>
    <x:row r="57">
      <x:c r="A57" s="22" t="str">
        <x:f>"00"</x:f>
        <x:v>00</x:v>
      </x:c>
      <x:c r="B57" s="22" t="str">
        <x:f>"37"</x:f>
        <x:v>37</x:v>
      </x:c>
      <x:c r="C57" s="22" t="str">
        <x:f>"0x0037"</x:f>
        <x:v>0x0037</x:v>
      </x:c>
      <x:c r="D57" s="21" t="str">
        <x:v>&lt;INSERT_B&gt;は &lt;INSERT_A&gt;を見た&lt;PAUSE_30&gt;</x:v>
      </x:c>
      <x:c r="E57" s="19" t="str">
        <x:v>&lt;INSERT_B&gt;
examined &lt;INSERT_A&gt;.&lt;PAUSE_30&gt;</x:v>
      </x:c>
      <x:c r="F57" s="20" t="str"/>
      <x:c r="G57" s="20" t="str"/>
      <x:c r="H57" s="23" t="str">
        <x:v>INSERT_B NEWLINE INSERT_A PAUSE_30 END</x:v>
      </x:c>
      <x:c r="I57" s="23" t="str">
        <x:v>EA:11E1</x:v>
      </x:c>
      <x:c r="J57" s="23" t="str">
        <x:v>CA C8 65 78 61 6D 69 6E 65 64 01 C4 2E CD C0</x:v>
      </x:c>
      <x:c r="K57" s="23" t="str">
        <x:v>1CA 029 001 1C4 03C 090 01F 1CD 1C0</x:v>
      </x:c>
    </x:row>
    <x:row r="58">
      <x:c r="A58" s="22" t="str">
        <x:f>"00"</x:f>
        <x:v>00</x:v>
      </x:c>
      <x:c r="B58" s="22" t="str">
        <x:f>"38"</x:f>
        <x:v>38</x:v>
      </x:c>
      <x:c r="C58" s="22" t="str">
        <x:f>"0x0038"</x:f>
        <x:v>0x0038</x:v>
      </x:c>
      <x:c r="D58" s="21" t="str">
        <x:v>まかいのにくを まくと
えたいのしれない ものが
どこからか よってきた&lt;WAIT_INPUT&gt;</x:v>
      </x:c>
      <x:c r="E58" s="19" t="str">
        <x:v>When the Demon Meat was
scattered, something unidentifiable
came creeping in from somewhere.&lt;WAIT_INPUT&gt;</x:v>
      </x:c>
      <x:c r="F58" s="20" t="str"/>
      <x:c r="G58" s="20" t="str"/>
      <x:c r="H58" s="23" t="str">
        <x:v>NEWLINE NEWLINE WAIT_INPUT END</x:v>
      </x:c>
      <x:c r="I58" s="23" t="str">
        <x:v>EA:11F0</x:v>
      </x:c>
      <x:c r="J58" s="23" t="str">
        <x:v>57 68 65 6E 01 74 68 65 01 44 65 6D 6F 6E 01 4D 65 61 74 01 77 61 73 C8 73 63 61 74 74 65 72 65 64 2C 01 73 6F 6D 65 74 68 69 6E 67 01 75 6E 69 64 65 6E 74 69 66 69 61 62 6C 65 C8 63 61 6D 65 01 63 72 65 65 70 69 6E 67 01 69 6E 01 66 72 6F 6D 01 73 6F 6D 65 77 68 65 72 65 2E C9 C0</x:v>
      </x:c>
      <x:c r="K58" s="23" t="str">
        <x:v>02E 015 011 028 025 017 03C 001 02E 017 023 1C8 013 01F 011 028 01B 039 024 011 001 032 028 084 015 1C8 084 023 019 015 036 015 001 035 03E 022 016 01F 1C9 1C0</x:v>
      </x:c>
    </x:row>
    <x:row r="59">
      <x:c r="A59" s="22" t="str">
        <x:f>"00"</x:f>
        <x:v>00</x:v>
      </x:c>
      <x:c r="B59" s="22" t="str">
        <x:f>"39"</x:f>
        <x:v>39</x:v>
      </x:c>
      <x:c r="C59" s="22" t="str">
        <x:f>"0x0039"</x:f>
        <x:v>0x0039</x:v>
      </x:c>
      <x:c r="D59" s="21" t="str">
        <x:v>&lt;NUMBER&gt;時間</x:v>
      </x:c>
      <x:c r="E59" s="19" t="str">
        <x:v>&lt;NUMBER&gt;hours</x:v>
      </x:c>
      <x:c r="F59" s="20" t="str"/>
      <x:c r="G59" s="20" t="str"/>
      <x:c r="H59" s="23" t="str">
        <x:v>NUMBER END</x:v>
      </x:c>
      <x:c r="I59" s="23" t="str">
        <x:v>EA:124E</x:v>
      </x:c>
      <x:c r="J59" s="23" t="str">
        <x:v>C2 68 6F 75 72 73 C0</x:v>
      </x:c>
      <x:c r="K59" s="23" t="str">
        <x:v>1C2 164 0E3 1C0</x:v>
      </x:c>
    </x:row>
    <x:row r="60">
      <x:c r="A60" s="22" t="str">
        <x:f>"00"</x:f>
        <x:v>00</x:v>
      </x:c>
      <x:c r="B60" s="22" t="str">
        <x:f>"3A"</x:f>
        <x:v>3A</x:v>
      </x:c>
      <x:c r="C60" s="22" t="str">
        <x:f>"0x003A"</x:f>
        <x:v>0x003A</x:v>
      </x:c>
      <x:c r="D60" s="21" t="str">
        <x:v>&lt;NOP&gt;&lt;NUMBER&gt;分</x:v>
      </x:c>
      <x:c r="E60" s="19" t="str">
        <x:v>&lt;NOP&gt;&lt;NUMBER&gt;minutes</x:v>
      </x:c>
      <x:c r="F60" s="20" t="str"/>
      <x:c r="G60" s="20" t="str"/>
      <x:c r="H60" s="23" t="str">
        <x:v>NOP NUMBER END</x:v>
      </x:c>
      <x:c r="I60" s="23" t="str">
        <x:v>EA:1255</x:v>
      </x:c>
      <x:c r="J60" s="23" t="str">
        <x:v>C1 C2 6D 69 6E 75 74 65 73 C0</x:v>
      </x:c>
      <x:c r="K60" s="23" t="str">
        <x:v>1C1 1C2 16C 1C0</x:v>
      </x:c>
    </x:row>
    <x:row r="61">
      <x:c r="A61" s="22" t="str">
        <x:f>"00"</x:f>
        <x:v>00</x:v>
      </x:c>
      <x:c r="B61" s="22" t="str">
        <x:f>"3B"</x:f>
        <x:v>3B</x:v>
      </x:c>
      <x:c r="C61" s="22" t="str">
        <x:f>"0x003B"</x:f>
        <x:v>0x003B</x:v>
      </x:c>
      <x:c r="D61" s="21" t="str">
        <x:v>&lt;NOP&gt;&lt;NUMBER&gt;びょうです&lt;WAIT_INPUT&gt;</x:v>
      </x:c>
      <x:c r="E61" s="19" t="str">
        <x:v>&lt;NOP&gt;&lt;NUMBER&gt;seconds.&lt;WAIT_INPUT&gt;</x:v>
      </x:c>
      <x:c r="F61" s="20" t="str"/>
      <x:c r="G61" s="20" t="str"/>
      <x:c r="H61" s="23" t="str">
        <x:v>NOP NUMBER WAIT_INPUT END</x:v>
      </x:c>
      <x:c r="I61" s="23" t="str">
        <x:v>EA:125F</x:v>
      </x:c>
      <x:c r="J61" s="23" t="str">
        <x:v>C1 C2 73 65 63 6F 6E 64 73 2E C9 C0</x:v>
      </x:c>
      <x:c r="K61" s="23" t="str">
        <x:v>1C1 1C2 084 02A 041 012 084 022 01C 1C9 1C0</x:v>
      </x:c>
    </x:row>
    <x:row r="62">
      <x:c r="A62" s="22" t="str">
        <x:f>"00"</x:f>
        <x:v>00</x:v>
      </x:c>
      <x:c r="B62" s="22" t="str">
        <x:f>"3C"</x:f>
        <x:v>3C</x:v>
      </x:c>
      <x:c r="C62" s="22" t="str">
        <x:f>"0x003C"</x:f>
        <x:v>0x003C</x:v>
      </x:c>
      <x:c r="D62" s="21" t="str">
        <x:v>あなたのプレイ時間は</x:v>
      </x:c>
      <x:c r="E62" s="19" t="str">
        <x:v>Your play time is&lt;LINE&gt;</x:v>
      </x:c>
      <x:c r="F62" s="20" t="str"/>
      <x:c r="G62" s="20" t="str"/>
      <x:c r="H62" s="23" t="str">
        <x:v>LINE END</x:v>
      </x:c>
      <x:c r="I62" s="23" t="str">
        <x:v>EA:126B</x:v>
      </x:c>
      <x:c r="J62" s="23" t="str">
        <x:v>59 6F 75 72 01 70 6C 61 79 01 74 69 6D 65 01 69 73 C3 C0</x:v>
      </x:c>
      <x:c r="K62" s="23" t="str">
        <x:v>010 024 01F 028 083 05D 06B 043 164 0E3 029 1C3 1C0</x:v>
      </x:c>
    </x:row>
    <x:row r="63">
      <x:c r="A63" s="22" t="str">
        <x:f>"00"</x:f>
        <x:v>00</x:v>
      </x:c>
      <x:c r="B63" s="22" t="str">
        <x:f>"3D"</x:f>
        <x:v>3D</x:v>
      </x:c>
      <x:c r="C63" s="22" t="str">
        <x:f>"0x003D"</x:f>
        <x:v>0x003D</x:v>
      </x:c>
      <x:c r="D63" s="21" t="str">
        <x:v>いいかおり&lt;WAIT_INPUT&gt;</x:v>
      </x:c>
      <x:c r="E63" s="19" t="str">
        <x:v>Smells nice.&lt;WAIT_INPUT&gt;</x:v>
      </x:c>
      <x:c r="F63" s="20" t="str"/>
      <x:c r="G63" s="20" t="str"/>
      <x:c r="H63" s="23" t="str">
        <x:v>WAIT_INPUT END</x:v>
      </x:c>
      <x:c r="I63" s="23" t="str">
        <x:v>EA:127E</x:v>
      </x:c>
      <x:c r="J63" s="23" t="str">
        <x:v>53 6D 65 6C 6C 73 01 6E 69 63 65 2E C9 C0</x:v>
      </x:c>
      <x:c r="K63" s="23" t="str">
        <x:v>011 011 015 014 037 1C9 1C0</x:v>
      </x:c>
    </x:row>
    <x:row r="64">
      <x:c r="A64" s="22" t="str">
        <x:f>"00"</x:f>
        <x:v>00</x:v>
      </x:c>
      <x:c r="B64" s="22" t="str">
        <x:f>"3E"</x:f>
        <x:v>3E</x:v>
      </x:c>
      <x:c r="C64" s="22" t="str">
        <x:f>"0x003E"</x:f>
        <x:v>0x003E</x:v>
      </x:c>
      <x:c r="D64" s="21" t="str">
        <x:v>「なんじ この レバーを 動かせ
と 書いてある&lt;WAIT&gt;</x:v>
      </x:c>
      <x:c r="E64" s="19" t="str">
        <x:v>It says, "Move this lever."&lt;WAIT&gt;</x:v>
      </x:c>
      <x:c r="F64" s="20" t="str"/>
      <x:c r="G64" s="20" t="str"/>
      <x:c r="H64" s="23" t="str">
        <x:v>WAIT END</x:v>
      </x:c>
      <x:c r="I64" s="23" t="str">
        <x:v>EA:128C</x:v>
      </x:c>
      <x:c r="J64" s="23" t="str">
        <x:v>49 74 01 73 61 79 73 2C 01 22 4D 6F 76 65 01 74 68 69 73 01 6C 65 76 65 72 2E 22 C5 C0</x:v>
      </x:c>
      <x:c r="K64" s="23" t="str">
        <x:v>07D 024 03D 084 01B 001 019 028 001 06B 084 05B 078 03C 001 0B1 015 01D 1C8 023 001 098 011 022 010 038 1C5 1C0</x:v>
      </x:c>
    </x:row>
    <x:row r="65">
      <x:c r="A65" s="22" t="str">
        <x:f>"00"</x:f>
        <x:v>00</x:v>
      </x:c>
      <x:c r="B65" s="22" t="str">
        <x:f>"3F"</x:f>
        <x:v>3F</x:v>
      </x:c>
      <x:c r="C65" s="22" t="str">
        <x:f>"0x003F"</x:f>
        <x:v>0x003F</x:v>
      </x:c>
      <x:c r="D65" s="21" t="str">
        <x:v>「このレバーですよ
と 書いてある&lt;WAIT&gt;</x:v>
      </x:c>
      <x:c r="E65" s="19" t="str">
        <x:v>It says, "This is the lever."&lt;WAIT&gt;</x:v>
      </x:c>
      <x:c r="F65" s="20" t="str"/>
      <x:c r="G65" s="20" t="str"/>
      <x:c r="H65" s="23" t="str">
        <x:v>WAIT END</x:v>
      </x:c>
      <x:c r="I65" s="23" t="str">
        <x:v>EA:12A9</x:v>
      </x:c>
      <x:c r="J65" s="23" t="str">
        <x:v>49 74 01 73 61 79 73 2C 01 22 54 68 69 73 01 69 73 01 74 68 65 01 6C 65 76 65 72 2E 22 C5 C0</x:v>
      </x:c>
      <x:c r="K65" s="23" t="str">
        <x:v>07D 019 028 06B 084 05B 078 084 022 01C 035 1C8 023 001 098 011 022 010 038 1C5 1C0</x:v>
      </x:c>
    </x:row>
    <x:row r="66">
      <x:c r="A66" s="22" t="str">
        <x:f>"00"</x:f>
        <x:v>00</x:v>
      </x:c>
      <x:c r="B66" s="22" t="str">
        <x:f>"40"</x:f>
        <x:v>40</x:v>
      </x:c>
      <x:c r="C66" s="22" t="str">
        <x:f>"0x0040"</x:f>
        <x:v>0x0040</x:v>
      </x:c>
      <x:c r="D66" s="21" t="str">
        <x:v>レバーを 動かしますか?</x:v>
      </x:c>
      <x:c r="E66" s="19" t="str">
        <x:v>Move the lever?&lt;LINE&gt;</x:v>
      </x:c>
      <x:c r="F66" s="20" t="str"/>
      <x:c r="G66" s="20" t="str"/>
      <x:c r="H66" s="23" t="str">
        <x:v>LINE END</x:v>
      </x:c>
      <x:c r="I66" s="23" t="str">
        <x:v>EA:12C8</x:v>
      </x:c>
      <x:c r="J66" s="23" t="str">
        <x:v>4D 6F 76 65 01 74 68 65 01 6C 65 76 65 72 3F C3 C0</x:v>
      </x:c>
      <x:c r="K66" s="23" t="str">
        <x:v>06B 084 05B 078 03C 001 0B1 015 01B 02E 01C 015 079 1C3 1C0</x:v>
      </x:c>
    </x:row>
    <x:row r="67">
      <x:c r="A67" s="22" t="str">
        <x:f>"00"</x:f>
        <x:v>00</x:v>
      </x:c>
      <x:c r="B67" s="22" t="str">
        <x:f>"41"</x:f>
        <x:v>41</x:v>
      </x:c>
      <x:c r="C67" s="22" t="str">
        <x:f>"0x0041"</x:f>
        <x:v>0x0041</x:v>
      </x:c>
      <x:c r="D67" s="21" t="str">
        <x:v>「使用 ふのう
と 書いてある&lt;WAIT_INPUT&gt;</x:v>
      </x:c>
      <x:c r="E67" s="19" t="str">
        <x:v>It says, "Out of order."&lt;WAIT_INPUT&gt;</x:v>
      </x:c>
      <x:c r="F67" s="20" t="str"/>
      <x:c r="G67" s="20" t="str"/>
      <x:c r="H67" s="23" t="str">
        <x:v>WAIT_INPUT END</x:v>
      </x:c>
      <x:c r="I67" s="23" t="str">
        <x:v>EA:12D9</x:v>
      </x:c>
      <x:c r="J67" s="23" t="str">
        <x:v>49 74 01 73 61 79 73 2C 01 22 4F 75 74 01 6F 66 01 6F 72 64 65 72 2E 22 C9 C0</x:v>
      </x:c>
      <x:c r="K67" s="23" t="str">
        <x:v>07D 123 112 001 02B 028 012 1C8 023 001 098 011 022 010 038 1C9 1C0</x:v>
      </x:c>
    </x:row>
    <x:row r="68">
      <x:c r="A68" s="22" t="str">
        <x:f>"00"</x:f>
        <x:v>00</x:v>
      </x:c>
      <x:c r="B68" s="22" t="str">
        <x:f>"42"</x:f>
        <x:v>42</x:v>
      </x:c>
      <x:c r="C68" s="22" t="str">
        <x:f>"0x0042"</x:f>
        <x:v>0x0042</x:v>
      </x:c>
      <x:c r="D68" s="21" t="str">
        <x:v>「きけん 動かすな
と 書いてある&lt;WAIT&gt;</x:v>
      </x:c>
      <x:c r="E68" s="19" t="str">
        <x:v>It says, "DANGER:
DO NOT MOVE."&lt;WAIT&gt;</x:v>
      </x:c>
      <x:c r="F68" s="20" t="str"/>
      <x:c r="G68" s="20" t="str"/>
      <x:c r="H68" s="23" t="str">
        <x:v>NEWLINE WAIT END</x:v>
      </x:c>
      <x:c r="I68" s="23" t="str">
        <x:v>EA:12F3</x:v>
      </x:c>
      <x:c r="J68" s="23" t="str">
        <x:v>49 74 01 73 61 79 73 2C 01 22 44 41 4E 47 45 52 3A C8 44 4F 01 4E 4F 54 01 4D 4F 56 45 2E 22 C5 C0</x:v>
      </x:c>
      <x:c r="K68" s="23" t="str">
        <x:v>07D 016 018 03D 001 0B1 015 01C 024 1C8 023 001 098 011 022 010 038 1C5 1C0</x:v>
      </x:c>
    </x:row>
    <x:row r="69">
      <x:c r="A69" s="22" t="str">
        <x:f>"00"</x:f>
        <x:v>00</x:v>
      </x:c>
      <x:c r="B69" s="22" t="str">
        <x:f>"43"</x:f>
        <x:v>43</x:v>
      </x:c>
      <x:c r="C69" s="22" t="str">
        <x:f>"0x0043"</x:f>
        <x:v>0x0043</x:v>
      </x:c>
      <x:c r="D69" s="21" t="str">
        <x:v>&lt;INSERT_B&gt;は&lt;NUMBER&gt;のダメージ</x:v>
      </x:c>
      <x:c r="E69" s="19" t="str">
        <x:v>&lt;INSERT_B&gt;
takes &lt;NUMBER&gt; damage.</x:v>
      </x:c>
      <x:c r="F69" s="20" t="str"/>
      <x:c r="G69" s="20" t="str"/>
      <x:c r="H69" s="23" t="str">
        <x:v>INSERT_B NEWLINE NUMBER END</x:v>
      </x:c>
      <x:c r="I69" s="23" t="str">
        <x:v>EA:1314</x:v>
      </x:c>
      <x:c r="J69" s="23" t="str">
        <x:v>CA C8 74 61 6B 65 73 01 C2 01 64 61 6D 61 67 65 2E C0</x:v>
      </x:c>
      <x:c r="K69" s="23" t="str">
        <x:v>1CA 029 1C2 028 084 051 063 078 084 04D 1C0</x:v>
      </x:c>
    </x:row>
    <x:row r="70">
      <x:c r="A70" s="22" t="str">
        <x:f>"00"</x:f>
        <x:v>00</x:v>
      </x:c>
      <x:c r="B70" s="22" t="str">
        <x:f>"44"</x:f>
        <x:v>44</x:v>
      </x:c>
      <x:c r="C70" s="22" t="str">
        <x:f>"0x0044"</x:f>
        <x:v>0x0044</x:v>
      </x:c>
      <x:c r="D70" s="21" t="str">
        <x:v>&lt;INSERT_B&gt;は まぐれで だいダメージをあたえた</x:v>
      </x:c>
      <x:c r="E70" s="19" t="str">
        <x:v>&lt;INSERT_B&gt;
lands a lucky critical hit!</x:v>
      </x:c>
      <x:c r="F70" s="20" t="str"/>
      <x:c r="G70" s="20" t="str"/>
      <x:c r="H70" s="23" t="str">
        <x:v>INSERT_B NEWLINE END</x:v>
      </x:c>
      <x:c r="I70" s="23" t="str">
        <x:v>EA:1326</x:v>
      </x:c>
      <x:c r="J70" s="23" t="str">
        <x:v>CA C8 6C 61 6E 64 73 01 61 01 6C 75 63 6B 79 01 63 72 69 74 69 63 61 6C 01 68 69 74 21 C0</x:v>
      </x:c>
      <x:c r="K70" s="23" t="str">
        <x:v>1CA 029 001 02E 084 017 039 084 022 001 084 01F 011 084 051 063 078 084 04D 03C 010 01F 013 01F 1C0</x:v>
      </x:c>
    </x:row>
    <x:row r="71">
      <x:c r="A71" s="22" t="str">
        <x:f>"00"</x:f>
        <x:v>00</x:v>
      </x:c>
      <x:c r="B71" s="22" t="str">
        <x:f>"45"</x:f>
        <x:v>45</x:v>
      </x:c>
      <x:c r="C71" s="22" t="str">
        <x:f>"0x0045"</x:f>
        <x:v>0x0045</x:v>
      </x:c>
      <x:c r="D71" s="21" t="str">
        <x:v>&lt;INSERT_B&gt;は ゆだんたいてき だいダメージをうけた</x:v>
      </x:c>
      <x:c r="E71" s="19" t="str">
        <x:v>&lt;INSERT_B&gt;
was caught off guard
and took heavy damage!</x:v>
      </x:c>
      <x:c r="F71" s="20" t="str"/>
      <x:c r="G71" s="20" t="str"/>
      <x:c r="H71" s="23" t="str">
        <x:v>INSERT_B NEWLINE NEWLINE END</x:v>
      </x:c>
      <x:c r="I71" s="23" t="str">
        <x:v>EA:1344</x:v>
      </x:c>
      <x:c r="J71" s="23" t="str">
        <x:v>CA C8 77 61 73 01 63 61 75 67 68 74 01 6F 66 66 01 67 75 61 72 64 C8 61 6E 64 01 74 6F 6F 6B 01 68 65 61 76 79 01 64 61 6D 61 67 65 21 C0</x:v>
      </x:c>
      <x:c r="K71" s="23" t="str">
        <x:v>1CA 029 001 034 084 01F 03D 01F 011 022 016 001 084 01F 011 084 051 063 078 084 04D 03C 012 018 01F 1C0</x:v>
      </x:c>
    </x:row>
    <x:row r="72">
      <x:c r="A72" s="22" t="str">
        <x:f>"00"</x:f>
        <x:v>00</x:v>
      </x:c>
      <x:c r="B72" s="22" t="str">
        <x:f>"46"</x:f>
        <x:v>46</x:v>
      </x:c>
      <x:c r="C72" s="22" t="str">
        <x:f>"0x0046"</x:f>
        <x:v>0x0046</x:v>
      </x:c>
      <x:c r="D72" s="21" t="str">
        <x:v>&lt;INSERT_B&gt;は たすけをよんだ</x:v>
      </x:c>
      <x:c r="E72" s="19" t="str">
        <x:v>&lt;INSERT_B&gt;
called for help.</x:v>
      </x:c>
      <x:c r="F72" s="20" t="str"/>
      <x:c r="G72" s="20" t="str"/>
      <x:c r="H72" s="23" t="str">
        <x:v>INSERT_B NEWLINE END</x:v>
      </x:c>
      <x:c r="I72" s="23" t="str">
        <x:v>EA:1372</x:v>
      </x:c>
      <x:c r="J72" s="23" t="str">
        <x:v>CA C8 63 61 6C 6C 65 64 01 66 6F 72 01 68 65 6C 70 2E C0</x:v>
      </x:c>
      <x:c r="K72" s="23" t="str">
        <x:v>1CA 029 001 01F 01C 018 03C 035 03D 084 01F 1C0</x:v>
      </x:c>
    </x:row>
    <x:row r="73">
      <x:c r="A73" s="22" t="str">
        <x:f>"00"</x:f>
        <x:v>00</x:v>
      </x:c>
      <x:c r="B73" s="22" t="str">
        <x:f>"47"</x:f>
        <x:v>47</x:v>
      </x:c>
      <x:c r="C73" s="22" t="str">
        <x:f>"0x0047"</x:f>
        <x:v>0x0047</x:v>
      </x:c>
      <x:c r="D73" s="21" t="str">
        <x:v>&lt;INSERT_B&gt;は たいきゃくした</x:v>
      </x:c>
      <x:c r="E73" s="19" t="str">
        <x:v>&lt;INSERT_B&gt; retreated.</x:v>
      </x:c>
      <x:c r="F73" s="20" t="str"/>
      <x:c r="G73" s="20" t="str"/>
      <x:c r="H73" s="23" t="str">
        <x:v>INSERT_B END</x:v>
      </x:c>
      <x:c r="I73" s="23" t="str">
        <x:v>EA:1385</x:v>
      </x:c>
      <x:c r="J73" s="23" t="str">
        <x:v>CA 01 72 65 74 72 65 61 74 65 64 2E C0</x:v>
      </x:c>
      <x:c r="K73" s="23" t="str">
        <x:v>1CA 029 001 01F 011 016 03F 017 01B 01F 1C0</x:v>
      </x:c>
    </x:row>
    <x:row r="74">
      <x:c r="A74" s="22" t="str">
        <x:f>"00"</x:f>
        <x:v>00</x:v>
      </x:c>
      <x:c r="B74" s="22" t="str">
        <x:f>"48"</x:f>
        <x:v>48</x:v>
      </x:c>
      <x:c r="C74" s="22" t="str">
        <x:f>"0x0048"</x:f>
        <x:v>0x0048</x:v>
      </x:c>
      <x:c r="D74" s="21" t="str">
        <x:v>&lt;INSERT_B&gt;は &lt;INSERT_A&gt;を つかった</x:v>
      </x:c>
      <x:c r="E74" s="19" t="str">
        <x:v>&lt;INSERT_B&gt;
used &lt;INSERT_A&gt;.</x:v>
      </x:c>
      <x:c r="F74" s="20" t="str"/>
      <x:c r="G74" s="20" t="str"/>
      <x:c r="H74" s="23" t="str">
        <x:v>INSERT_B NEWLINE INSERT_A END</x:v>
      </x:c>
      <x:c r="I74" s="23" t="str">
        <x:v>EA:1392</x:v>
      </x:c>
      <x:c r="J74" s="23" t="str">
        <x:v>CA C8 75 73 65 64 01 C4 2E C0</x:v>
      </x:c>
      <x:c r="K74" s="23" t="str">
        <x:v>1CA 029 001 1C4 03C 001 021 015 03E 01F 1C0</x:v>
      </x:c>
    </x:row>
    <x:row r="75">
      <x:c r="A75" s="22" t="str">
        <x:f>"00"</x:f>
        <x:v>00</x:v>
      </x:c>
      <x:c r="B75" s="22" t="str">
        <x:f>"49"</x:f>
        <x:v>49</x:v>
      </x:c>
      <x:c r="C75" s="22" t="str">
        <x:f>"0x0049"</x:f>
        <x:v>0x0049</x:v>
      </x:c>
      <x:c r="D75" s="21" t="str">
        <x:v>&lt;INSERT_B&gt;は &lt;INSERT_B&gt;を かけた</x:v>
      </x:c>
      <x:c r="E75" s="19" t="str">
        <x:v>&lt;INSERT_B&gt; cast
&lt;INSERT_B&gt;.</x:v>
      </x:c>
      <x:c r="F75" s="20" t="str"/>
      <x:c r="G75" s="20" t="str"/>
      <x:c r="H75" s="23" t="str">
        <x:v>INSERT_B NEWLINE INSERT_B END</x:v>
      </x:c>
      <x:c r="I75" s="23" t="str">
        <x:v>EA:139C</x:v>
      </x:c>
      <x:c r="J75" s="23" t="str">
        <x:v>CA 01 63 61 73 74 C8 CA 2E C0</x:v>
      </x:c>
      <x:c r="K75" s="23" t="str">
        <x:v>1CA 029 001 1CA 03C 001 015 018 01F 1C0</x:v>
      </x:c>
    </x:row>
    <x:row r="76">
      <x:c r="A76" s="22" t="str">
        <x:f>"00"</x:f>
        <x:v>00</x:v>
      </x:c>
      <x:c r="B76" s="22" t="str">
        <x:f>"4A"</x:f>
        <x:v>4A</x:v>
      </x:c>
      <x:c r="C76" s="22" t="str">
        <x:f>"0x004A"</x:f>
        <x:v>0x004A</x:v>
      </x:c>
      <x:c r="D76" s="21" t="str">
        <x:v>しかし SPぶそくで となえられない</x:v>
      </x:c>
      <x:c r="E76" s="19" t="str">
        <x:v>But there isn't
enough SP to cast it.</x:v>
      </x:c>
      <x:c r="F76" s="20" t="str"/>
      <x:c r="G76" s="20" t="str"/>
      <x:c r="H76" s="23" t="str">
        <x:v>NEWLINE END</x:v>
      </x:c>
      <x:c r="I76" s="23" t="str">
        <x:v>EA:13A6</x:v>
      </x:c>
      <x:c r="J76" s="23" t="str">
        <x:v>42 75 74 01 74 68 65 72 65 01 69 73 6E 27 74 C8 65 6E 6F 75 67 68 01 53 50 01 74 6F 01 63 61 73 74 01 69 74 2E C0</x:v>
      </x:c>
      <x:c r="K76" s="23" t="str">
        <x:v>01B 015 01B 001 00D 00E 084 02B 01E 017 084 022 001 023 024 013 036 039 024 011 1C0</x:v>
      </x:c>
    </x:row>
    <x:row r="77">
      <x:c r="A77" s="22" t="str">
        <x:f>"00"</x:f>
        <x:v>00</x:v>
      </x:c>
      <x:c r="B77" s="22" t="str">
        <x:f>"4B"</x:f>
        <x:v>4B</x:v>
      </x:c>
      <x:c r="C77" s="22" t="str">
        <x:f>"0x004B"</x:f>
        <x:v>0x004B</x:v>
      </x:c>
      <x:c r="D77" s="21" t="str">
        <x:v>&lt;INSERT_B&gt;は おちてしまった</x:v>
      </x:c>
      <x:c r="E77" s="19" t="str">
        <x:v>&lt;INSERT_B&gt; fell.</x:v>
      </x:c>
      <x:c r="F77" s="20" t="str"/>
      <x:c r="G77" s="20" t="str"/>
      <x:c r="H77" s="23" t="str">
        <x:v>INSERT_B END</x:v>
      </x:c>
      <x:c r="I77" s="23" t="str">
        <x:v>EA:13CC</x:v>
      </x:c>
      <x:c r="J77" s="23" t="str">
        <x:v>CA 01 66 65 6C 6C 2E C0</x:v>
      </x:c>
      <x:c r="K77" s="23" t="str">
        <x:v>1CA 029 001 014 020 022 01B 02E 03E 01F 1C0</x:v>
      </x:c>
    </x:row>
    <x:row r="78">
      <x:c r="A78" s="22" t="str">
        <x:f>"00"</x:f>
        <x:v>00</x:v>
      </x:c>
      <x:c r="B78" s="22" t="str">
        <x:f>"4C"</x:f>
        <x:v>4C</x:v>
      </x:c>
      <x:c r="C78" s="22" t="str">
        <x:f>"0x004C"</x:f>
        <x:v>0x004C</x:v>
      </x:c>
      <x:c r="D78" s="21" t="str">
        <x:v>&lt;INSERT_B&gt;は たいきゃくした&lt;WAIT&gt;</x:v>
      </x:c>
      <x:c r="E78" s="19" t="str">
        <x:v>&lt;INSERT_B&gt; retreated.&lt;WAIT&gt;</x:v>
      </x:c>
      <x:c r="F78" s="20" t="str"/>
      <x:c r="G78" s="20" t="str"/>
      <x:c r="H78" s="23" t="str">
        <x:v>INSERT_B WAIT END</x:v>
      </x:c>
      <x:c r="I78" s="23" t="str">
        <x:v>EA:13D4</x:v>
      </x:c>
      <x:c r="J78" s="23" t="str">
        <x:v>CA 01 72 65 74 72 65 61 74 65 64 2E C5 C0</x:v>
      </x:c>
      <x:c r="K78" s="23" t="str">
        <x:v>1CA 029 001 01F 011 016 03F 017 01B 01F 1C5 1C0</x:v>
      </x:c>
    </x:row>
    <x:row r="79">
      <x:c r="A79" s="22" t="str">
        <x:f>"00"</x:f>
        <x:v>00</x:v>
      </x:c>
      <x:c r="B79" s="22" t="str">
        <x:f>"4D"</x:f>
        <x:v>4D</x:v>
      </x:c>
      <x:c r="C79" s="22" t="str">
        <x:f>"0x004D"</x:f>
        <x:v>0x004D</x:v>
      </x:c>
      <x:c r="D79" s="21" t="str">
        <x:v>&lt;INSERT_B&gt;が おそってきた</x:v>
      </x:c>
      <x:c r="E79" s="19" t="str">
        <x:v>&lt;INSERT_B&gt; attacked!</x:v>
      </x:c>
      <x:c r="F79" s="20" t="str"/>
      <x:c r="G79" s="20" t="str"/>
      <x:c r="H79" s="23" t="str">
        <x:v>INSERT_B END</x:v>
      </x:c>
      <x:c r="I79" s="23" t="str">
        <x:v>EA:13E2</x:v>
      </x:c>
      <x:c r="J79" s="23" t="str">
        <x:v>CA 01 61 74 74 61 63 6B 65 64 21 C0</x:v>
      </x:c>
      <x:c r="K79" s="23" t="str">
        <x:v>1CA 084 015 001 014 01E 03E 022 016 01F 1C0</x:v>
      </x:c>
    </x:row>
    <x:row r="80">
      <x:c r="A80" s="22" t="str">
        <x:f>"00"</x:f>
        <x:v>00</x:v>
      </x:c>
      <x:c r="B80" s="22" t="str">
        <x:f>"4E"</x:f>
        <x:v>4E</x:v>
      </x:c>
      <x:c r="C80" s="22" t="str">
        <x:f>"0x004E"</x:f>
        <x:v>0x004E</x:v>
      </x:c>
      <x:c r="D80" s="21" t="str">
        <x:v>にげられない ざんねんです&lt;WAIT&gt;</x:v>
      </x:c>
      <x:c r="E80" s="19" t="str">
        <x:v>No escape. Too bad.&lt;WAIT&gt;</x:v>
      </x:c>
      <x:c r="F80" s="20" t="str"/>
      <x:c r="G80" s="20" t="str"/>
      <x:c r="H80" s="23" t="str">
        <x:v>WAIT END</x:v>
      </x:c>
      <x:c r="I80" s="23" t="str">
        <x:v>EA:13EE</x:v>
      </x:c>
      <x:c r="J80" s="23" t="str">
        <x:v>4E 6F 01 65 73 63 61 70 65 2E 01 54 6F 6F 01 62 61 64 2E C5 C0</x:v>
      </x:c>
      <x:c r="K80" s="23" t="str">
        <x:v>025 084 018 036 039 024 011 001 084 01A 03D 027 03D 084 022 01C 1C5 1C0</x:v>
      </x:c>
    </x:row>
    <x:row r="81">
      <x:c r="A81" s="22" t="str">
        <x:f>"00"</x:f>
        <x:v>00</x:v>
      </x:c>
      <x:c r="B81" s="22" t="str">
        <x:f>"4F"</x:f>
        <x:v>4F</x:v>
      </x:c>
      <x:c r="C81" s="22" t="str">
        <x:f>"0x004F"</x:f>
        <x:v>0x004F</x:v>
      </x:c>
      <x:c r="D81" s="21" t="str">
        <x:v>&lt;INSERT_B&gt;は きあいをいれている</x:v>
      </x:c>
      <x:c r="E81" s="19" t="str">
        <x:v>&lt;INSERT_B&gt;
is psyching up.</x:v>
      </x:c>
      <x:c r="F81" s="20" t="str"/>
      <x:c r="G81" s="20" t="str"/>
      <x:c r="H81" s="23" t="str">
        <x:v>INSERT_B NEWLINE END</x:v>
      </x:c>
      <x:c r="I81" s="23" t="str">
        <x:v>EA:1403</x:v>
      </x:c>
      <x:c r="J81" s="23" t="str">
        <x:v>CA C8 69 73 01 70 73 79 63 68 69 6E 67 01 75 70 2E C0</x:v>
      </x:c>
      <x:c r="K81" s="23" t="str">
        <x:v>1CA 029 001 016 010 011 03C 011 039 022 011 038 1C0</x:v>
      </x:c>
    </x:row>
    <x:row r="82">
      <x:c r="A82" s="22" t="str">
        <x:f>"00"</x:f>
        <x:v>00</x:v>
      </x:c>
      <x:c r="B82" s="22" t="str">
        <x:f>"50"</x:f>
        <x:v>50</x:v>
      </x:c>
      <x:c r="C82" s="22" t="str">
        <x:f>"0x0050"</x:f>
        <x:v>0x0050</x:v>
      </x:c>
      <x:c r="D82" s="21" t="str">
        <x:v>しかし くちがひらかず まじゅつはつかえない</x:v>
      </x:c>
      <x:c r="E82" s="19" t="str">
        <x:v>But its mouth won't
open. It can't cast magic.</x:v>
      </x:c>
      <x:c r="F82" s="20" t="str"/>
      <x:c r="G82" s="20" t="str"/>
      <x:c r="H82" s="23" t="str">
        <x:v>NEWLINE END</x:v>
      </x:c>
      <x:c r="I82" s="23" t="str">
        <x:v>EA:1415</x:v>
      </x:c>
      <x:c r="J82" s="23" t="str">
        <x:v>42 75 74 01 69 74 73 01 6D 6F 75 74 68 01 77 6F 6E 27 74 C8 6F 70 65 6E 2E 01 49 74 01 63 61 6E 27 74 01 63 61 73 74 01 6D 61 67 69 63 2E C0</x:v>
      </x:c>
      <x:c r="K82" s="23" t="str">
        <x:v>01B 015 01B 001 017 020 084 015 02A 036 015 084 01C 001 02E 084 01B 040 021 029 021 015 013 024 011 1C0</x:v>
      </x:c>
    </x:row>
    <x:row r="83">
      <x:c r="A83" s="22" t="str">
        <x:f>"00"</x:f>
        <x:v>00</x:v>
      </x:c>
      <x:c r="B83" s="22" t="str">
        <x:f>"51"</x:f>
        <x:v>51</x:v>
      </x:c>
      <x:c r="C83" s="22" t="str">
        <x:f>"0x0051"</x:f>
        <x:v>0x0051</x:v>
      </x:c>
      <x:c r="D83" s="21" t="str">
        <x:v>しかし のろいで まじゅつがつかえない</x:v>
      </x:c>
      <x:c r="E83" s="19" t="str">
        <x:v>But a curse prevents magic.</x:v>
      </x:c>
      <x:c r="F83" s="20" t="str"/>
      <x:c r="G83" s="20" t="str"/>
      <x:c r="H83" s="23" t="str">
        <x:v>END</x:v>
      </x:c>
      <x:c r="I83" s="23" t="str">
        <x:v>EA:1444</x:v>
      </x:c>
      <x:c r="J83" s="23" t="str">
        <x:v>42 75 74 01 61 01 63 75 72 73 65 01 70 72 65 76 65 6E 74 73 01 6D 61 67 69 63 2E C0</x:v>
      </x:c>
      <x:c r="K83" s="23" t="str">
        <x:v>01B 015 01B 001 028 03A 011 084 022 001 02E 084 01B 040 021 084 015 021 015 013 024 011 1C0</x:v>
      </x:c>
    </x:row>
    <x:row r="84">
      <x:c r="A84" s="22" t="str">
        <x:f>"00"</x:f>
        <x:v>00</x:v>
      </x:c>
      <x:c r="B84" s="22" t="str">
        <x:f>"52"</x:f>
        <x:v>52</x:v>
      </x:c>
      <x:c r="C84" s="22" t="str">
        <x:f>"0x0052"</x:f>
        <x:v>0x0052</x:v>
      </x:c>
      <x:c r="D84" s="21" t="str">
        <x:v>しかし なにもおこらない</x:v>
      </x:c>
      <x:c r="E84" s="19" t="str">
        <x:v>But nothing happened.</x:v>
      </x:c>
      <x:c r="F84" s="20" t="str"/>
      <x:c r="G84" s="20" t="str"/>
      <x:c r="H84" s="23" t="str">
        <x:v>END</x:v>
      </x:c>
      <x:c r="I84" s="23" t="str">
        <x:v>EA:1460</x:v>
      </x:c>
      <x:c r="J84" s="23" t="str">
        <x:v>42 75 74 01 6E 6F 74 68 69 6E 67 01 68 61 70 70 65 6E 65 64 2E C0</x:v>
      </x:c>
      <x:c r="K84" s="23" t="str">
        <x:v>01B 015 01B 001 024 025 032 014 019 036 024 011 1C0</x:v>
      </x:c>
    </x:row>
    <x:row r="85">
      <x:c r="A85" s="22" t="str">
        <x:f>"00"</x:f>
        <x:v>00</x:v>
      </x:c>
      <x:c r="B85" s="22" t="str">
        <x:f>"53"</x:f>
        <x:v>53</x:v>
      </x:c>
      <x:c r="C85" s="22" t="str">
        <x:f>"0x0053"</x:f>
        <x:v>0x0053</x:v>
      </x:c>
      <x:c r="D85" s="21" t="str">
        <x:v>しかし まじゅつは いまは つかえない</x:v>
      </x:c>
      <x:c r="E85" s="19" t="str">
        <x:v>But magic can't
be used right now.</x:v>
      </x:c>
      <x:c r="F85" s="20" t="str"/>
      <x:c r="G85" s="20" t="str"/>
      <x:c r="H85" s="23" t="str">
        <x:v>NEWLINE END</x:v>
      </x:c>
      <x:c r="I85" s="23" t="str">
        <x:v>EA:1476</x:v>
      </x:c>
      <x:c r="J85" s="23" t="str">
        <x:v>42 75 74 01 6D 61 67 69 63 01 63 61 6E 27 74 C8 62 65 01 75 73 65 64 01 72 69 67 68 74 01 6E 6F 77 2E C0</x:v>
      </x:c>
      <x:c r="K85" s="23" t="str">
        <x:v>01B 015 01B 001 02E 084 01B 040 021 029 001 011 02E 029 001 021 015 013 024 011 1C0</x:v>
      </x:c>
    </x:row>
    <x:row r="86">
      <x:c r="A86" s="22" t="str">
        <x:f>"00"</x:f>
        <x:v>00</x:v>
      </x:c>
      <x:c r="B86" s="22" t="str">
        <x:f>"54"</x:f>
        <x:v>54</x:v>
      </x:c>
      <x:c r="C86" s="22" t="str">
        <x:f>"0x0054"</x:f>
        <x:v>0x0054</x:v>
      </x:c>
      <x:c r="D86" s="21" t="str">
        <x:v>&lt;INSERT_A&gt;は あとかたもなく ちった</x:v>
      </x:c>
      <x:c r="E86" s="19" t="str">
        <x:v>&lt;INSERT_A&gt;
vanished without a trace.</x:v>
      </x:c>
      <x:c r="F86" s="20" t="str"/>
      <x:c r="G86" s="20" t="str"/>
      <x:c r="H86" s="23" t="str">
        <x:v>INSERT_A NEWLINE END</x:v>
      </x:c>
      <x:c r="I86" s="23" t="str">
        <x:v>EA:1499</x:v>
      </x:c>
      <x:c r="J86" s="23" t="str">
        <x:v>C4 C8 76 61 6E 69 73 68 65 64 01 77 69 74 68 6F 75 74 01 61 01 74 72 61 63 65 2E C0</x:v>
      </x:c>
      <x:c r="K86" s="23" t="str">
        <x:v>1C4 029 001 010 023 015 01F 032 024 017 001 020 03E 01F 1C0</x:v>
      </x:c>
    </x:row>
    <x:row r="87">
      <x:c r="A87" s="22" t="str">
        <x:f>"00"</x:f>
        <x:v>00</x:v>
      </x:c>
      <x:c r="B87" s="22" t="str">
        <x:f>"55"</x:f>
        <x:v>55</x:v>
      </x:c>
      <x:c r="C87" s="22" t="str">
        <x:f>"0x0055"</x:f>
        <x:v>0x0055</x:v>
      </x:c>
      <x:c r="D87" s="21" t="str">
        <x:v>&lt;INSERT_B&gt;は まわりが なにも みえない</x:v>
      </x:c>
      <x:c r="E87" s="19" t="str">
        <x:v>&lt;INSERT_B&gt; can't
see anything around them.</x:v>
      </x:c>
      <x:c r="F87" s="20" t="str"/>
      <x:c r="G87" s="20" t="str"/>
      <x:c r="H87" s="23" t="str">
        <x:v>INSERT_B NEWLINE END</x:v>
      </x:c>
      <x:c r="I87" s="23" t="str">
        <x:v>EA:14B5</x:v>
      </x:c>
      <x:c r="J87" s="23" t="str">
        <x:v>CA 01 63 61 6E 27 74 C8 73 65 65 01 61 6E 79 74 68 69 6E 67 01 61 72 6F 75 6E 64 01 74 68 65 6D 2E C0</x:v>
      </x:c>
      <x:c r="K87" s="23" t="str">
        <x:v>1CA 029 001 02E 03B 037 084 015 001 024 025 032 001 02F 013 024 011 1C0</x:v>
      </x:c>
    </x:row>
    <x:row r="88">
      <x:c r="A88" s="22" t="str">
        <x:f>"00"</x:f>
        <x:v>00</x:v>
      </x:c>
      <x:c r="B88" s="22" t="str">
        <x:f>"56"</x:f>
        <x:v>56</x:v>
      </x:c>
      <x:c r="C88" s="22" t="str">
        <x:f>"0x0056"</x:f>
        <x:v>0x0056</x:v>
      </x:c>
      <x:c r="D88" s="21" t="str">
        <x:v>&lt;INSERT_B&gt;は しっぽをふっている</x:v>
      </x:c>
      <x:c r="E88" s="19" t="str">
        <x:v>&lt;INSERT_B&gt;
is wagging its tail.</x:v>
      </x:c>
      <x:c r="F88" s="20" t="str"/>
      <x:c r="G88" s="20" t="str"/>
      <x:c r="H88" s="23" t="str">
        <x:v>INSERT_B NEWLINE END</x:v>
      </x:c>
      <x:c r="I88" s="23" t="str">
        <x:v>EA:14D7</x:v>
      </x:c>
      <x:c r="J88" s="23" t="str">
        <x:v>CA C8 69 73 01 77 61 67 67 69 6E 67 01 69 74 73 01 74 61 69 6C 2E C0</x:v>
      </x:c>
      <x:c r="K88" s="23" t="str">
        <x:v>1CA 029 001 01B 03E 083 02D 03C 02B 03E 022 011 038 1C0</x:v>
      </x:c>
    </x:row>
    <x:row r="89">
      <x:c r="A89" s="22" t="str">
        <x:f>"00"</x:f>
        <x:v>00</x:v>
      </x:c>
      <x:c r="B89" s="22" t="str">
        <x:f>"57"</x:f>
        <x:v>57</x:v>
      </x:c>
      <x:c r="C89" s="22" t="str">
        <x:f>"0x0057"</x:f>
        <x:v>0x0057</x:v>
      </x:c>
      <x:c r="D89" s="21" t="str">
        <x:v>&lt;INSERT_B&gt;は とっしんした</x:v>
      </x:c>
      <x:c r="E89" s="19" t="str">
        <x:v>&lt;INSERT_B&gt; charged!</x:v>
      </x:c>
      <x:c r="F89" s="20" t="str"/>
      <x:c r="G89" s="20" t="str"/>
      <x:c r="H89" s="23" t="str">
        <x:v>INSERT_B END</x:v>
      </x:c>
      <x:c r="I89" s="23" t="str">
        <x:v>EA:14EE</x:v>
      </x:c>
      <x:c r="J89" s="23" t="str">
        <x:v>CA 01 63 68 61 72 67 65 64 21 C0</x:v>
      </x:c>
      <x:c r="K89" s="23" t="str">
        <x:v>1CA 029 001 023 03E 01B 03D 01B 01F 1C0</x:v>
      </x:c>
    </x:row>
    <x:row r="90">
      <x:c r="A90" s="22" t="str">
        <x:f>"00"</x:f>
        <x:v>00</x:v>
      </x:c>
      <x:c r="B90" s="22" t="str">
        <x:f>"58"</x:f>
        <x:v>58</x:v>
      </x:c>
      <x:c r="C90" s="22" t="str">
        <x:f>"0x0058"</x:f>
        <x:v>0x0058</x:v>
      </x:c>
      <x:c r="D90" s="21" t="str">
        <x:v>&lt;INSERT_B&gt;は でんげきを はっした</x:v>
      </x:c>
      <x:c r="E90" s="19" t="str">
        <x:v>&lt;INSERT_B&gt;
unleashed an electric shock!</x:v>
      </x:c>
      <x:c r="F90" s="20" t="str"/>
      <x:c r="G90" s="20" t="str"/>
      <x:c r="H90" s="23" t="str">
        <x:v>INSERT_B NEWLINE END</x:v>
      </x:c>
      <x:c r="I90" s="23" t="str">
        <x:v>EA:14F9</x:v>
      </x:c>
      <x:c r="J90" s="23" t="str">
        <x:v>CA C8 75 6E 6C 65 61 73 68 65 64 01 61 6E 01 65 6C 65 63 74 72 69 63 01 73 68 6F 63 6B 21 C0</x:v>
      </x:c>
      <x:c r="K90" s="23" t="str">
        <x:v>1CA 029 001 084 022 03D 084 018 016 03C 001 029 03E 01B 01F 1C0</x:v>
      </x:c>
    </x:row>
    <x:row r="91">
      <x:c r="A91" s="22" t="str">
        <x:f>"00"</x:f>
        <x:v>00</x:v>
      </x:c>
      <x:c r="B91" s="22" t="str">
        <x:f>"59"</x:f>
        <x:v>59</x:v>
      </x:c>
      <x:c r="C91" s="22" t="str">
        <x:f>"0x0059"</x:f>
        <x:v>0x0059</x:v>
      </x:c>
      <x:c r="D91" s="21" t="str">
        <x:v>&lt;INSERT_B&gt;の でんげきは あたらなかった</x:v>
      </x:c>
      <x:c r="E91" s="19" t="str">
        <x:v>&lt;INSERT_B&gt;'s
shock missed.</x:v>
      </x:c>
      <x:c r="F91" s="20" t="str"/>
      <x:c r="G91" s="20" t="str"/>
      <x:c r="H91" s="23" t="str">
        <x:v>INSERT_B NEWLINE END</x:v>
      </x:c>
      <x:c r="I91" s="23" t="str">
        <x:v>EA:1518</x:v>
      </x:c>
      <x:c r="J91" s="23" t="str">
        <x:v>CA 27 73 C8 73 68 6F 63 6B 01 6D 69 73 73 65 64 2E C0</x:v>
      </x:c>
      <x:c r="K91" s="23" t="str">
        <x:v>1CA 028 001 084 022 03D 084 018 016 029 001 010 01F 036 024 015 03E 01F 1C0</x:v>
      </x:c>
    </x:row>
    <x:row r="92">
      <x:c r="A92" s="22" t="str">
        <x:f>"00"</x:f>
        <x:v>00</x:v>
      </x:c>
      <x:c r="B92" s="22" t="str">
        <x:f>"5A"</x:f>
        <x:v>5A</x:v>
      </x:c>
      <x:c r="C92" s="22" t="str">
        <x:f>"0x005A"</x:f>
        <x:v>0x005A</x:v>
      </x:c>
      <x:c r="D92" s="21" t="str">
        <x:v>&lt;INSERT_B&gt;は ぶんしんした</x:v>
      </x:c>
      <x:c r="E92" s="19" t="str">
        <x:v>&lt;INSERT_B&gt;
split into copies!</x:v>
      </x:c>
      <x:c r="F92" s="20" t="str"/>
      <x:c r="G92" s="20" t="str"/>
      <x:c r="H92" s="23" t="str">
        <x:v>INSERT_B NEWLINE END</x:v>
      </x:c>
      <x:c r="I92" s="23" t="str">
        <x:v>EA:152A</x:v>
      </x:c>
      <x:c r="J92" s="23" t="str">
        <x:v>CA C8 73 70 6C 69 74 01 69 6E 74 6F 01 63 6F 70 69 65 73 21 C0</x:v>
      </x:c>
      <x:c r="K92" s="23" t="str">
        <x:v>1CA 029 001 084 02B 03D 01B 03D 01B 01F 1C0</x:v>
      </x:c>
    </x:row>
    <x:row r="93">
      <x:c r="A93" s="22" t="str">
        <x:f>"00"</x:f>
        <x:v>00</x:v>
      </x:c>
      <x:c r="B93" s="22" t="str">
        <x:f>"5B"</x:f>
        <x:v>5B</x:v>
      </x:c>
      <x:c r="C93" s="22" t="str">
        <x:f>"0x005B"</x:f>
        <x:v>0x005B</x:v>
      </x:c>
      <x:c r="D93" s="21" t="str">
        <x:v>&lt;INSERT_B&gt;は ぼーっとしている</x:v>
      </x:c>
      <x:c r="E93" s="19" t="str">
        <x:v>&lt;INSERT_B&gt; is dazed.</x:v>
      </x:c>
      <x:c r="F93" s="20" t="str"/>
      <x:c r="G93" s="20" t="str"/>
      <x:c r="H93" s="23" t="str">
        <x:v>INSERT_B END</x:v>
      </x:c>
      <x:c r="I93" s="23" t="str">
        <x:v>EA:153F</x:v>
      </x:c>
      <x:c r="J93" s="23" t="str">
        <x:v>CA 01 69 73 01 64 61 7A 65 64 2E C0</x:v>
      </x:c>
      <x:c r="K93" s="23" t="str">
        <x:v>1CA 029 001 084 02D 078 03E 023 01B 022 011 038 1C0</x:v>
      </x:c>
    </x:row>
    <x:row r="94">
      <x:c r="A94" s="22" t="str">
        <x:f>"00"</x:f>
        <x:v>00</x:v>
      </x:c>
      <x:c r="B94" s="22" t="str">
        <x:f>"5C"</x:f>
        <x:v>5C</x:v>
      </x:c>
      <x:c r="C94" s="22" t="str">
        <x:f>"0x005C"</x:f>
        <x:v>0x005C</x:v>
      </x:c>
      <x:c r="D94" s="21" t="str">
        <x:v>&lt;INSERT_B&gt;は おどった</x:v>
      </x:c>
      <x:c r="E94" s="19" t="str">
        <x:v>&lt;INSERT_B&gt; danced.</x:v>
      </x:c>
      <x:c r="F94" s="20" t="str"/>
      <x:c r="G94" s="20" t="str"/>
      <x:c r="H94" s="23" t="str">
        <x:v>INSERT_B END</x:v>
      </x:c>
      <x:c r="I94" s="23" t="str">
        <x:v>EA:154B</x:v>
      </x:c>
      <x:c r="J94" s="23" t="str">
        <x:v>CA 01 64 61 6E 63 65 64 2E C0</x:v>
      </x:c>
      <x:c r="K94" s="23" t="str">
        <x:v>1CA 029 001 014 084 023 03E 01F 1C0</x:v>
      </x:c>
    </x:row>
    <x:row r="95">
      <x:c r="A95" s="22" t="str">
        <x:f>"00"</x:f>
        <x:v>00</x:v>
      </x:c>
      <x:c r="B95" s="22" t="str">
        <x:f>"5D"</x:f>
        <x:v>5D</x:v>
      </x:c>
      <x:c r="C95" s="22" t="str">
        <x:f>"0x005D"</x:f>
        <x:v>0x005D</x:v>
      </x:c>
      <x:c r="D95" s="21" t="str">
        <x:v>&lt;INSERT_B&gt;は ウォークライをさけんだ</x:v>
      </x:c>
      <x:c r="E95" s="19" t="str">
        <x:v>&lt;INSERT_B&gt;
shouted a war cry!</x:v>
      </x:c>
      <x:c r="F95" s="20" t="str"/>
      <x:c r="G95" s="20" t="str"/>
      <x:c r="H95" s="23" t="str">
        <x:v>INSERT_B NEWLINE END</x:v>
      </x:c>
      <x:c r="I95" s="23" t="str">
        <x:v>EA:1555</x:v>
      </x:c>
      <x:c r="J95" s="23" t="str">
        <x:v>CA C8 73 68 6F 75 74 65 64 01 61 01 77 61 72 01 63 72 79 21 C0</x:v>
      </x:c>
      <x:c r="K95" s="23" t="str">
        <x:v>1CA 029 001 044 077 078 049 068 043 03C 01A 018 03D 084 01F 1C0</x:v>
      </x:c>
    </x:row>
    <x:row r="96">
      <x:c r="A96" s="22" t="str">
        <x:f>"00"</x:f>
        <x:v>00</x:v>
      </x:c>
      <x:c r="B96" s="22" t="str">
        <x:f>"5E"</x:f>
        <x:v>5E</x:v>
      </x:c>
      <x:c r="C96" s="22" t="str">
        <x:f>"0x005E"</x:f>
        <x:v>0x005E</x:v>
      </x:c>
      <x:c r="D96" s="21" t="str">
        <x:v>&lt;INSERT_B&gt;は こうげきをよけた</x:v>
      </x:c>
      <x:c r="E96" s="19" t="str">
        <x:v>&lt;INSERT_B&gt;
dodged the attack.</x:v>
      </x:c>
      <x:c r="F96" s="20" t="str"/>
      <x:c r="G96" s="20" t="str"/>
      <x:c r="H96" s="23" t="str">
        <x:v>INSERT_B NEWLINE END</x:v>
      </x:c>
      <x:c r="I96" s="23" t="str">
        <x:v>EA:156A</x:v>
      </x:c>
      <x:c r="J96" s="23" t="str">
        <x:v>CA C8 64 6F 64 67 65 64 01 74 68 65 01 61 74 74 61 63 6B 2E C0</x:v>
      </x:c>
      <x:c r="K96" s="23" t="str">
        <x:v>1CA 029 001 019 012 084 018 016 03C 035 018 01F 1C0</x:v>
      </x:c>
    </x:row>
    <x:row r="97">
      <x:c r="A97" s="22" t="str">
        <x:f>"00"</x:f>
        <x:v>00</x:v>
      </x:c>
      <x:c r="B97" s="22" t="str">
        <x:f>"5F"</x:f>
        <x:v>5F</x:v>
      </x:c>
      <x:c r="C97" s="22" t="str">
        <x:f>"0x005F"</x:f>
        <x:v>0x005F</x:v>
      </x:c>
      <x:c r="D97" s="21" t="str">
        <x:v>&lt;INSERT_B&gt;が SPを すいとった</x:v>
      </x:c>
      <x:c r="E97" s="19" t="str">
        <x:v>&lt;INSERT_B&gt;
had SP drained away.</x:v>
      </x:c>
      <x:c r="F97" s="20" t="str"/>
      <x:c r="G97" s="20" t="str"/>
      <x:c r="H97" s="23" t="str">
        <x:v>INSERT_B NEWLINE END</x:v>
      </x:c>
      <x:c r="I97" s="23" t="str">
        <x:v>EA:157F</x:v>
      </x:c>
      <x:c r="J97" s="23" t="str">
        <x:v>CA C8 68 61 64 01 53 50 01 64 72 61 69 6E 65 64 01 61 77 61 79 2E C0</x:v>
      </x:c>
      <x:c r="K97" s="23" t="str">
        <x:v>1CA 084 015 001 00D 00E 03C 001 01C 011 023 03E 01F 1C0</x:v>
      </x:c>
    </x:row>
    <x:row r="98">
      <x:c r="A98" s="22" t="str">
        <x:f>"00"</x:f>
        <x:v>00</x:v>
      </x:c>
      <x:c r="B98" s="22" t="str">
        <x:f>"60"</x:f>
        <x:v>60</x:v>
      </x:c>
      <x:c r="C98" s="22" t="str">
        <x:f>"0x0060"</x:f>
        <x:v>0x0060</x:v>
      </x:c>
      <x:c r="D98" s="21" t="str">
        <x:v>&lt;INSERT_B&gt;は オロオロとしている</x:v>
      </x:c>
      <x:c r="E98" s="19" t="str">
        <x:v>&lt;INSERT_B&gt;
is panicking.</x:v>
      </x:c>
      <x:c r="F98" s="20" t="str"/>
      <x:c r="G98" s="20" t="str"/>
      <x:c r="H98" s="23" t="str">
        <x:v>INSERT_B NEWLINE END</x:v>
      </x:c>
      <x:c r="I98" s="23" t="str">
        <x:v>EA:1596</x:v>
      </x:c>
      <x:c r="J98" s="23" t="str">
        <x:v>CA C8 69 73 01 70 61 6E 69 63 6B 69 6E 67 2E C0</x:v>
      </x:c>
      <x:c r="K98" s="23" t="str">
        <x:v>1CA 029 001 046 06C 046 06C 023 01B 022 011 038 1C0</x:v>
      </x:c>
    </x:row>
    <x:row r="99">
      <x:c r="A99" s="22" t="str">
        <x:f>"00"</x:f>
        <x:v>00</x:v>
      </x:c>
      <x:c r="B99" s="22" t="str">
        <x:f>"61"</x:f>
        <x:v>61</x:v>
      </x:c>
      <x:c r="C99" s="22" t="str">
        <x:f>"0x0061"</x:f>
        <x:v>0x0061</x:v>
      </x:c>
      <x:c r="D99" s="21" t="str">
        <x:v>ひさん だれも たすけにこなかった</x:v>
      </x:c>
      <x:c r="E99" s="19" t="str">
        <x:v>How tragic. Nobody came to help.</x:v>
      </x:c>
      <x:c r="F99" s="20" t="str"/>
      <x:c r="G99" s="20" t="str"/>
      <x:c r="H99" s="23" t="str">
        <x:v>END</x:v>
      </x:c>
      <x:c r="I99" s="23" t="str">
        <x:v>EA:15A6</x:v>
      </x:c>
      <x:c r="J99" s="23" t="str">
        <x:v>48 6F 77 01 74 72 61 67 69 63 2E 01 4E 6F 62 6F 64 79 01 63 61 6D 65 01 74 6F 01 68 65 6C 70 2E C0</x:v>
      </x:c>
      <x:c r="K99" s="23" t="str">
        <x:v>02A 01A 03D 001 084 01F 039 032 001 01F 01C 018 025 019 024 015 03E 01F 1C0</x:v>
      </x:c>
    </x:row>
    <x:row r="100">
      <x:c r="A100" s="22" t="str">
        <x:f>"00"</x:f>
        <x:v>00</x:v>
      </x:c>
      <x:c r="B100" s="22" t="str">
        <x:f>"62"</x:f>
        <x:v>62</x:v>
      </x:c>
      <x:c r="C100" s="22" t="str">
        <x:f>"0x0062"</x:f>
        <x:v>0x0062</x:v>
      </x:c>
      <x:c r="D100" s="21" t="str">
        <x:v>&lt;INSERT_B&gt;に ぐさっとささって だいダメージ</x:v>
      </x:c>
      <x:c r="E100" s="19" t="str">
        <x:v>&lt;INSERT_B&gt; got
skewered! Huge damage!</x:v>
      </x:c>
      <x:c r="F100" s="20" t="str"/>
      <x:c r="G100" s="20" t="str"/>
      <x:c r="H100" s="23" t="str">
        <x:v>INSERT_B NEWLINE END</x:v>
      </x:c>
      <x:c r="I100" s="23" t="str">
        <x:v>EA:15C7</x:v>
      </x:c>
      <x:c r="J100" s="23" t="str">
        <x:v>CA 01 67 6F 74 C8 73 6B 65 77 65 72 65 64 21 01 48 75 67 65 01 64 61 6D 61 67 65 21 C0</x:v>
      </x:c>
      <x:c r="K100" s="23" t="str">
        <x:v>1CA 025 001 084 017 01A 03E 023 01A 01A 03E 022 001 084 01F 011 084 051 063 078 084 04D 1C0</x:v>
      </x:c>
    </x:row>
    <x:row r="101">
      <x:c r="A101" s="22" t="str">
        <x:f>"00"</x:f>
        <x:v>00</x:v>
      </x:c>
      <x:c r="B101" s="22" t="str">
        <x:f>"63"</x:f>
        <x:v>63</x:v>
      </x:c>
      <x:c r="C101" s="22" t="str">
        <x:f>"0x0063"</x:f>
        <x:v>0x0063</x:v>
      </x:c>
      <x:c r="D101" s="21" t="str">
        <x:v>ぜんぜんにてない ものまねしっぱい</x:v>
      </x:c>
      <x:c r="E101" s="19" t="str">
        <x:v>Terrible imitation. Total failure.</x:v>
      </x:c>
      <x:c r="F101" s="20" t="str"/>
      <x:c r="G101" s="20" t="str"/>
      <x:c r="H101" s="23" t="str">
        <x:v>END</x:v>
      </x:c>
      <x:c r="I101" s="23" t="str">
        <x:v>EA:15E4</x:v>
      </x:c>
      <x:c r="J101" s="23" t="str">
        <x:v>54 65 72 72 69 62 6C 65 01 69 6D 69 74 61 74 69 6F 6E 2E 01 54 6F 74 61 6C 01 66 61 69 6C 75 72 65 2E C0</x:v>
      </x:c>
      <x:c r="K101" s="23" t="str">
        <x:v>084 01D 03D 084 01D 03D 025 022 024 011 001 032 028 02E 027 01B 03E 083 029 011 1C0</x:v>
      </x:c>
    </x:row>
    <x:row r="102">
      <x:c r="A102" s="22" t="str">
        <x:f>"00"</x:f>
        <x:v>00</x:v>
      </x:c>
      <x:c r="B102" s="22" t="str">
        <x:f>"64"</x:f>
        <x:v>64</x:v>
      </x:c>
      <x:c r="C102" s="22" t="str">
        <x:f>"0x0064"</x:f>
        <x:v>0x0064</x:v>
      </x:c>
      <x:c r="D102" s="21" t="str">
        <x:v>&lt;INSERT_B&gt;は じばくした</x:v>
      </x:c>
      <x:c r="E102" s="19" t="str">
        <x:v>&lt;INSERT_B&gt;
self-destructed!</x:v>
      </x:c>
      <x:c r="F102" s="20" t="str"/>
      <x:c r="G102" s="20" t="str"/>
      <x:c r="H102" s="23" t="str">
        <x:v>INSERT_B NEWLINE END</x:v>
      </x:c>
      <x:c r="I102" s="23" t="str">
        <x:v>EA:1607</x:v>
      </x:c>
      <x:c r="J102" s="23" t="str">
        <x:v>CA C8 73 65 6C 66 2D 64 65 73 74 72 75 63 74 65 64 21 C0</x:v>
      </x:c>
      <x:c r="K102" s="23" t="str">
        <x:v>1CA 029 001 084 01B 084 029 017 01B 01F 1C0</x:v>
      </x:c>
    </x:row>
    <x:row r="103">
      <x:c r="A103" s="22" t="str">
        <x:f>"00"</x:f>
        <x:v>00</x:v>
      </x:c>
      <x:c r="B103" s="22" t="str">
        <x:f>"65"</x:f>
        <x:v>65</x:v>
      </x:c>
      <x:c r="C103" s="22" t="str">
        <x:f>"0x0065"</x:f>
        <x:v>0x0065</x:v>
      </x:c>
      <x:c r="D103" s="21" t="str">
        <x:v>&lt;INSERT_A&gt;を みた ファイト とかいてある</x:v>
      </x:c>
      <x:c r="E103" s="19" t="str">
        <x:v>On &lt;INSERT_A&gt;
it says "FIGHT".</x:v>
      </x:c>
      <x:c r="F103" s="20" t="str"/>
      <x:c r="G103" s="20" t="str"/>
      <x:c r="H103" s="23" t="str">
        <x:v>INSERT_A NEWLINE END</x:v>
      </x:c>
      <x:c r="I103" s="23" t="str">
        <x:v>EA:161A</x:v>
      </x:c>
      <x:c r="J103" s="23" t="str">
        <x:v>4F 6E 01 C4 C8 69 74 01 73 61 79 73 01 22 46 49 47 48 54 22 2E C0</x:v>
      </x:c>
      <x:c r="K103" s="23" t="str">
        <x:v>1C4 03C 001 02F 01F 001 05D 074 043 055 001 023 015 011 022 010 038 1C0</x:v>
      </x:c>
    </x:row>
    <x:row r="104">
      <x:c r="A104" s="22" t="str">
        <x:f>"00"</x:f>
        <x:v>00</x:v>
      </x:c>
      <x:c r="B104" s="22" t="str">
        <x:f>"66"</x:f>
        <x:v>66</x:v>
      </x:c>
      <x:c r="C104" s="22" t="str">
        <x:f>"0x0066"</x:f>
        <x:v>0x0066</x:v>
      </x:c>
      <x:c r="D104" s="21" t="str">
        <x:v>エラー
オーティー&lt;NUMBER&gt;のてきはたたかえません</x:v>
      </x:c>
      <x:c r="E104" s="19" t="str">
        <x:v>ERROR OT&lt;NUMBER&gt;
enemies cannot be fought.</x:v>
      </x:c>
      <x:c r="F104" s="20" t="str"/>
      <x:c r="G104" s="20" t="str"/>
      <x:c r="H104" s="23" t="str">
        <x:v>NUMBER NEWLINE END</x:v>
      </x:c>
      <x:c r="I104" s="23" t="str">
        <x:v>EA:1630</x:v>
      </x:c>
      <x:c r="J104" s="23" t="str">
        <x:v>45 52 52 4F 52 01 4F 54 C2 C8 65 6E 65 6D 69 65 73 01 63 61 6E 6E 6F 74 01 62 65 01 66 6F 75 67 68 74 2E C0</x:v>
      </x:c>
      <x:c r="K104" s="23" t="str">
        <x:v>045 068 078 1C8 046 078 054 075 078 1C2 028 022 016 029 01F 01F 015 013 02E 01D 03D 1C0</x:v>
      </x:c>
    </x:row>
    <x:row r="105">
      <x:c r="A105" s="22" t="str">
        <x:f>"00"</x:f>
        <x:v>00</x:v>
      </x:c>
      <x:c r="B105" s="22" t="str">
        <x:f>"67"</x:f>
        <x:v>67</x:v>
      </x:c>
      <x:c r="C105" s="22" t="str">
        <x:f>"0x0067"</x:f>
        <x:v>0x0067</x:v>
      </x:c>
      <x:c r="D105" s="21" t="str">
        <x:v>&lt;INSERT_B&gt;は どくをうけた</x:v>
      </x:c>
      <x:c r="E105" s="19" t="str">
        <x:v>&lt;INSERT_B&gt;
was poisoned.</x:v>
      </x:c>
      <x:c r="F105" s="20" t="str"/>
      <x:c r="G105" s="20" t="str"/>
      <x:c r="H105" s="23" t="str">
        <x:v>INSERT_B NEWLINE END</x:v>
      </x:c>
      <x:c r="I105" s="23" t="str">
        <x:v>EA:1654</x:v>
      </x:c>
      <x:c r="J105" s="23" t="str">
        <x:v>CA C8 77 61 73 01 70 6F 69 73 6F 6E 65 64 2E C0</x:v>
      </x:c>
      <x:c r="K105" s="23" t="str">
        <x:v>1CA 029 001 084 023 017 03C 012 018 01F 1C0</x:v>
      </x:c>
    </x:row>
    <x:row r="106">
      <x:c r="A106" s="22" t="str">
        <x:f>"00"</x:f>
        <x:v>00</x:v>
      </x:c>
      <x:c r="B106" s="22" t="str">
        <x:f>"68"</x:f>
        <x:v>68</x:v>
      </x:c>
      <x:c r="C106" s="22" t="str">
        <x:f>"0x0068"</x:f>
        <x:v>0x0068</x:v>
      </x:c>
      <x:c r="D106" s="21" t="str">
        <x:v>&lt;INSERT_B&gt;は しびれてしまった</x:v>
      </x:c>
      <x:c r="E106" s="19" t="str">
        <x:v>&lt;INSERT_B&gt;
was paralyzed.</x:v>
      </x:c>
      <x:c r="F106" s="20" t="str"/>
      <x:c r="G106" s="20" t="str"/>
      <x:c r="H106" s="23" t="str">
        <x:v>INSERT_B NEWLINE END</x:v>
      </x:c>
      <x:c r="I106" s="23" t="str">
        <x:v>EA:1664</x:v>
      </x:c>
      <x:c r="J106" s="23" t="str">
        <x:v>CA C8 77 61 73 01 70 61 72 61 6C 79 7A 65 64 2E C0</x:v>
      </x:c>
      <x:c r="K106" s="23" t="str">
        <x:v>1CA 029 001 01B 084 02A 039 022 01B 02E 03E 01F 1C0</x:v>
      </x:c>
    </x:row>
    <x:row r="107">
      <x:c r="A107" s="22" t="str">
        <x:f>"00"</x:f>
        <x:v>00</x:v>
      </x:c>
      <x:c r="B107" s="22" t="str">
        <x:f>"69"</x:f>
        <x:v>69</x:v>
      </x:c>
      <x:c r="C107" s="22" t="str">
        <x:f>"0x0069"</x:f>
        <x:v>0x0069</x:v>
      </x:c>
      <x:c r="D107" s="21" t="str">
        <x:v>&lt;INSERT_B&gt;は ねむらされた</x:v>
      </x:c>
      <x:c r="E107" s="19" t="str">
        <x:v>&lt;INSERT_B&gt;
was put to sleep.</x:v>
      </x:c>
      <x:c r="F107" s="20" t="str"/>
      <x:c r="G107" s="20" t="str"/>
      <x:c r="H107" s="23" t="str">
        <x:v>INSERT_B NEWLINE END</x:v>
      </x:c>
      <x:c r="I107" s="23" t="str">
        <x:v>EA:1675</x:v>
      </x:c>
      <x:c r="J107" s="23" t="str">
        <x:v>CA C8 77 61 73 01 70 75 74 01 74 6F 01 73 6C 65 65 70 2E C0</x:v>
      </x:c>
      <x:c r="K107" s="23" t="str">
        <x:v>1CA 029 001 027 030 036 01A 039 01F 1C0</x:v>
      </x:c>
    </x:row>
    <x:row r="108">
      <x:c r="A108" s="22" t="str">
        <x:f>"00"</x:f>
        <x:v>00</x:v>
      </x:c>
      <x:c r="B108" s="22" t="str">
        <x:f>"6A"</x:f>
        <x:v>6A</x:v>
      </x:c>
      <x:c r="C108" s="22" t="str">
        <x:f>"0x006A"</x:f>
        <x:v>0x006A</x:v>
      </x:c>
      <x:c r="D108" s="21" t="str">
        <x:v>&lt;INSERT_B&gt;は めざめた</x:v>
      </x:c>
      <x:c r="E108" s="19" t="str">
        <x:v>&lt;INSERT_B&gt; woke up.</x:v>
      </x:c>
      <x:c r="F108" s="20" t="str"/>
      <x:c r="G108" s="20" t="str"/>
      <x:c r="H108" s="23" t="str">
        <x:v>INSERT_B END</x:v>
      </x:c>
      <x:c r="I108" s="23" t="str">
        <x:v>EA:1689</x:v>
      </x:c>
      <x:c r="J108" s="23" t="str">
        <x:v>CA 01 77 6F 6B 65 01 75 70 2E C0</x:v>
      </x:c>
      <x:c r="K108" s="23" t="str">
        <x:v>1CA 029 001 031 084 01A 031 01F 1C0</x:v>
      </x:c>
    </x:row>
    <x:row r="109">
      <x:c r="A109" s="22" t="str">
        <x:f>"00"</x:f>
        <x:v>00</x:v>
      </x:c>
      <x:c r="B109" s="22" t="str">
        <x:f>"6B"</x:f>
        <x:v>6B</x:v>
      </x:c>
      <x:c r="C109" s="22" t="str">
        <x:f>"0x006B"</x:f>
        <x:v>0x006B</x:v>
      </x:c>
      <x:c r="D109" s="21" t="str">
        <x:v>&lt;INSERT_B&gt;は しびれがとれた</x:v>
      </x:c>
      <x:c r="E109" s="19" t="str">
        <x:v>&lt;INSERT_B&gt;'s
paralysis wore off.</x:v>
      </x:c>
      <x:c r="F109" s="20" t="str"/>
      <x:c r="G109" s="20" t="str"/>
      <x:c r="H109" s="23" t="str">
        <x:v>INSERT_B NEWLINE END</x:v>
      </x:c>
      <x:c r="I109" s="23" t="str">
        <x:v>EA:1694</x:v>
      </x:c>
      <x:c r="J109" s="23" t="str">
        <x:v>CA 27 73 C8 70 61 72 61 6C 79 73 69 73 01 77 6F 72 65 01 6F 66 66 2E C0</x:v>
      </x:c>
      <x:c r="K109" s="23" t="str">
        <x:v>1CA 029 001 01B 084 02A 039 084 015 023 039 01F 1C0</x:v>
      </x:c>
    </x:row>
    <x:row r="110">
      <x:c r="A110" s="22" t="str">
        <x:f>"00"</x:f>
        <x:v>00</x:v>
      </x:c>
      <x:c r="B110" s="22" t="str">
        <x:f>"6C"</x:f>
        <x:v>6C</x:v>
      </x:c>
      <x:c r="C110" s="22" t="str">
        <x:f>"0x006C"</x:f>
        <x:v>0x006C</x:v>
      </x:c>
      <x:c r="D110" s="21" t="str">
        <x:v>&lt;INSERT_B&gt;は こうげきりょくがアップした</x:v>
      </x:c>
      <x:c r="E110" s="19" t="str">
        <x:v>&lt;INSERT_B&gt;'s
Attack rose.</x:v>
      </x:c>
      <x:c r="F110" s="20" t="str"/>
      <x:c r="G110" s="20" t="str"/>
      <x:c r="H110" s="23" t="str">
        <x:v>INSERT_B NEWLINE END</x:v>
      </x:c>
      <x:c r="I110" s="23" t="str">
        <x:v>EA:16AC</x:v>
      </x:c>
      <x:c r="J110" s="23" t="str">
        <x:v>CA 27 73 C8 41 74 74 61 63 6B 01 72 6F 73 65 2E C0</x:v>
      </x:c>
      <x:c r="K110" s="23" t="str">
        <x:v>1CA 029 001 019 012 084 018 016 037 041 017 084 015 042 070 083 05D 01B 01F 1C0</x:v>
      </x:c>
    </x:row>
    <x:row r="111">
      <x:c r="A111" s="22" t="str">
        <x:f>"00"</x:f>
        <x:v>00</x:v>
      </x:c>
      <x:c r="B111" s="22" t="str">
        <x:f>"6D"</x:f>
        <x:v>6D</x:v>
      </x:c>
      <x:c r="C111" s="22" t="str">
        <x:f>"0x006D"</x:f>
        <x:v>0x006D</x:v>
      </x:c>
      <x:c r="D111" s="21" t="str">
        <x:v>化け物たちを かたづけた</x:v>
      </x:c>
      <x:c r="E111" s="19" t="str">
        <x:v>The monsters are defeated.</x:v>
      </x:c>
      <x:c r="F111" s="20" t="str"/>
      <x:c r="G111" s="20" t="str"/>
      <x:c r="H111" s="23" t="str">
        <x:v>END</x:v>
      </x:c>
      <x:c r="I111" s="23" t="str">
        <x:v>EA:16BD</x:v>
      </x:c>
      <x:c r="J111" s="23" t="str">
        <x:v>54 68 65 01 6D 6F 6E 73 74 65 72 73 01 61 72 65 01 64 65 66 65 61 74 65 64 2E C0</x:v>
      </x:c>
      <x:c r="K111" s="23" t="str">
        <x:v>09E 018 08B 01F 020 03C 001 015 01F 084 021 018 01F 1C0</x:v>
      </x:c>
    </x:row>
    <x:row r="112">
      <x:c r="A112" s="22" t="str">
        <x:f>"00"</x:f>
        <x:v>00</x:v>
      </x:c>
      <x:c r="B112" s="22" t="str">
        <x:f>"6E"</x:f>
        <x:v>6E</x:v>
      </x:c>
      <x:c r="C112" s="22" t="str">
        <x:f>"0x006E"</x:f>
        <x:v>0x006E</x:v>
      </x:c>
      <x:c r="D112" s="21" t="str">
        <x:v>おのおの
経験値 &lt;NUMBER&gt;を もらった&lt;WAIT_INPUT&gt;</x:v>
      </x:c>
      <x:c r="E112" s="19" t="str">
        <x:v>Each party member
gained &lt;NUMBER&gt; EXP.&lt;WAIT_INPUT&gt;</x:v>
      </x:c>
      <x:c r="F112" s="20" t="str"/>
      <x:c r="G112" s="20" t="str"/>
      <x:c r="H112" s="23" t="str">
        <x:v>NEWLINE NUMBER WAIT_INPUT END</x:v>
      </x:c>
      <x:c r="I112" s="23" t="str">
        <x:v>EA:16D8</x:v>
      </x:c>
      <x:c r="J112" s="23" t="str">
        <x:v>45 61 63 68 01 70 61 72 74 79 01 6D 65 6D 62 65 72 C8 67 61 69 6E 65 64 01 C2 01 45 58 50 2E C9 C0</x:v>
      </x:c>
      <x:c r="K112" s="23" t="str">
        <x:v>014 028 014 028 1C8 183 0F3 199 001 1C2 03C 001 032 036 03E 01F 1C9 1C0</x:v>
      </x:c>
    </x:row>
    <x:row r="113">
      <x:c r="A113" s="22" t="str">
        <x:f>"00"</x:f>
        <x:v>00</x:v>
      </x:c>
      <x:c r="B113" s="22" t="str">
        <x:f>"6F"</x:f>
        <x:v>6F</x:v>
      </x:c>
      <x:c r="C113" s="22" t="str">
        <x:f>"0x006F"</x:f>
        <x:v>0x006F</x:v>
      </x:c>
      <x:c r="D113" s="21" t="str">
        <x:v>&lt;NUMBER&gt;エンドルを ひろった&lt;WAIT_INPUT&gt;</x:v>
      </x:c>
      <x:c r="E113" s="19" t="str">
        <x:v>Picked up &lt;NUMBER&gt; Endol.&lt;WAIT_INPUT&gt;</x:v>
      </x:c>
      <x:c r="F113" s="20" t="str"/>
      <x:c r="G113" s="20" t="str"/>
      <x:c r="H113" s="23" t="str">
        <x:v>NUMBER WAIT_INPUT END</x:v>
      </x:c>
      <x:c r="I113" s="23" t="str">
        <x:v>EA:16F9</x:v>
      </x:c>
      <x:c r="J113" s="23" t="str">
        <x:v>50 69 63 6B 65 64 01 75 70 01 C2 01 45 6E 64 6F 6C 2E C9 C0</x:v>
      </x:c>
      <x:c r="K113" s="23" t="str">
        <x:v>1C2 045 06F 084 055 06A 03C 001 02A 03A 03E 01F 1C9 1C0</x:v>
      </x:c>
    </x:row>
    <x:row r="114">
      <x:c r="A114" s="22" t="str">
        <x:f>"00"</x:f>
        <x:v>00</x:v>
      </x:c>
      <x:c r="B114" s="22" t="str">
        <x:f>"70"</x:f>
        <x:v>70</x:v>
      </x:c>
      <x:c r="C114" s="22" t="str">
        <x:f>"0x0070"</x:f>
        <x:v>0x0070</x:v>
      </x:c>
      <x:c r="D114" s="21" t="str">
        <x:v>&lt;INSERT_B&gt;は レベル&lt;NUMBER&gt;にアップ&lt;WAIT&gt;</x:v>
      </x:c>
      <x:c r="E114" s="19" t="str">
        <x:v>&lt;INSERT_B&gt;
reached level &lt;NUMBER&gt;!&lt;WAIT&gt;</x:v>
      </x:c>
      <x:c r="F114" s="20" t="str"/>
      <x:c r="G114" s="20" t="str"/>
      <x:c r="H114" s="23" t="str">
        <x:v>INSERT_B NEWLINE NUMBER WAIT END</x:v>
      </x:c>
      <x:c r="I114" s="23" t="str">
        <x:v>EA:170D</x:v>
      </x:c>
      <x:c r="J114" s="23" t="str">
        <x:v>CA C8 72 65 61 63 68 65 64 01 6C 65 76 65 6C 01 C2 21 C5 C0</x:v>
      </x:c>
      <x:c r="K114" s="23" t="str">
        <x:v>1CA 029 001 06B 084 05E 06A 1C2 025 042 070 083 05D 1C5 1C0</x:v>
      </x:c>
    </x:row>
    <x:row r="115">
      <x:c r="A115" s="22" t="str">
        <x:f>"00"</x:f>
        <x:v>00</x:v>
      </x:c>
      <x:c r="B115" s="22" t="str">
        <x:f>"71"</x:f>
        <x:v>71</x:v>
      </x:c>
      <x:c r="C115" s="22" t="str">
        <x:f>"0x0071"</x:f>
        <x:v>0x0071</x:v>
      </x:c>
      <x:c r="D115" s="21" t="str">
        <x:v>LPの最大値が &lt;NUMBER&gt;ふえた&lt;WAIT&gt;</x:v>
      </x:c>
      <x:c r="E115" s="19" t="str">
        <x:v>Max LP increased by &lt;NUMBER&gt;.&lt;WAIT&gt;</x:v>
      </x:c>
      <x:c r="F115" s="20" t="str"/>
      <x:c r="G115" s="20" t="str"/>
      <x:c r="H115" s="23" t="str">
        <x:v>NUMBER WAIT END</x:v>
      </x:c>
      <x:c r="I115" s="23" t="str">
        <x:v>EA:1721</x:v>
      </x:c>
      <x:c r="J115" s="23" t="str">
        <x:v>4D 61 78 01 4C 50 01 69 6E 63 72 65 61 73 65 64 01 62 79 01 C2 2E C5 C0</x:v>
      </x:c>
      <x:c r="K115" s="23" t="str">
        <x:v>00C 00E 028 18A 0AC 199 084 015 001 1C2 02B 013 01F 1C5 1C0</x:v>
      </x:c>
    </x:row>
    <x:row r="116">
      <x:c r="A116" s="22" t="str">
        <x:f>"00"</x:f>
        <x:v>00</x:v>
      </x:c>
      <x:c r="B116" s="22" t="str">
        <x:f>"72"</x:f>
        <x:v>72</x:v>
      </x:c>
      <x:c r="C116" s="22" t="str">
        <x:f>"0x0072"</x:f>
        <x:v>0x0072</x:v>
      </x:c>
      <x:c r="D116" s="21" t="str">
        <x:v>&lt;INSERT_B&gt;の魔術を覚えた&lt;WAIT&gt;</x:v>
      </x:c>
      <x:c r="E116" s="19" t="str">
        <x:v>Learned the spell
&lt;INSERT_B&gt;!&lt;WAIT&gt;</x:v>
      </x:c>
      <x:c r="F116" s="20" t="str"/>
      <x:c r="G116" s="20" t="str"/>
      <x:c r="H116" s="23" t="str">
        <x:v>NEWLINE INSERT_B WAIT END</x:v>
      </x:c>
      <x:c r="I116" s="23" t="str">
        <x:v>EA:1739</x:v>
      </x:c>
      <x:c r="J116" s="23" t="str">
        <x:v>4C 65 61 72 6E 65 64 01 74 68 65 01 73 70 65 6C 6C C8 CA 21 C5 C0</x:v>
      </x:c>
      <x:c r="K116" s="23" t="str">
        <x:v>1CA 028 09A 16A 03C 17B 013 01F 1C5 1C0</x:v>
      </x:c>
    </x:row>
    <x:row r="117">
      <x:c r="A117" s="22" t="str">
        <x:f>"00"</x:f>
        <x:v>00</x:v>
      </x:c>
      <x:c r="B117" s="22" t="str">
        <x:f>"73"</x:f>
        <x:v>73</x:v>
      </x:c>
      <x:c r="C117" s="22" t="str">
        <x:f>"0x0073"</x:f>
        <x:v>0x0073</x:v>
      </x:c>
      <x:c r="D117" s="21" t="str">
        <x:v>ひっさつわざ
&lt;INSERT_B&gt;を思いついた&lt;WAIT&gt;</x:v>
      </x:c>
      <x:c r="E117" s="19" t="str">
        <x:v>Learned special move:
&lt;INSERT_B&gt;!&lt;WAIT&gt;</x:v>
      </x:c>
      <x:c r="F117" s="20" t="str"/>
      <x:c r="G117" s="20" t="str"/>
      <x:c r="H117" s="23" t="str">
        <x:v>NEWLINE INSERT_B WAIT END</x:v>
      </x:c>
      <x:c r="I117" s="23" t="str">
        <x:v>EA:174F</x:v>
      </x:c>
      <x:c r="J117" s="23" t="str">
        <x:v>4C 65 61 72 6E 65 64 01 73 70 65 63 69 61 6C 01 6D 6F 76 65 3A C8 CA 21 C5 C0</x:v>
      </x:c>
      <x:c r="K117" s="23" t="str">
        <x:v>02A 03E 01A 021 03B 084 01A 1C8 1CA 03C 10F 011 021 011 01F 1C5 1C0</x:v>
      </x:c>
    </x:row>
    <x:row r="118">
      <x:c r="A118" s="22" t="str">
        <x:f>"00"</x:f>
        <x:v>00</x:v>
      </x:c>
      <x:c r="B118" s="22" t="str">
        <x:f>"74"</x:f>
        <x:v>74</x:v>
      </x:c>
      <x:c r="C118" s="22" t="str">
        <x:f>"0x0074"</x:f>
        <x:v>0x0074</x:v>
      </x:c>
      <x:c r="D118" s="21" t="str">
        <x:v>しかし &lt;INSERT_B&gt;は
これ以上 にもつを持てない
にもつをすてますか?</x:v>
      </x:c>
      <x:c r="E118" s="19" t="str">
        <x:v>But &lt;INSERT_B&gt;
can't carry any more
items. Discard something?</x:v>
      </x:c>
      <x:c r="F118" s="20" t="str"/>
      <x:c r="G118" s="20" t="str"/>
      <x:c r="H118" s="23" t="str">
        <x:v>INSERT_B NEWLINE NEWLINE END</x:v>
      </x:c>
      <x:c r="I118" s="23" t="str">
        <x:v>EA:1769</x:v>
      </x:c>
      <x:c r="J118" s="23" t="str">
        <x:v>42 75 74 01 CA C8 63 61 6E 27 74 01 63 61 72 72 79 01 61 6E 79 01 6D 6F 72 65 C8 69 74 65 6D 73 2E 01 44 69 73 63 61 72 64 01 73 6F 6D 65 74 68 69 6E 67 3F C0</x:v>
      </x:c>
      <x:c r="K118" s="23" t="str">
        <x:v>01B 015 01B 001 1CA 029 1C8 019 039 0F4 128 001 025 032 021 03C 0D3 022 024 011 1C8 025 032 021 03C 01C 022 02E 01C 015 079 1C0</x:v>
      </x:c>
    </x:row>
    <x:row r="119">
      <x:c r="A119" s="22" t="str">
        <x:f>"00"</x:f>
        <x:v>00</x:v>
      </x:c>
      <x:c r="B119" s="22" t="str">
        <x:f>"75"</x:f>
        <x:v>75</x:v>
      </x:c>
      <x:c r="C119" s="22" t="str">
        <x:f>"0x0075"</x:f>
        <x:v>0x0075</x:v>
      </x:c>
      <x:c r="D119" s="21" t="str">
        <x:v>どのにもつを すてますか?</x:v>
      </x:c>
      <x:c r="E119" s="19" t="str">
        <x:v>Which item do you
want to discard?</x:v>
      </x:c>
      <x:c r="F119" s="20" t="str"/>
      <x:c r="G119" s="20" t="str"/>
      <x:c r="H119" s="23" t="str">
        <x:v>NEWLINE END</x:v>
      </x:c>
      <x:c r="I119" s="23" t="str">
        <x:v>EA:179E</x:v>
      </x:c>
      <x:c r="J119" s="23" t="str">
        <x:v>57 68 69 63 68 01 69 74 65 6D 01 64 6F 01 79 6F 75 C8 77 61 6E 74 01 74 6F 01 64 69 73 63 61 72 64 3F C0</x:v>
      </x:c>
      <x:c r="K119" s="23" t="str">
        <x:v>084 023 028 025 032 021 03C 001 01C 022 02E 01C 015 079 1C0</x:v>
      </x:c>
    </x:row>
    <x:row r="120">
      <x:c r="A120" s="22" t="str">
        <x:f>"00"</x:f>
        <x:v>00</x:v>
      </x:c>
      <x:c r="B120" s="22" t="str">
        <x:f>"76"</x:f>
        <x:v>76</x:v>
      </x:c>
      <x:c r="C120" s="22" t="str">
        <x:f>"0x0076"</x:f>
        <x:v>0x0076</x:v>
      </x:c>
      <x:c r="D120" s="21" t="str">
        <x:v>&lt;INSERT_B&gt;は
&lt;INSERT_A&gt;を とらなかった&lt;WAIT_INPUT&gt;</x:v>
      </x:c>
      <x:c r="E120" s="19" t="str">
        <x:v>&lt;INSERT_B&gt; did
not take &lt;INSERT_A&gt;.&lt;WAIT_INPUT&gt;</x:v>
      </x:c>
      <x:c r="F120" s="20" t="str"/>
      <x:c r="G120" s="20" t="str"/>
      <x:c r="H120" s="23" t="str">
        <x:v>INSERT_B NEWLINE INSERT_A WAIT_INPUT END</x:v>
      </x:c>
      <x:c r="I120" s="23" t="str">
        <x:v>EA:17C1</x:v>
      </x:c>
      <x:c r="J120" s="23" t="str">
        <x:v>CA 01 64 69 64 C8 6E 6F 74 01 74 61 6B 65 01 C4 2E C9 C0</x:v>
      </x:c>
      <x:c r="K120" s="23" t="str">
        <x:v>1CA 029 1C8 1C4 03C 001 023 036 024 015 03E 01F 1C9 1C0</x:v>
      </x:c>
    </x:row>
    <x:row r="121">
      <x:c r="A121" s="22" t="str">
        <x:f>"00"</x:f>
        <x:v>00</x:v>
      </x:c>
      <x:c r="B121" s="22" t="str">
        <x:f>"77"</x:f>
        <x:v>77</x:v>
      </x:c>
      <x:c r="C121" s="22" t="str">
        <x:f>"0x0077"</x:f>
        <x:v>0x0077</x:v>
      </x:c>
      <x:c r="D121" s="21" t="str">
        <x:v>&lt;INSERT_B&gt;は &lt;INSERT_A&gt;をすてて
&lt;INSERT_A&gt;を とった&lt;WAIT_INPUT&gt;</x:v>
      </x:c>
      <x:c r="E121" s="19" t="str">
        <x:v>&lt;INSERT_B&gt;
discarded &lt;INSERT_A&gt;
and took &lt;INSERT_A&gt;.&lt;WAIT_INPUT&gt;</x:v>
      </x:c>
      <x:c r="F121" s="20" t="str"/>
      <x:c r="G121" s="20" t="str"/>
      <x:c r="H121" s="23" t="str">
        <x:v>INSERT_B NEWLINE INSERT_A NEWLINE INSERT_A WAIT_INPUT END</x:v>
      </x:c>
      <x:c r="I121" s="23" t="str">
        <x:v>EA:17D4</x:v>
      </x:c>
      <x:c r="J121" s="23" t="str">
        <x:v>CA C8 64 69 73 63 61 72 64 65 64 01 C4 C8 61 6E 64 01 74 6F 6F 6B 01 C4 2E C9 C0</x:v>
      </x:c>
      <x:c r="K121" s="23" t="str">
        <x:v>1CA 029 001 1C4 03C 01C 022 022 1C8 1C4 03C 001 023 03E 01F 1C9 1C0</x:v>
      </x:c>
    </x:row>
    <x:row r="122">
      <x:c r="A122" s="22" t="str">
        <x:f>"00"</x:f>
        <x:v>00</x:v>
      </x:c>
      <x:c r="B122" s="22" t="str">
        <x:f>"78"</x:f>
        <x:v>78</x:v>
      </x:c>
      <x:c r="C122" s="22" t="str">
        <x:f>"0x0078"</x:f>
        <x:v>0x0078</x:v>
      </x:c>
      <x:c r="D122" s="21" t="str">
        <x:v>&lt;INSERT_B&gt;は
&lt;INSERT_A&gt;を かくとくした&lt;WAIT&gt;</x:v>
      </x:c>
      <x:c r="E122" s="19" t="str">
        <x:v>&lt;INSERT_B&gt;
acquired &lt;INSERT_A&gt;.&lt;WAIT&gt;</x:v>
      </x:c>
      <x:c r="F122" s="20" t="str"/>
      <x:c r="G122" s="20" t="str"/>
      <x:c r="H122" s="23" t="str">
        <x:v>INSERT_B NEWLINE INSERT_A WAIT END</x:v>
      </x:c>
      <x:c r="I122" s="23" t="str">
        <x:v>EA:17EF</x:v>
      </x:c>
      <x:c r="J122" s="23" t="str">
        <x:v>CA C8 61 63 71 75 69 72 65 64 01 C4 2E C5 C0</x:v>
      </x:c>
      <x:c r="K122" s="23" t="str">
        <x:v>1CA 029 1C8 1C4 03C 001 015 017 023 017 01B 01F 1C5 1C0</x:v>
      </x:c>
    </x:row>
    <x:row r="123">
      <x:c r="A123" s="22" t="str">
        <x:f>"00"</x:f>
        <x:v>00</x:v>
      </x:c>
      <x:c r="B123" s="22" t="str">
        <x:f>"79"</x:f>
        <x:v>79</x:v>
      </x:c>
      <x:c r="C123" s="22" t="str">
        <x:f>"0x0079"</x:f>
        <x:v>0x0079</x:v>
      </x:c>
      <x:c r="D123" s="21" t="str">
        <x:v>SPの最大値が &lt;NUMBER&gt;ふえた</x:v>
      </x:c>
      <x:c r="E123" s="19" t="str">
        <x:v>Max SP increased by &lt;NUMBER&gt;.</x:v>
      </x:c>
      <x:c r="F123" s="20" t="str"/>
      <x:c r="G123" s="20" t="str"/>
      <x:c r="H123" s="23" t="str">
        <x:v>NUMBER END</x:v>
      </x:c>
      <x:c r="I123" s="23" t="str">
        <x:v>EA:17FE</x:v>
      </x:c>
      <x:c r="J123" s="23" t="str">
        <x:v>4D 61 78 01 53 50 01 69 6E 63 72 65 61 73 65 64 01 62 79 01 C2 2E C0</x:v>
      </x:c>
      <x:c r="K123" s="23" t="str">
        <x:v>00D 00E 028 18A 0AC 199 084 015 001 1C2 02B 013 01F 1C0</x:v>
      </x:c>
    </x:row>
    <x:row r="124">
      <x:c r="A124" s="22" t="str">
        <x:f>"00"</x:f>
        <x:v>00</x:v>
      </x:c>
      <x:c r="B124" s="22" t="str">
        <x:f>"7A"</x:f>
        <x:v>7A</x:v>
      </x:c>
      <x:c r="C124" s="22" t="str">
        <x:f>"0x007A"</x:f>
        <x:v>0x007A</x:v>
      </x:c>
      <x:c r="D124" s="21" t="str">
        <x:v>力が &lt;NUMBER&gt;ふえた&lt;WAIT&gt;</x:v>
      </x:c>
      <x:c r="E124" s="19" t="str">
        <x:v>Power increased by &lt;NUMBER&gt;.&lt;WAIT&gt;</x:v>
      </x:c>
      <x:c r="F124" s="20" t="str"/>
      <x:c r="G124" s="20" t="str"/>
      <x:c r="H124" s="23" t="str">
        <x:v>NUMBER WAIT END</x:v>
      </x:c>
      <x:c r="I124" s="23" t="str">
        <x:v>EA:1815</x:v>
      </x:c>
      <x:c r="J124" s="23" t="str">
        <x:v>50 6F 77 65 72 01 69 6E 63 72 65 61 73 65 64 01 62 79 01 C2 2E C5 C0</x:v>
      </x:c>
      <x:c r="K124" s="23" t="str">
        <x:v>107 084 015 001 1C2 02B 013 01F 1C5 1C0</x:v>
      </x:c>
    </x:row>
    <x:row r="125">
      <x:c r="A125" s="22" t="str">
        <x:f>"00"</x:f>
        <x:v>00</x:v>
      </x:c>
      <x:c r="B125" s="22" t="str">
        <x:f>"7B"</x:f>
        <x:v>7B</x:v>
      </x:c>
      <x:c r="C125" s="22" t="str">
        <x:f>"0x007B"</x:f>
        <x:v>0x007B</x:v>
      </x:c>
      <x:c r="D125" s="21" t="str">
        <x:v>スタミナが &lt;NUMBER&gt;ふえた&lt;WAIT&gt;</x:v>
      </x:c>
      <x:c r="E125" s="19" t="str">
        <x:v>Stamina increased by &lt;NUMBER&gt;.&lt;WAIT&gt;</x:v>
      </x:c>
      <x:c r="F125" s="20" t="str"/>
      <x:c r="G125" s="20" t="str"/>
      <x:c r="H125" s="23" t="str">
        <x:v>NUMBER WAIT END</x:v>
      </x:c>
      <x:c r="I125" s="23" t="str">
        <x:v>EA:182C</x:v>
      </x:c>
      <x:c r="J125" s="23" t="str">
        <x:v>53 74 61 6D 69 6E 61 01 69 6E 63 72 65 61 73 65 64 01 62 79 01 C2 2E C5 C0</x:v>
      </x:c>
      <x:c r="K125" s="23" t="str">
        <x:v>04E 051 061 056 084 015 001 1C2 02B 013 01F 1C5 1C0</x:v>
      </x:c>
    </x:row>
    <x:row r="126">
      <x:c r="A126" s="22" t="str">
        <x:f>"00"</x:f>
        <x:v>00</x:v>
      </x:c>
      <x:c r="B126" s="22" t="str">
        <x:f>"7C"</x:f>
        <x:v>7C</x:v>
      </x:c>
      <x:c r="C126" s="22" t="str">
        <x:f>"0x007C"</x:f>
        <x:v>0x007C</x:v>
      </x:c>
      <x:c r="D126" s="21" t="str">
        <x:v>きびんさが &lt;NUMBER&gt;ふえた&lt;WAIT&gt;</x:v>
      </x:c>
      <x:c r="E126" s="19" t="str">
        <x:v>Agility increased by &lt;NUMBER&gt;.&lt;WAIT&gt;</x:v>
      </x:c>
      <x:c r="F126" s="20" t="str"/>
      <x:c r="G126" s="20" t="str"/>
      <x:c r="H126" s="23" t="str">
        <x:v>NUMBER WAIT END</x:v>
      </x:c>
      <x:c r="I126" s="23" t="str">
        <x:v>EA:1845</x:v>
      </x:c>
      <x:c r="J126" s="23" t="str">
        <x:v>41 67 69 6C 69 74 79 01 69 6E 63 72 65 61 73 65 64 01 62 79 01 C2 2E C5 C0</x:v>
      </x:c>
      <x:c r="K126" s="23" t="str">
        <x:v>016 084 02A 03D 01A 084 015 001 1C2 02B 013 01F 1C5 1C0</x:v>
      </x:c>
    </x:row>
    <x:row r="127">
      <x:c r="A127" s="22" t="str">
        <x:f>"00"</x:f>
        <x:v>00</x:v>
      </x:c>
      <x:c r="B127" s="22" t="str">
        <x:f>"7D"</x:f>
        <x:v>7D</x:v>
      </x:c>
      <x:c r="C127" s="22" t="str">
        <x:f>"0x007D"</x:f>
        <x:v>0x007D</x:v>
      </x:c>
      <x:c r="D127" s="21" t="str">
        <x:v>知せいが &lt;NUMBER&gt;ふえた&lt;WAIT&gt;</x:v>
      </x:c>
      <x:c r="E127" s="19" t="str">
        <x:v>Intelligence increased by &lt;NUMBER&gt;.&lt;WAIT&gt;</x:v>
      </x:c>
      <x:c r="F127" s="20" t="str"/>
      <x:c r="G127" s="20" t="str"/>
      <x:c r="H127" s="23" t="str">
        <x:v>NUMBER WAIT END</x:v>
      </x:c>
      <x:c r="I127" s="23" t="str">
        <x:v>EA:185E</x:v>
      </x:c>
      <x:c r="J127" s="23" t="str">
        <x:v>49 6E 74 65 6C 6C 69 67 65 6E 63 65 01 69 6E 63 72 65 61 73 65 64 01 62 79 01 C2 2E C5 C0</x:v>
      </x:c>
      <x:c r="K127" s="23" t="str">
        <x:v>15C 01D 011 084 015 001 1C2 02B 013 01F 1C5 1C0</x:v>
      </x:c>
    </x:row>
    <x:row r="128">
      <x:c r="A128" s="22" t="str">
        <x:f>"00"</x:f>
        <x:v>00</x:v>
      </x:c>
      <x:c r="B128" s="22" t="str">
        <x:f>"7E"</x:f>
        <x:v>7E</x:v>
      </x:c>
      <x:c r="C128" s="22" t="str">
        <x:f>"0x007E"</x:f>
        <x:v>0x007E</x:v>
      </x:c>
      <x:c r="D128" s="21" t="str">
        <x:v>ラックが &lt;NUMBER&gt;ふえた&lt;WAIT&gt;</x:v>
      </x:c>
      <x:c r="E128" s="19" t="str">
        <x:v>Luck increased by &lt;NUMBER&gt;.&lt;WAIT&gt;</x:v>
      </x:c>
      <x:c r="F128" s="20" t="str"/>
      <x:c r="G128" s="20" t="str"/>
      <x:c r="H128" s="23" t="str">
        <x:v>NUMBER WAIT END</x:v>
      </x:c>
      <x:c r="I128" s="23" t="str">
        <x:v>EA:187C</x:v>
      </x:c>
      <x:c r="J128" s="23" t="str">
        <x:v>4C 75 63 6B 01 69 6E 63 72 65 61 73 65 64 01 62 79 01 C2 2E C5 C0</x:v>
      </x:c>
      <x:c r="K128" s="23" t="str">
        <x:v>068 070 049 084 015 001 1C2 02B 013 01F 1C5 1C0</x:v>
      </x:c>
    </x:row>
    <x:row r="129">
      <x:c r="A129" s="22" t="str">
        <x:f>"00"</x:f>
        <x:v>00</x:v>
      </x:c>
      <x:c r="B129" s="22" t="str">
        <x:f>"7F"</x:f>
        <x:v>7F</x:v>
      </x:c>
      <x:c r="C129" s="22" t="str">
        <x:f>"0x007F"</x:f>
        <x:v>0x007F</x:v>
      </x:c>
      <x:c r="D129" s="21" t="str">
        <x:v>&lt;INSERT_B&gt;を かたづけた</x:v>
      </x:c>
      <x:c r="E129" s="19" t="str">
        <x:v>Defeated &lt;INSERT_B&gt;.</x:v>
      </x:c>
      <x:c r="F129" s="20" t="str"/>
      <x:c r="G129" s="20" t="str"/>
      <x:c r="H129" s="23" t="str">
        <x:v>INSERT_B END</x:v>
      </x:c>
      <x:c r="I129" s="23" t="str">
        <x:v>EA:1892</x:v>
      </x:c>
      <x:c r="J129" s="23" t="str">
        <x:v>44 65 66 65 61 74 65 64 01 CA 2E C0</x:v>
      </x:c>
      <x:c r="K129" s="23" t="str">
        <x:v>1CA 03C 001 015 01F 084 021 018 01F 1C0</x:v>
      </x:c>
    </x:row>
    <x:row r="130">
      <x:c r="A130" s="22" t="str">
        <x:f>"00"</x:f>
        <x:v>00</x:v>
      </x:c>
      <x:c r="B130" s="22" t="str">
        <x:f>"80"</x:f>
        <x:v>80</x:v>
      </x:c>
      <x:c r="C130" s="22" t="str">
        <x:f>"0x0080"</x:f>
        <x:v>0x0080</x:v>
      </x:c>
      <x:c r="D130" s="21" t="str">
        <x:v>レディは
経験値 &lt;NUMBER&gt;を もらった&lt;WAIT_INPUT&gt;</x:v>
      </x:c>
      <x:c r="E130" s="19" t="str">
        <x:v>Lady gained &lt;NUMBER&gt; EXP.&lt;WAIT_INPUT&gt;</x:v>
      </x:c>
      <x:c r="F130" s="20" t="str"/>
      <x:c r="G130" s="20" t="str"/>
      <x:c r="H130" s="23" t="str">
        <x:v>NUMBER WAIT_INPUT END</x:v>
      </x:c>
      <x:c r="I130" s="23" t="str">
        <x:v>EA:189E</x:v>
      </x:c>
      <x:c r="J130" s="23" t="str">
        <x:v>4C 61 64 79 01 67 61 69 6E 65 64 01 C2 01 45 58 50 2E C9 C0</x:v>
      </x:c>
      <x:c r="K130" s="23" t="str">
        <x:v>06B 084 054 075 029 1C8 183 0F3 199 001 1C2 03C 001 032 036 03E 01F 1C9 1C0</x:v>
      </x:c>
    </x:row>
    <x:row r="131">
      <x:c r="A131" s="22" t="str">
        <x:f>"00"</x:f>
        <x:v>00</x:v>
      </x:c>
      <x:c r="B131" s="22" t="str">
        <x:f>"81"</x:f>
        <x:v>81</x:v>
      </x:c>
      <x:c r="C131" s="22" t="str">
        <x:f>"0x0081"</x:f>
        <x:v>0x0081</x:v>
      </x:c>
      <x:c r="D131" s="21" t="str">
        <x:v>&lt;INSERT_A&gt;が じめんに おちている&lt;WAIT_INPUT&gt;</x:v>
      </x:c>
      <x:c r="E131" s="19" t="str">
        <x:v>&lt;INSERT_A&gt; is
lying on the ground.&lt;WAIT_INPUT&gt;</x:v>
      </x:c>
      <x:c r="F131" s="20" t="str"/>
      <x:c r="G131" s="20" t="str"/>
      <x:c r="H131" s="23" t="str">
        <x:v>INSERT_A NEWLINE WAIT_INPUT END</x:v>
      </x:c>
      <x:c r="I131" s="23" t="str">
        <x:v>EA:18B2</x:v>
      </x:c>
      <x:c r="J131" s="23" t="str">
        <x:v>C4 01 69 73 C8 6C 79 69 6E 67 01 6F 6E 01 74 68 65 01 67 72 6F 75 6E 64 2E C9 C0</x:v>
      </x:c>
      <x:c r="K131" s="23" t="str">
        <x:v>1C4 084 015 001 084 01B 031 03D 025 001 014 020 022 011 038 1C9 1C0</x:v>
      </x:c>
    </x:row>
    <x:row r="132">
      <x:c r="A132" s="22" t="str">
        <x:f>"00"</x:f>
        <x:v>00</x:v>
      </x:c>
      <x:c r="B132" s="22" t="str">
        <x:f>"82"</x:f>
        <x:v>82</x:v>
      </x:c>
      <x:c r="C132" s="22" t="str">
        <x:f>"0x0082"</x:f>
        <x:v>0x0082</x:v>
      </x:c>
      <x:c r="D132" s="21" t="str">
        <x:v>&lt;INSERT_B&gt;の &lt;INSERT_A&gt;を
ぜんぶ すてますか?</x:v>
      </x:c>
      <x:c r="E132" s="19" t="str">
        <x:v>Discard all of
&lt;INSERT_B&gt;'s
&lt;INSERT_A&gt;?</x:v>
      </x:c>
      <x:c r="F132" s="20" t="str"/>
      <x:c r="G132" s="20" t="str"/>
      <x:c r="H132" s="23" t="str">
        <x:v>NEWLINE INSERT_B NEWLINE INSERT_A END</x:v>
      </x:c>
      <x:c r="I132" s="23" t="str">
        <x:v>EA:18CD</x:v>
      </x:c>
      <x:c r="J132" s="23" t="str">
        <x:v>44 69 73 63 61 72 64 01 61 6C 6C 01 6F 66 C8 CA 27 73 C8 C4 3F C0</x:v>
      </x:c>
      <x:c r="K132" s="23" t="str">
        <x:v>1CA 028 001 1C4 03C 1C8 084 01D 03D 084 02B 001 01C 022 02E 01C 015 079 1C0</x:v>
      </x:c>
    </x:row>
    <x:row r="133">
      <x:c r="A133" s="22" t="str">
        <x:f>"00"</x:f>
        <x:v>00</x:v>
      </x:c>
      <x:c r="B133" s="22" t="str">
        <x:f>"83"</x:f>
        <x:v>83</x:v>
      </x:c>
      <x:c r="C133" s="22" t="str">
        <x:f>"0x0083"</x:f>
        <x:v>0x0083</x:v>
      </x:c>
      <x:c r="D133" s="21" t="str">
        <x:v>&lt;INSERT_B&gt;の &lt;INSERT_A&gt;を
すてますか?</x:v>
      </x:c>
      <x:c r="E133" s="19" t="str">
        <x:v>Discard &lt;INSERT_B&gt;'s
&lt;INSERT_A&gt;?</x:v>
      </x:c>
      <x:c r="F133" s="20" t="str"/>
      <x:c r="G133" s="20" t="str"/>
      <x:c r="H133" s="23" t="str">
        <x:v>INSERT_B NEWLINE INSERT_A END</x:v>
      </x:c>
      <x:c r="I133" s="23" t="str">
        <x:v>EA:18E3</x:v>
      </x:c>
      <x:c r="J133" s="23" t="str">
        <x:v>44 69 73 63 61 72 64 01 CA 27 73 C8 C4 3F C0</x:v>
      </x:c>
      <x:c r="K133" s="23" t="str">
        <x:v>1CA 028 001 1C4 03C 1C8 01C 022 02E 01C 015 079 1C0</x:v>
      </x:c>
    </x:row>
    <x:row r="134">
      <x:c r="A134" s="22" t="str">
        <x:f>"00"</x:f>
        <x:v>00</x:v>
      </x:c>
      <x:c r="B134" s="22" t="str">
        <x:f>"84"</x:f>
        <x:v>84</x:v>
      </x:c>
      <x:c r="C134" s="22" t="str">
        <x:f>"0x0084"</x:f>
        <x:v>0x0084</x:v>
      </x:c>
      <x:c r="D134" s="21" t="str">
        <x:v>&lt;INSERT_A&gt;を とりませんね?</x:v>
      </x:c>
      <x:c r="E134" s="19" t="str">
        <x:v>You don't want &lt;INSERT_A&gt;?</x:v>
      </x:c>
      <x:c r="F134" s="20" t="str"/>
      <x:c r="G134" s="20" t="str"/>
      <x:c r="H134" s="23" t="str">
        <x:v>INSERT_A END</x:v>
      </x:c>
      <x:c r="I134" s="23" t="str">
        <x:v>EA:18F2</x:v>
      </x:c>
      <x:c r="J134" s="23" t="str">
        <x:v>59 6F 75 01 64 6F 6E 27 74 01 77 61 6E 74 01 C4 3F C0</x:v>
      </x:c>
      <x:c r="K134" s="23" t="str">
        <x:v>1C4 03C 001 023 037 02E 01D 03D 027 079 1C0</x:v>
      </x:c>
    </x:row>
    <x:row r="135">
      <x:c r="A135" s="22" t="str">
        <x:f>"00"</x:f>
        <x:v>00</x:v>
      </x:c>
      <x:c r="B135" s="22" t="str">
        <x:f>"85"</x:f>
        <x:v>85</x:v>
      </x:c>
      <x:c r="C135" s="22" t="str">
        <x:f>"0x0085"</x:f>
        <x:v>0x0085</x:v>
      </x:c>
      <x:c r="D135" s="21" t="str">
        <x:v>化け物は にげていった</x:v>
      </x:c>
      <x:c r="E135" s="19" t="str">
        <x:v>The monster ran away.</x:v>
      </x:c>
      <x:c r="F135" s="20" t="str"/>
      <x:c r="G135" s="20" t="str"/>
      <x:c r="H135" s="23" t="str">
        <x:v>END</x:v>
      </x:c>
      <x:c r="I135" s="23" t="str">
        <x:v>EA:1904</x:v>
      </x:c>
      <x:c r="J135" s="23" t="str">
        <x:v>54 68 65 01 6D 6F 6E 73 74 65 72 01 72 61 6E 01 61 77 61 79 2E C0</x:v>
      </x:c>
      <x:c r="K135" s="23" t="str">
        <x:v>09E 018 08B 029 001 025 084 018 022 011 03E 01F 1C0</x:v>
      </x:c>
    </x:row>
    <x:row r="136">
      <x:c r="A136" s="22" t="str">
        <x:f>"00"</x:f>
        <x:v>00</x:v>
      </x:c>
      <x:c r="B136" s="22" t="str">
        <x:f>"86"</x:f>
        <x:v>86</x:v>
      </x:c>
      <x:c r="C136" s="22" t="str">
        <x:f>"0x0086"</x:f>
        <x:v>0x0086</x:v>
      </x:c>
      <x:c r="D136" s="21" t="str">
        <x:v>&lt;INSERT_B&gt;の魔術を思い出した&lt;WAIT&gt;</x:v>
      </x:c>
      <x:c r="E136" s="19" t="str">
        <x:v>Remembered the spell
&lt;INSERT_B&gt;!&lt;WAIT&gt;</x:v>
      </x:c>
      <x:c r="F136" s="20" t="str"/>
      <x:c r="G136" s="20" t="str"/>
      <x:c r="H136" s="23" t="str">
        <x:v>NEWLINE INSERT_B WAIT END</x:v>
      </x:c>
      <x:c r="I136" s="23" t="str">
        <x:v>EA:191A</x:v>
      </x:c>
      <x:c r="J136" s="23" t="str">
        <x:v>52 65 6D 65 6D 62 65 72 65 64 01 74 68 65 01 73 70 65 6C 6C C8 CA 21 C5 C0</x:v>
      </x:c>
      <x:c r="K136" s="23" t="str">
        <x:v>1CA 028 09A 16A 03C 10F 011 106 01B 01F 1C5 1C0</x:v>
      </x:c>
    </x:row>
    <x:row r="137">
      <x:c r="A137" s="22" t="str">
        <x:f>"00"</x:f>
        <x:v>00</x:v>
      </x:c>
      <x:c r="B137" s="22" t="str">
        <x:f>"87"</x:f>
        <x:v>87</x:v>
      </x:c>
      <x:c r="C137" s="22" t="str">
        <x:f>"0x0087"</x:f>
        <x:v>0x0087</x:v>
      </x:c>
      <x:c r="D137" s="21" t="str">
        <x:v>&lt;INSERT_A&gt;は
くだけて なくなってしまった&lt;WAIT_INPUT&gt;</x:v>
      </x:c>
      <x:c r="E137" s="19" t="str">
        <x:v>&lt;INSERT_A&gt; shattered
and was destroyed.&lt;WAIT_INPUT&gt;</x:v>
      </x:c>
      <x:c r="F137" s="20" t="str"/>
      <x:c r="G137" s="20" t="str"/>
      <x:c r="H137" s="23" t="str">
        <x:v>INSERT_A NEWLINE WAIT_INPUT END</x:v>
      </x:c>
      <x:c r="I137" s="23" t="str">
        <x:v>EA:1933</x:v>
      </x:c>
      <x:c r="J137" s="23" t="str">
        <x:v>C4 01 73 68 61 74 74 65 72 65 64 C8 61 6E 64 01 77 61 73 01 64 65 73 74 72 6F 79 65 64 2E C9 C0</x:v>
      </x:c>
      <x:c r="K137" s="23" t="str">
        <x:v>1C4 029 1C8 017 084 01F 018 022 001 024 017 024 03E 022 01B 02E 03E 01F 1C9 1C0</x:v>
      </x:c>
    </x:row>
    <x:row r="138">
      <x:c r="A138" s="22" t="str">
        <x:f>"00"</x:f>
        <x:v>00</x:v>
      </x:c>
      <x:c r="B138" s="22" t="str">
        <x:f>"88"</x:f>
        <x:v>88</x:v>
      </x:c>
      <x:c r="C138" s="22" t="str">
        <x:f>"0x0088"</x:f>
        <x:v>0x0088</x:v>
      </x:c>
      <x:c r="D138" s="21" t="str">
        <x:v>&lt;NOP&gt;&lt;WAIT&gt;</x:v>
      </x:c>
      <x:c r="E138" s="19" t="str">
        <x:v>&lt;NOP&gt;&lt;WAIT&gt;</x:v>
      </x:c>
      <x:c r="F138" s="20" t="str"/>
      <x:c r="G138" s="20" t="str"/>
      <x:c r="H138" s="23" t="str">
        <x:v>NOP WAIT END</x:v>
      </x:c>
      <x:c r="I138" s="23" t="str">
        <x:v>EA:1953</x:v>
      </x:c>
      <x:c r="J138" s="23" t="str">
        <x:v>C1 C5 C0</x:v>
      </x:c>
      <x:c r="K138" s="23" t="str">
        <x:v>1C1 1C5 1C0</x:v>
      </x:c>
    </x:row>
    <x:row r="139">
      <x:c r="A139" s="22" t="str">
        <x:f>"00"</x:f>
        <x:v>00</x:v>
      </x:c>
      <x:c r="B139" s="22" t="str">
        <x:f>"89"</x:f>
        <x:v>89</x:v>
      </x:c>
      <x:c r="C139" s="22" t="str">
        <x:f>"0x0089"</x:f>
        <x:v>0x0089</x:v>
      </x:c>
      <x:c r="D139" s="21" t="str">
        <x:v>&lt;NOP&gt;&lt;WAIT_INPUT&gt;</x:v>
      </x:c>
      <x:c r="E139" s="19" t="str">
        <x:v>&lt;NOP&gt;&lt;WAIT_INPUT&gt;</x:v>
      </x:c>
      <x:c r="F139" s="20" t="str"/>
      <x:c r="G139" s="20" t="str"/>
      <x:c r="H139" s="23" t="str">
        <x:v>NOP WAIT_INPUT END</x:v>
      </x:c>
      <x:c r="I139" s="23" t="str">
        <x:v>EA:1956</x:v>
      </x:c>
      <x:c r="J139" s="23" t="str">
        <x:v>C1 C9 C0</x:v>
      </x:c>
      <x:c r="K139" s="23" t="str">
        <x:v>1C1 1C9 1C0</x:v>
      </x:c>
    </x:row>
    <x:row r="140">
      <x:c r="A140" s="22" t="str">
        <x:f>"00"</x:f>
        <x:v>00</x:v>
      </x:c>
      <x:c r="B140" s="22" t="str">
        <x:f>"8A"</x:f>
        <x:v>8A</x:v>
      </x:c>
      <x:c r="C140" s="22" t="str">
        <x:f>"0x008A"</x:f>
        <x:v>0x008A</x:v>
      </x:c>
      <x:c r="D140" s="21" t="str">
        <x:v>レディ「・・・・・・・・・・・・&lt;PAUSE_30&gt;
・・・・・・・・・・&lt;PAUSE_30&gt;</x:v>
      </x:c>
      <x:c r="E140" s="19" t="str">
        <x:v>Lady: .................&lt;PAUSE_30&gt; ..........&lt;PAUSE_30&gt;</x:v>
      </x:c>
      <x:c r="F140" s="20" t="str"/>
      <x:c r="G140" s="20" t="str"/>
      <x:c r="H140" s="23" t="str">
        <x:v>PAUSE_30 PAUSE_30 END</x:v>
      </x:c>
      <x:c r="I140" s="23" t="str">
        <x:v>EA:1959</x:v>
      </x:c>
      <x:c r="J140" s="23" t="str">
        <x:v>4C 61 64 79 3A 01 2E 2E 2E 2E 2E 2E 2E 2E 2E 2E 2E 2E 2E 2E 2E 2E 2E CD 01 2E 2E 2E 2E 2E 2E 2E 2E 2E 2E CD C0</x:v>
      </x:c>
      <x:c r="K140" s="23" t="str">
        <x:v>06B 084 054 075 07D 081 081 081 081 081 081 081 081 081 081 081 081 1CD 1C8 081 081 081 081 081 081 081 081 081 081 1CD 1C0</x:v>
      </x:c>
    </x:row>
    <x:row r="141">
      <x:c r="A141" s="22" t="str">
        <x:f>"00"</x:f>
        <x:v>00</x:v>
      </x:c>
      <x:c r="B141" s="22" t="str">
        <x:f>"8B"</x:f>
        <x:v>8B</x:v>
      </x:c>
      <x:c r="C141" s="22" t="str">
        <x:f>"0x008B"</x:f>
        <x:v>0x008B</x:v>
      </x:c>
      <x:c r="D141" s="21" t="str">
        <x:v>&lt;NOP&gt;行くわ!&lt;PAUSE_60&gt;</x:v>
      </x:c>
      <x:c r="E141" s="19" t="str">
        <x:v>&lt;NOP&gt;I'm going!&lt;PAUSE_60&gt;</x:v>
      </x:c>
      <x:c r="F141" s="20" t="str"/>
      <x:c r="G141" s="20" t="str"/>
      <x:c r="H141" s="23" t="str">
        <x:v>NOP PAUSE_60 END</x:v>
      </x:c>
      <x:c r="I141" s="23" t="str">
        <x:v>EA:197E</x:v>
      </x:c>
      <x:c r="J141" s="23" t="str">
        <x:v>C1 49 27 6D 01 67 6F 69 6E 67 21 CB C0</x:v>
      </x:c>
      <x:c r="K141" s="23" t="str">
        <x:v>1C1 08D 017 03B 07A 1CB 1C0</x:v>
      </x:c>
    </x:row>
    <x:row r="142">
      <x:c r="A142" s="22" t="str">
        <x:f>"00"</x:f>
        <x:v>00</x:v>
      </x:c>
      <x:c r="B142" s="22" t="str">
        <x:f>"8C"</x:f>
        <x:v>8C</x:v>
      </x:c>
      <x:c r="C142" s="22" t="str">
        <x:f>"0x008C"</x:f>
        <x:v>0x008C</x:v>
      </x:c>
      <x:c r="D142" s="21" t="str">
        <x:v>&lt;CLEAR&gt;
!</x:v>
      </x:c>
      <x:c r="E142" s="19" t="str">
        <x:v>&lt;CLEAR&gt;!</x:v>
      </x:c>
      <x:c r="F142" s="20" t="str"/>
      <x:c r="G142" s="20" t="str"/>
      <x:c r="H142" s="23" t="str">
        <x:v>CLEAR END</x:v>
      </x:c>
      <x:c r="I142" s="23" t="str">
        <x:v>EA:198B</x:v>
      </x:c>
      <x:c r="J142" s="23" t="str">
        <x:v>D0 21 C0</x:v>
      </x:c>
      <x:c r="K142" s="23" t="str">
        <x:v>1D0 07A 1C0</x:v>
      </x:c>
    </x:row>
    <x:row r="143">
      <x:c r="A143" s="22" t="str">
        <x:f>"00"</x:f>
        <x:v>00</x:v>
      </x:c>
      <x:c r="B143" s="22" t="str">
        <x:f>"8D"</x:f>
        <x:v>8D</x:v>
      </x:c>
      <x:c r="C143" s="22" t="str">
        <x:f>"0x008D"</x:f>
        <x:v>0x008D</x:v>
      </x:c>
      <x:c r="D143" s="21" t="str">
        <x:v>&lt;CLEAR&gt;
&lt;INSERT_B&gt;は
&lt;INSERT_A&gt;を うけとった</x:v>
      </x:c>
      <x:c r="E143" s="19" t="str">
        <x:v>&lt;CLEAR&gt;&lt;INSERT_B&gt;
received &lt;INSERT_A&gt;.&lt;LINE&gt;</x:v>
      </x:c>
      <x:c r="F143" s="20" t="str"/>
      <x:c r="G143" s="20" t="str"/>
      <x:c r="H143" s="23" t="str">
        <x:v>CLEAR INSERT_B NEWLINE INSERT_A LINE END</x:v>
      </x:c>
      <x:c r="I143" s="23" t="str">
        <x:v>EA:198E</x:v>
      </x:c>
      <x:c r="J143" s="23" t="str">
        <x:v>D0 CA C8 72 65 63 65 69 76 65 64 01 C4 2E C3 C0</x:v>
      </x:c>
      <x:c r="K143" s="23" t="str">
        <x:v>1D0 1CA 029 1C8 1C4 03C 001 012 018 023 03E 01F 1C3 1C0</x:v>
      </x:c>
    </x:row>
    <x:row r="144">
      <x:c r="A144" s="22" t="str">
        <x:f>"00"</x:f>
        <x:v>00</x:v>
      </x:c>
      <x:c r="B144" s="22" t="str">
        <x:f>"8E"</x:f>
        <x:v>8E</x:v>
      </x:c>
      <x:c r="C144" s="22" t="str">
        <x:f>"0x008E"</x:f>
        <x:v>0x008E</x:v>
      </x:c>
      <x:c r="D144" s="21" t="str">
        <x:v>&lt;CLEAR&gt;
&lt;INSERT_B&gt;は
&lt;INSERT_A&gt;を 手に入れた</x:v>
      </x:c>
      <x:c r="E144" s="19" t="str">
        <x:v>&lt;CLEAR&gt;&lt;INSERT_B&gt;
obtained &lt;INSERT_A&gt;.&lt;LINE&gt;</x:v>
      </x:c>
      <x:c r="F144" s="20" t="str"/>
      <x:c r="G144" s="20" t="str"/>
      <x:c r="H144" s="23" t="str">
        <x:v>CLEAR INSERT_B NEWLINE INSERT_A LINE END</x:v>
      </x:c>
      <x:c r="I144" s="23" t="str">
        <x:v>EA:199E</x:v>
      </x:c>
      <x:c r="J144" s="23" t="str">
        <x:v>D0 CA C8 6F 62 74 61 69 6E 65 64 01 C4 2E C3 C0</x:v>
      </x:c>
      <x:c r="K144" s="23" t="str">
        <x:v>1D0 1CA 029 1C8 1C4 03C 001 177 025 08E 039 01F 1C3 1C0</x:v>
      </x:c>
    </x:row>
    <x:row r="145">
      <x:c r="A145" s="22" t="str">
        <x:f>"00"</x:f>
        <x:v>00</x:v>
      </x:c>
      <x:c r="B145" s="22" t="str">
        <x:f>"8F"</x:f>
        <x:v>8F</x:v>
      </x:c>
      <x:c r="C145" s="22" t="str">
        <x:f>"0x008F"</x:f>
        <x:v>0x008F</x:v>
      </x:c>
      <x:c r="D145" s="21" t="str">
        <x:v>&lt;CLEAR&gt;
&lt;INSERT_B&gt;は
&lt;INSERT_A&gt;を うけとろうとした</x:v>
      </x:c>
      <x:c r="E145" s="19" t="str">
        <x:v>&lt;CLEAR&gt;&lt;INSERT_B&gt; tried
to take &lt;INSERT_A&gt;.&lt;LINE&gt;</x:v>
      </x:c>
      <x:c r="F145" s="20" t="str"/>
      <x:c r="G145" s="20" t="str"/>
      <x:c r="H145" s="23" t="str">
        <x:v>CLEAR INSERT_B NEWLINE INSERT_A LINE END</x:v>
      </x:c>
      <x:c r="I145" s="23" t="str">
        <x:v>EA:19AE</x:v>
      </x:c>
      <x:c r="J145" s="23" t="str">
        <x:v>D0 CA 01 74 72 69 65 64 C8 74 6F 01 74 61 6B 65 01 C4 2E C3 C0</x:v>
      </x:c>
      <x:c r="K145" s="23" t="str">
        <x:v>1D0 1CA 029 1C8 1C4 03C 001 012 018 023 03A 012 023 01B 01F 1C3 1C0</x:v>
      </x:c>
    </x:row>
    <x:row r="146">
      <x:c r="A146" s="22" t="str">
        <x:f>"00"</x:f>
        <x:v>00</x:v>
      </x:c>
      <x:c r="B146" s="22" t="str">
        <x:f>"90"</x:f>
        <x:v>90</x:v>
      </x:c>
      <x:c r="C146" s="22" t="str">
        <x:f>"0x0090"</x:f>
        <x:v>0x0090</x:v>
      </x:c>
      <x:c r="D146" s="21" t="str">
        <x:v>&lt;CLEAR&gt;
しかし にもつがいっぱいで
持てなかった</x:v>
      </x:c>
      <x:c r="E146" s="19" t="str">
        <x:v>&lt;CLEAR&gt;But there was no
room to carry it.&lt;LINE&gt;</x:v>
      </x:c>
      <x:c r="F146" s="20" t="str"/>
      <x:c r="G146" s="20" t="str"/>
      <x:c r="H146" s="23" t="str">
        <x:v>CLEAR NEWLINE LINE END</x:v>
      </x:c>
      <x:c r="I146" s="23" t="str">
        <x:v>EA:19C3</x:v>
      </x:c>
      <x:c r="J146" s="23" t="str">
        <x:v>D0 42 75 74 01 74 68 65 72 65 01 77 61 73 01 6E 6F C8 72 6F 6F 6D 01 74 6F 01 63 61 72 72 79 01 69 74 2E C3 C0</x:v>
      </x:c>
      <x:c r="K146" s="23" t="str">
        <x:v>1D0 01B 015 01B 001 025 032 021 084 015 011 03E 083 029 011 084 022 1C8 0D3 022 024 015 03E 01F 1C3 1C0</x:v>
      </x:c>
    </x:row>
    <x:row r="147">
      <x:c r="A147" s="22" t="str">
        <x:f>"00"</x:f>
        <x:v>00</x:v>
      </x:c>
      <x:c r="B147" s="22" t="str">
        <x:f>"91"</x:f>
        <x:v>91</x:v>
      </x:c>
      <x:c r="C147" s="22" t="str">
        <x:f>"0x0091"</x:f>
        <x:v>0x0091</x:v>
      </x:c>
      <x:c r="D147" s="21" t="str">
        <x:v>&lt;CLEAR&gt;
&lt;INSERT_B&gt;は
&lt;INSERT_A&gt;を ひろおうとした</x:v>
      </x:c>
      <x:c r="E147" s="19" t="str">
        <x:v>&lt;CLEAR&gt;&lt;INSERT_B&gt; tried
to pick up &lt;INSERT_A&gt;.&lt;LINE&gt;</x:v>
      </x:c>
      <x:c r="F147" s="20" t="str"/>
      <x:c r="G147" s="20" t="str"/>
      <x:c r="H147" s="23" t="str">
        <x:v>CLEAR INSERT_B NEWLINE INSERT_A LINE END</x:v>
      </x:c>
      <x:c r="I147" s="23" t="str">
        <x:v>EA:19E8</x:v>
      </x:c>
      <x:c r="J147" s="23" t="str">
        <x:v>D0 CA 01 74 72 69 65 64 C8 74 6F 01 70 69 63 6B 01 75 70 01 C4 2E C3 C0</x:v>
      </x:c>
      <x:c r="K147" s="23" t="str">
        <x:v>1D0 1CA 029 1C8 1C4 03C 001 02A 03A 014 012 023 01B 01F 1C3 1C0</x:v>
      </x:c>
    </x:row>
    <x:row r="148">
      <x:c r="A148" s="22" t="str">
        <x:f>"00"</x:f>
        <x:v>00</x:v>
      </x:c>
      <x:c r="B148" s="22" t="str">
        <x:f>"92"</x:f>
        <x:v>92</x:v>
      </x:c>
      <x:c r="C148" s="22" t="str">
        <x:f>"0x0092"</x:f>
        <x:v>0x0092</x:v>
      </x:c>
      <x:c r="D148" s="21" t="str">
        <x:v>&lt;CLEAR&gt;
&lt;INSERT_B&gt;は
&lt;INSERT_A&gt;を みつけた</x:v>
      </x:c>
      <x:c r="E148" s="19" t="str">
        <x:v>&lt;CLEAR&gt;&lt;INSERT_B&gt;
found &lt;INSERT_A&gt;.&lt;LINE&gt;</x:v>
      </x:c>
      <x:c r="F148" s="20" t="str"/>
      <x:c r="G148" s="20" t="str"/>
      <x:c r="H148" s="23" t="str">
        <x:v>CLEAR INSERT_B NEWLINE INSERT_A LINE END</x:v>
      </x:c>
      <x:c r="I148" s="23" t="str">
        <x:v>EA:1A00</x:v>
      </x:c>
      <x:c r="J148" s="23" t="str">
        <x:v>D0 CA C8 66 6F 75 6E 64 01 C4 2E C3 C0</x:v>
      </x:c>
      <x:c r="K148" s="23" t="str">
        <x:v>1D0 1CA 029 1C8 1C4 03C 001 02F 021 018 01F 1C3 1C0</x:v>
      </x:c>
    </x:row>
    <x:row r="149">
      <x:c r="A149" s="22" t="str">
        <x:f>"00"</x:f>
        <x:v>00</x:v>
      </x:c>
      <x:c r="B149" s="22" t="str">
        <x:f>"93"</x:f>
        <x:v>93</x:v>
      </x:c>
      <x:c r="C149" s="22" t="str">
        <x:f>"0x0093"</x:f>
        <x:v>0x0093</x:v>
      </x:c>
      <x:c r="D149" s="21" t="str">
        <x:v>&lt;CLEAR&gt;
&lt;INSERT_B&gt;は
&lt;NUMBER&gt;エンドルを うけとった</x:v>
      </x:c>
      <x:c r="E149" s="19" t="str">
        <x:v>&lt;CLEAR&gt;&lt;INSERT_B&gt;
received &lt;NUMBER&gt; Endol.&lt;LINE&gt;</x:v>
      </x:c>
      <x:c r="F149" s="20" t="str"/>
      <x:c r="G149" s="20" t="str"/>
      <x:c r="H149" s="23" t="str">
        <x:v>CLEAR INSERT_B NEWLINE NUMBER LINE END</x:v>
      </x:c>
      <x:c r="I149" s="23" t="str">
        <x:v>EA:1A0D</x:v>
      </x:c>
      <x:c r="J149" s="23" t="str">
        <x:v>D0 CA C8 72 65 63 65 69 76 65 64 01 C2 01 45 6E 64 6F 6C 2E C3 C0</x:v>
      </x:c>
      <x:c r="K149" s="23" t="str">
        <x:v>1D0 1CA 029 1C8 1C2 045 06F 084 055 06A 03C 001 012 018 023 03E 01F 1C3 1C0</x:v>
      </x:c>
    </x:row>
    <x:row r="150">
      <x:c r="A150" s="22" t="str">
        <x:f>"00"</x:f>
        <x:v>00</x:v>
      </x:c>
      <x:c r="B150" s="22" t="str">
        <x:f>"94"</x:f>
        <x:v>94</x:v>
      </x:c>
      <x:c r="C150" s="22" t="str">
        <x:f>"0x0094"</x:f>
        <x:v>0x0094</x:v>
      </x:c>
      <x:c r="D150" s="21" t="str">
        <x:v>&lt;CLEAR&gt;
&lt;INSERT_B&gt;は
&lt;NUMBER&gt;エンドルを 手に入れた</x:v>
      </x:c>
      <x:c r="E150" s="19" t="str">
        <x:v>&lt;CLEAR&gt;&lt;INSERT_B&gt;
obtained &lt;NUMBER&gt; Endol.&lt;LINE&gt;</x:v>
      </x:c>
      <x:c r="F150" s="20" t="str"/>
      <x:c r="G150" s="20" t="str"/>
      <x:c r="H150" s="23" t="str">
        <x:v>CLEAR INSERT_B NEWLINE NUMBER LINE END</x:v>
      </x:c>
      <x:c r="I150" s="23" t="str">
        <x:v>EA:1A23</x:v>
      </x:c>
      <x:c r="J150" s="23" t="str">
        <x:v>D0 CA C8 6F 62 74 61 69 6E 65 64 01 C2 01 45 6E 64 6F 6C 2E C3 C0</x:v>
      </x:c>
      <x:c r="K150" s="23" t="str">
        <x:v>1D0 1CA 029 1C8 1C2 045 06F 084 055 06A 03C 001 177 025 08E 039 01F 1C3 1C0</x:v>
      </x:c>
    </x:row>
    <x:row r="151">
      <x:c r="A151" s="22" t="str">
        <x:f>"00"</x:f>
        <x:v>00</x:v>
      </x:c>
      <x:c r="B151" s="22" t="str">
        <x:f>"95"</x:f>
        <x:v>95</x:v>
      </x:c>
      <x:c r="C151" s="22" t="str">
        <x:f>"0x0095"</x:f>
        <x:v>0x0095</x:v>
      </x:c>
      <x:c r="D151" s="21" t="str">
        <x:v>&lt;CLEAR&gt;
&lt;INSERT_B&gt;は &lt;NUMBER&gt;枚の
カジノのコインを うけとった</x:v>
      </x:c>
      <x:c r="E151" s="19" t="str">
        <x:v>&lt;CLEAR&gt;&lt;INSERT_B&gt;
received &lt;NUMBER&gt; Casino Coins.&lt;LINE&gt;</x:v>
      </x:c>
      <x:c r="F151" s="20" t="str"/>
      <x:c r="G151" s="20" t="str"/>
      <x:c r="H151" s="23" t="str">
        <x:v>CLEAR INSERT_B NEWLINE NUMBER LINE END</x:v>
      </x:c>
      <x:c r="I151" s="23" t="str">
        <x:v>EA:1A39</x:v>
      </x:c>
      <x:c r="J151" s="23" t="str">
        <x:v>D0 CA C8 72 65 63 65 69 76 65 64 01 C2 01 43 61 73 69 6E 6F 01 43 6F 69 6E 73 2E C3 C0</x:v>
      </x:c>
      <x:c r="K151" s="23" t="str">
        <x:v>1D0 1CA 029 001 1C2 115 028 1C8 047 084 04D 05A 028 04B 043 06F 03C 001 012 018 023 03E 01F 1C3 1C0</x:v>
      </x:c>
    </x:row>
    <x:row r="152">
      <x:c r="A152" s="22" t="str">
        <x:f>"00"</x:f>
        <x:v>00</x:v>
      </x:c>
      <x:c r="B152" s="22" t="str">
        <x:f>"96"</x:f>
        <x:v>96</x:v>
      </x:c>
      <x:c r="C152" s="22" t="str">
        <x:f>"0x0096"</x:f>
        <x:v>0x0096</x:v>
      </x:c>
      <x:c r="D152" s="21" t="str">
        <x:v>&lt;CLEAR&gt;
&lt;INSERT_B&gt;は &lt;INSERT_A&gt;を
装備させてもらった</x:v>
      </x:c>
      <x:c r="E152" s="19" t="str">
        <x:v>&lt;CLEAR&gt;&lt;INSERT_B&gt; was
equipped with &lt;INSERT_A&gt;.&lt;LINE&gt;</x:v>
      </x:c>
      <x:c r="F152" s="20" t="str"/>
      <x:c r="G152" s="20" t="str"/>
      <x:c r="H152" s="23" t="str">
        <x:v>CLEAR INSERT_B NEWLINE INSERT_A LINE END</x:v>
      </x:c>
      <x:c r="I152" s="23" t="str">
        <x:v>EA:1A56</x:v>
      </x:c>
      <x:c r="J152" s="23" t="str">
        <x:v>D0 CA 01 77 61 73 C8 65 71 75 69 70 70 65 64 01 77 69 74 68 01 C4 2E C3 C0</x:v>
      </x:c>
      <x:c r="K152" s="23" t="str">
        <x:v>1D0 1CA 029 001 1C4 03C 1C8 0C2 0C4 01A 01D 022 032 036 03E 01F 1C3 1C0</x:v>
      </x:c>
    </x:row>
    <x:row r="153">
      <x:c r="A153" s="22" t="str">
        <x:f>"00"</x:f>
        <x:v>00</x:v>
      </x:c>
      <x:c r="B153" s="22" t="str">
        <x:f>"97"</x:f>
        <x:v>97</x:v>
      </x:c>
      <x:c r="C153" s="22" t="str">
        <x:f>"0x0097"</x:f>
        <x:v>0x0097</x:v>
      </x:c>
      <x:c r="D153" s="21" t="str">
        <x:v>&lt;CLEAR&gt;
&lt;INSERT_B&gt;は
呪われてしまった!</x:v>
      </x:c>
      <x:c r="E153" s="19" t="str">
        <x:v>&lt;CLEAR&gt;&lt;INSERT_B&gt;
was cursed!&lt;LINE&gt;</x:v>
      </x:c>
      <x:c r="F153" s="20" t="str"/>
      <x:c r="G153" s="20" t="str"/>
      <x:c r="H153" s="23" t="str">
        <x:v>CLEAR INSERT_B NEWLINE LINE END</x:v>
      </x:c>
      <x:c r="I153" s="23" t="str">
        <x:v>EA:1A6F</x:v>
      </x:c>
      <x:c r="J153" s="23" t="str">
        <x:v>D0 CA C8 77 61 73 01 63 75 72 73 65 64 21 C3 C0</x:v>
      </x:c>
      <x:c r="K153" s="23" t="str">
        <x:v>1D0 1CA 029 1C8 12D 03B 039 022 01B 02E 03E 01F 07A 1C3 1C0</x:v>
      </x:c>
    </x:row>
    <x:row r="154">
      <x:c r="A154" s="22" t="str">
        <x:f>"00"</x:f>
        <x:v>00</x:v>
      </x:c>
      <x:c r="B154" s="22" t="str">
        <x:f>"98"</x:f>
        <x:v>98</x:v>
      </x:c>
      <x:c r="C154" s="22" t="str">
        <x:f>"0x0098"</x:f>
        <x:v>0x0098</x:v>
      </x:c>
      <x:c r="D154" s="21" t="str">
        <x:v>&lt;CLEAR&gt;
&lt;INSERT_B&gt;は &lt;INSERT_A&gt;を
装備させてもらおうとした
&lt;WAIT&gt;
&lt;CLEAR&gt;
しかし &lt;INSERT_A&gt;が
呪いで 体から はなれない</x:v>
      </x:c>
      <x:c r="E154" s="19" t="str">
        <x:v>&lt;CLEAR&gt;&lt;INSERT_B&gt; tried
to equip &lt;INSERT_A&gt;.&lt;LINE&gt;&lt;WAIT&gt;&lt;CLEAR&gt;But &lt;INSERT_A&gt; is
cursed and won't come off.&lt;LINE&gt;</x:v>
      </x:c>
      <x:c r="F154" s="20" t="str"/>
      <x:c r="G154" s="20" t="str"/>
      <x:c r="H154" s="23" t="str">
        <x:v>CLEAR INSERT_B NEWLINE INSERT_A LINE WAIT CLEAR INSERT_A NEWLINE LINE END</x:v>
      </x:c>
      <x:c r="I154" s="23" t="str">
        <x:v>EA:1A7F</x:v>
      </x:c>
      <x:c r="J154" s="23" t="str">
        <x:v>D0 CA 01 74 72 69 65 64 C8 74 6F 01 65 71 75 69 70 01 C4 2E C3 C5 D0 42 75 74 01 C4 01 69 73 C8 63 75 72 73 65 64 01 61 6E 64 01 77 6F 6E 27 74 01 63 6F 6D 65 01 6F 66 66 2E C3 C0</x:v>
      </x:c>
      <x:c r="K154" s="23" t="str">
        <x:v>1D0 1CA 029 001 1C4 03C 1C8 0C2 0C4 01A 01D 022 032 036 014 012 023 01B 01F 1C3 1C5 1D0 01B 015 01B 001 1C4 084 015 1C8 12D 011 084 022 001 0F0 015 036 001 029 024 039 024 011 1C3 1C0</x:v>
      </x:c>
    </x:row>
    <x:row r="155">
      <x:c r="A155" s="22" t="str">
        <x:f>"00"</x:f>
        <x:v>00</x:v>
      </x:c>
      <x:c r="B155" s="22" t="str">
        <x:f>"99"</x:f>
        <x:v>99</x:v>
      </x:c>
      <x:c r="C155" s="22" t="str">
        <x:f>"0x0099"</x:f>
        <x:v>0x0099</x:v>
      </x:c>
      <x:c r="D155" s="21" t="str">
        <x:v>&lt;CLEAR&gt;
ハーイ</x:v>
      </x:c>
      <x:c r="E155" s="19" t="str">
        <x:v>&lt;CLEAR&gt;Hi!</x:v>
      </x:c>
      <x:c r="F155" s="20" t="str"/>
      <x:c r="G155" s="20" t="str"/>
      <x:c r="H155" s="23" t="str">
        <x:v>CLEAR END</x:v>
      </x:c>
      <x:c r="I155" s="23" t="str">
        <x:v>EA:1ABB</x:v>
      </x:c>
      <x:c r="J155" s="23" t="str">
        <x:v>D0 48 69 21 C0</x:v>
      </x:c>
      <x:c r="K155" s="23" t="str">
        <x:v>1D0 05B 078 043 1C0</x:v>
      </x:c>
    </x:row>
    <x:row r="156">
      <x:c r="A156" s="22" t="str">
        <x:f>"00"</x:f>
        <x:v>00</x:v>
      </x:c>
      <x:c r="B156" s="22" t="str">
        <x:f>"9A"</x:f>
        <x:v>9A</x:v>
      </x:c>
      <x:c r="C156" s="22" t="str">
        <x:f>"0x009A"</x:f>
        <x:v>0x009A</x:v>
      </x:c>
      <x:c r="D156" s="21" t="str">
        <x:v>&lt;CLEAR&gt;
レディは つぼを のぞきこんだ</x:v>
      </x:c>
      <x:c r="E156" s="19" t="str">
        <x:v>&lt;CLEAR&gt;Lady peered into the pot.</x:v>
      </x:c>
      <x:c r="F156" s="20" t="str"/>
      <x:c r="G156" s="20" t="str"/>
      <x:c r="H156" s="23" t="str">
        <x:v>CLEAR END</x:v>
      </x:c>
      <x:c r="I156" s="23" t="str">
        <x:v>EA:1AC0</x:v>
      </x:c>
      <x:c r="J156" s="23" t="str">
        <x:v>D0 4C 61 64 79 01 70 65 65 72 65 64 01 69 6E 74 6F 01 74 68 65 01 70 6F 74 2E C0</x:v>
      </x:c>
      <x:c r="K156" s="23" t="str">
        <x:v>1D0 06B 084 054 075 029 001 021 084 02D 03C 001 028 084 01E 016 019 03D 084 01F 1C0</x:v>
      </x:c>
    </x:row>
    <x:row r="157">
      <x:c r="A157" s="22" t="str">
        <x:f>"00"</x:f>
        <x:v>00</x:v>
      </x:c>
      <x:c r="B157" s="22" t="str">
        <x:f>"9B"</x:f>
        <x:v>9B</x:v>
      </x:c>
      <x:c r="C157" s="22" t="str">
        <x:f>"0x009B"</x:f>
        <x:v>0x009B</x:v>
      </x:c>
      <x:c r="D157" s="21" t="str">
        <x:v>&lt;CLEAR&gt;
しかし 何も 見つからなかった</x:v>
      </x:c>
      <x:c r="E157" s="19" t="str">
        <x:v>&lt;CLEAR&gt;But she found nothing.</x:v>
      </x:c>
      <x:c r="F157" s="20" t="str"/>
      <x:c r="G157" s="20" t="str"/>
      <x:c r="H157" s="23" t="str">
        <x:v>CLEAR END</x:v>
      </x:c>
      <x:c r="I157" s="23" t="str">
        <x:v>EA:1ADB</x:v>
      </x:c>
      <x:c r="J157" s="23" t="str">
        <x:v>D0 42 75 74 01 73 68 65 01 66 6F 75 6E 64 01 6E 6F 74 68 69 6E 67 2E C0</x:v>
      </x:c>
      <x:c r="K157" s="23" t="str">
        <x:v>1D0 01B 015 01B 001 093 032 001 090 021 015 036 024 015 03E 01F 1C0</x:v>
      </x:c>
    </x:row>
    <x:row r="158">
      <x:c r="A158" s="22" t="str">
        <x:f>"00"</x:f>
        <x:v>00</x:v>
      </x:c>
      <x:c r="B158" s="22" t="str">
        <x:f>"9C"</x:f>
        <x:v>9C</x:v>
      </x:c>
      <x:c r="C158" s="22" t="str">
        <x:f>"0x009C"</x:f>
        <x:v>0x009C</x:v>
      </x:c>
      <x:c r="D158" s="21" t="str">
        <x:v>&lt;CLEAR&gt;
レディは タンスを しらべた</x:v>
      </x:c>
      <x:c r="E158" s="19" t="str">
        <x:v>&lt;CLEAR&gt;Lady searched the dresser.</x:v>
      </x:c>
      <x:c r="F158" s="20" t="str"/>
      <x:c r="G158" s="20" t="str"/>
      <x:c r="H158" s="23" t="str">
        <x:v>CLEAR END</x:v>
      </x:c>
      <x:c r="I158" s="23" t="str">
        <x:v>EA:1AF3</x:v>
      </x:c>
      <x:c r="J158" s="23" t="str">
        <x:v>D0 4C 61 64 79 01 73 65 61 72 63 68 65 64 01 74 68 65 01 64 72 65 73 73 65 72 2E C0</x:v>
      </x:c>
      <x:c r="K158" s="23" t="str">
        <x:v>1D0 06B 084 054 075 029 001 051 06F 04E 03C 001 01B 036 084 02C 01F 1C0</x:v>
      </x:c>
    </x:row>
    <x:row r="159">
      <x:c r="A159" s="22" t="str">
        <x:f>"00"</x:f>
        <x:v>00</x:v>
      </x:c>
      <x:c r="B159" s="22" t="str">
        <x:f>"9D"</x:f>
        <x:v>9D</x:v>
      </x:c>
      <x:c r="C159" s="22" t="str">
        <x:f>"0x009D"</x:f>
        <x:v>0x009D</x:v>
      </x:c>
      <x:c r="D159" s="21" t="str">
        <x:v>&lt;CLEAR&gt;
レディは たるを しらべた</x:v>
      </x:c>
      <x:c r="E159" s="19" t="str">
        <x:v>&lt;CLEAR&gt;Lady searched the barrel.</x:v>
      </x:c>
      <x:c r="F159" s="20" t="str"/>
      <x:c r="G159" s="20" t="str"/>
      <x:c r="H159" s="23" t="str">
        <x:v>CLEAR END</x:v>
      </x:c>
      <x:c r="I159" s="23" t="str">
        <x:v>EA:1B0F</x:v>
      </x:c>
      <x:c r="J159" s="23" t="str">
        <x:v>D0 4C 61 64 79 01 73 65 61 72 63 68 65 64 01 74 68 65 01 62 61 72 72 65 6C 2E C0</x:v>
      </x:c>
      <x:c r="K159" s="23" t="str">
        <x:v>1D0 06B 084 054 075 029 001 01F 038 03C 001 01B 036 084 02C 01F 1C0</x:v>
      </x:c>
    </x:row>
    <x:row r="160">
      <x:c r="A160" s="22" t="str">
        <x:f>"00"</x:f>
        <x:v>00</x:v>
      </x:c>
      <x:c r="B160" s="22" t="str">
        <x:f>"9E"</x:f>
        <x:v>9E</x:v>
      </x:c>
      <x:c r="C160" s="22" t="str">
        <x:f>"0x009E"</x:f>
        <x:v>0x009E</x:v>
      </x:c>
      <x:c r="D160" s="21" t="str">
        <x:v>&lt;CLEAR&gt;
レディは 本だなを しらべた</x:v>
      </x:c>
      <x:c r="E160" s="19" t="str">
        <x:v>&lt;CLEAR&gt;Lady searched the bookshelf.</x:v>
      </x:c>
      <x:c r="F160" s="20" t="str"/>
      <x:c r="G160" s="20" t="str"/>
      <x:c r="H160" s="23" t="str">
        <x:v>CLEAR END</x:v>
      </x:c>
      <x:c r="I160" s="23" t="str">
        <x:v>EA:1B2A</x:v>
      </x:c>
      <x:c r="J160" s="23" t="str">
        <x:v>D0 4C 61 64 79 01 73 65 61 72 63 68 65 64 01 74 68 65 01 62 6F 6F 6B 73 68 65 6C 66 2E C0</x:v>
      </x:c>
      <x:c r="K160" s="23" t="str">
        <x:v>1D0 06B 084 054 075 029 001 13A 084 01F 024 03C 001 01B 036 084 02C 01F 1C0</x:v>
      </x:c>
    </x:row>
    <x:row r="161">
      <x:c r="A161" s="22" t="str">
        <x:f>"00"</x:f>
        <x:v>00</x:v>
      </x:c>
      <x:c r="B161" s="22" t="str">
        <x:f>"9F"</x:f>
        <x:v>9F</x:v>
      </x:c>
      <x:c r="C161" s="22" t="str">
        <x:f>"0x009F"</x:f>
        <x:v>0x009F</x:v>
      </x:c>
      <x:c r="D161" s="21" t="str">
        <x:v>&lt;CLEAR&gt;
本の山だ・・・</x:v>
      </x:c>
      <x:c r="E161" s="19" t="str">
        <x:v>&lt;CLEAR&gt;A mountain of books...</x:v>
      </x:c>
      <x:c r="F161" s="20" t="str"/>
      <x:c r="G161" s="20" t="str"/>
      <x:c r="H161" s="23" t="str">
        <x:v>CLEAR END</x:v>
      </x:c>
      <x:c r="I161" s="23" t="str">
        <x:v>EA:1B48</x:v>
      </x:c>
      <x:c r="J161" s="23" t="str">
        <x:v>D0 41 01 6D 6F 75 6E 74 61 69 6E 01 6F 66 01 62 6F 6F 6B 73 2E 2E 2E C0</x:v>
      </x:c>
      <x:c r="K161" s="23" t="str">
        <x:v>1D0 13A 028 10C 084 01F 081 081 081 1C0</x:v>
      </x:c>
    </x:row>
    <x:row r="162">
      <x:c r="A162" s="22" t="str">
        <x:f>"00"</x:f>
        <x:v>00</x:v>
      </x:c>
      <x:c r="B162" s="22" t="str">
        <x:f>"A0"</x:f>
        <x:v>A0</x:v>
      </x:c>
      <x:c r="C162" s="22" t="str">
        <x:f>"0x00A0"</x:f>
        <x:v>0x00A0</x:v>
      </x:c>
      <x:c r="D162" s="21" t="str">
        <x:v>&lt;CLEAR&gt;
レディは たなを しらべた</x:v>
      </x:c>
      <x:c r="E162" s="19" t="str">
        <x:v>&lt;CLEAR&gt;Lady searched the shelf.</x:v>
      </x:c>
      <x:c r="F162" s="20" t="str"/>
      <x:c r="G162" s="20" t="str"/>
      <x:c r="H162" s="23" t="str">
        <x:v>CLEAR END</x:v>
      </x:c>
      <x:c r="I162" s="23" t="str">
        <x:v>EA:1B60</x:v>
      </x:c>
      <x:c r="J162" s="23" t="str">
        <x:v>D0 4C 61 64 79 01 73 65 61 72 63 68 65 64 01 74 68 65 01 73 68 65 6C 66 2E C0</x:v>
      </x:c>
      <x:c r="K162" s="23" t="str">
        <x:v>1D0 06B 084 054 075 029 001 01F 024 03C 001 01B 036 084 02C 01F 1C0</x:v>
      </x:c>
    </x:row>
    <x:row r="163">
      <x:c r="A163" s="22" t="str">
        <x:f>"00"</x:f>
        <x:v>00</x:v>
      </x:c>
      <x:c r="B163" s="22" t="str">
        <x:f>"A1"</x:f>
        <x:v>A1</x:v>
      </x:c>
      <x:c r="C163" s="22" t="str">
        <x:f>"0x00A1"</x:f>
        <x:v>0x00A1</x:v>
      </x:c>
      <x:c r="D163" s="21" t="str">
        <x:v>&lt;CLEAR&gt;
レディは はこを しらべた</x:v>
      </x:c>
      <x:c r="E163" s="19" t="str">
        <x:v>&lt;CLEAR&gt;Lady searched the box.</x:v>
      </x:c>
      <x:c r="F163" s="20" t="str"/>
      <x:c r="G163" s="20" t="str"/>
      <x:c r="H163" s="23" t="str">
        <x:v>CLEAR END</x:v>
      </x:c>
      <x:c r="I163" s="23" t="str">
        <x:v>EA:1B7A</x:v>
      </x:c>
      <x:c r="J163" s="23" t="str">
        <x:v>D0 4C 61 64 79 01 73 65 61 72 63 68 65 64 01 74 68 65 01 62 6F 78 2E C0</x:v>
      </x:c>
      <x:c r="K163" s="23" t="str">
        <x:v>1D0 06B 084 054 075 029 001 029 019 03C 001 01B 036 084 02C 01F 1C0</x:v>
      </x:c>
    </x:row>
    <x:row r="164">
      <x:c r="A164" s="22" t="str">
        <x:f>"00"</x:f>
        <x:v>00</x:v>
      </x:c>
      <x:c r="B164" s="22" t="str">
        <x:f>"A2"</x:f>
        <x:v>A2</x:v>
      </x:c>
      <x:c r="C164" s="22" t="str">
        <x:f>"0x00A2"</x:f>
        <x:v>0x00A2</x:v>
      </x:c>
      <x:c r="D164" s="21" t="str">
        <x:v>&lt;CLEAR&gt;
何も こたえない
かんぜんに 死んでいるようだ</x:v>
      </x:c>
      <x:c r="E164" s="19" t="str">
        <x:v>&lt;CLEAR&gt;No response. It seems
completely dead.</x:v>
      </x:c>
      <x:c r="F164" s="20" t="str"/>
      <x:c r="G164" s="20" t="str"/>
      <x:c r="H164" s="23" t="str">
        <x:v>CLEAR NEWLINE END</x:v>
      </x:c>
      <x:c r="I164" s="23" t="str">
        <x:v>EA:1B92</x:v>
      </x:c>
      <x:c r="J164" s="23" t="str">
        <x:v>D0 4E 6F 01 72 65 73 70 6F 6E 73 65 2E 01 49 74 01 73 65 65 6D 73 C8 63 6F 6D 70 6C 65 74 65 6C 79 01 64 65 61 64 2E C0</x:v>
      </x:c>
      <x:c r="K164" s="23" t="str">
        <x:v>1D0 093 032 001 019 01F 013 024 011 1C8 015 03D 084 01D 03D 025 001 0D6 03D 084 022 011 038 035 012 084 01F 1C0</x:v>
      </x:c>
    </x:row>
    <x:row r="165">
      <x:c r="A165" s="22" t="str">
        <x:f>"00"</x:f>
        <x:v>00</x:v>
      </x:c>
      <x:c r="B165" s="22" t="str">
        <x:f>"A3"</x:f>
        <x:v>A3</x:v>
      </x:c>
      <x:c r="C165" s="22" t="str">
        <x:f>"0x00A3"</x:f>
        <x:v>0x00A3</x:v>
      </x:c>
      <x:c r="D165" s="21" t="str">
        <x:v>&lt;CLEAR&gt;
鉱山を掘る 道具がある</x:v>
      </x:c>
      <x:c r="E165" s="19" t="str">
        <x:v>&lt;CLEAR&gt;There are tools for
digging in the mine.</x:v>
      </x:c>
      <x:c r="F165" s="20" t="str"/>
      <x:c r="G165" s="20" t="str"/>
      <x:c r="H165" s="23" t="str">
        <x:v>CLEAR NEWLINE END</x:v>
      </x:c>
      <x:c r="I165" s="23" t="str">
        <x:v>EA:1BBA</x:v>
      </x:c>
      <x:c r="J165" s="23" t="str">
        <x:v>D0 54 68 65 72 65 01 61 72 65 01 74 6F 6F 6C 73 01 66 6F 72 C8 64 69 67 67 69 6E 67 01 69 6E 01 74 68 65 01 6D 69 6E 65 2E C0</x:v>
      </x:c>
      <x:c r="K165" s="23" t="str">
        <x:v>1D0 10B 10C 03C 11C 038 001 0C7 124 084 015 010 038 1C0</x:v>
      </x:c>
    </x:row>
    <x:row r="166">
      <x:c r="A166" s="22" t="str">
        <x:f>"00"</x:f>
        <x:v>00</x:v>
      </x:c>
      <x:c r="B166" s="22" t="str">
        <x:f>"A4"</x:f>
        <x:v>A4</x:v>
      </x:c>
      <x:c r="C166" s="22" t="str">
        <x:f>"0x00A4"</x:f>
        <x:v>0x00A4</x:v>
      </x:c>
      <x:c r="D166" s="21" t="str">
        <x:v>&lt;CLEAR&gt;
よごれた ほこりの かたまりのようだ</x:v>
      </x:c>
      <x:c r="E166" s="19" t="str">
        <x:v>&lt;CLEAR&gt;It looks like a
filthy lump of dust.</x:v>
      </x:c>
      <x:c r="F166" s="20" t="str"/>
      <x:c r="G166" s="20" t="str"/>
      <x:c r="H166" s="23" t="str">
        <x:v>CLEAR NEWLINE END</x:v>
      </x:c>
      <x:c r="I166" s="23" t="str">
        <x:v>EA:1BE4</x:v>
      </x:c>
      <x:c r="J166" s="23" t="str">
        <x:v>D0 49 74 01 6C 6F 6F 6B 73 01 6C 69 6B 65 01 61 C8 66 69 6C 74 68 79 01 6C 75 6D 70 01 6F 66 01 64 75 73 74 2E C0</x:v>
      </x:c>
      <x:c r="K166" s="23" t="str">
        <x:v>1D0 035 084 019 039 01F 001 02D 019 037 028 001 015 01F 02E 037 028 035 012 084 01F 1C0</x:v>
      </x:c>
    </x:row>
    <x:row r="167">
      <x:c r="A167" s="22" t="str">
        <x:f>"00"</x:f>
        <x:v>00</x:v>
      </x:c>
      <x:c r="B167" s="22" t="str">
        <x:f>"A5"</x:f>
        <x:v>A5</x:v>
      </x:c>
      <x:c r="C167" s="22" t="str">
        <x:f>"0x00A5"</x:f>
        <x:v>0x00A5</x:v>
      </x:c>
      <x:c r="D167" s="21" t="str">
        <x:v>&lt;CLEAR&gt;
くさいにおいのする
ものすごく 古い チーズがある</x:v>
      </x:c>
      <x:c r="E167" s="19" t="str">
        <x:v>&lt;CLEAR&gt;There is some incredibly
old cheese that reeks.</x:v>
      </x:c>
      <x:c r="F167" s="20" t="str"/>
      <x:c r="G167" s="20" t="str"/>
      <x:c r="H167" s="23" t="str">
        <x:v>CLEAR NEWLINE END</x:v>
      </x:c>
      <x:c r="I167" s="23" t="str">
        <x:v>EA:1C0A</x:v>
      </x:c>
      <x:c r="J167" s="23" t="str">
        <x:v>D0 54 68 65 72 65 01 69 73 01 73 6F 6D 65 01 69 6E 63 72 65 64 69 62 6C 79 C8 6F 6C 64 01 63 68 65 65 73 65 01 74 68 61 74 01 72 65 65 6B 73 2E C0</x:v>
      </x:c>
      <x:c r="K167" s="23" t="str">
        <x:v>1D0 017 01A 011 025 014 011 028 01C 038 1C8 032 028 01C 084 019 017 001 096 011 001 052 078 084 04E 084 015 010 038 1C0</x:v>
      </x:c>
    </x:row>
    <x:row r="168">
      <x:c r="A168" s="22" t="str">
        <x:f>"00"</x:f>
        <x:v>00</x:v>
      </x:c>
      <x:c r="B168" s="22" t="str">
        <x:f>"A6"</x:f>
        <x:v>A6</x:v>
      </x:c>
      <x:c r="C168" s="22" t="str">
        <x:f>"0x00A6"</x:f>
        <x:v>0x00A6</x:v>
      </x:c>
      <x:c r="D168" s="21" t="str">
        <x:v>&lt;CLEAR&gt;
ひからびて カリカリに なっている&lt;WAIT&gt;
&lt;CLEAR&gt;
力を くわえると
こなごなに なりそうだ</x:v>
      </x:c>
      <x:c r="E168" s="19" t="str">
        <x:v>&lt;CLEAR&gt;It is dried out and rock-hard.&lt;WAIT&gt;&lt;CLEAR&gt;If you put any force on it,
it looks ready to crumble.&lt;LINE&gt;</x:v>
      </x:c>
      <x:c r="F168" s="20" t="str"/>
      <x:c r="G168" s="20" t="str"/>
      <x:c r="H168" s="23" t="str">
        <x:v>CLEAR WAIT CLEAR NEWLINE LINE END</x:v>
      </x:c>
      <x:c r="I168" s="23" t="str">
        <x:v>EA:1C3B</x:v>
      </x:c>
      <x:c r="J168" s="23" t="str">
        <x:v>D0 49 74 01 69 73 01 64 72 69 65 64 01 6F 75 74 01 61 6E 64 01 72 6F 63 6B 2D 68 61 72 64 2E C5 D0 49 66 01 79 6F 75 01 70 75 74 01 61 6E 79 01 66 6F 72 63 65 01 6F 6E 01 69 74 2C C8 69 74 01 6C 6F 6F 6B 73 01 72 65 61 64 79 01 74 6F 01 63 72 75 6D 62 6C 65 2E C3 C0</x:v>
      </x:c>
      <x:c r="K168" s="23" t="str">
        <x:v>1D0 02A 015 036 084 02A 022 001 047 069 047 069 025 001 024 03E 022 011 038 1C5 1D0 107 03C 001 017 03B 013 038 023 1C8 019 024 084 019 024 025 001 024 037 01E 012 084 01F 1C3 1C0</x:v>
      </x:c>
    </x:row>
    <x:row r="169">
      <x:c r="A169" s="22" t="str">
        <x:f>"00"</x:f>
        <x:v>00</x:v>
      </x:c>
      <x:c r="B169" s="22" t="str">
        <x:f>"A7"</x:f>
        <x:v>A7</x:v>
      </x:c>
      <x:c r="C169" s="22" t="str">
        <x:f>"0x00A7"</x:f>
        <x:v>0x00A7</x:v>
      </x:c>
      <x:c r="D169" s="21" t="str">
        <x:v>&lt;CLEAR&gt;
ひかるビーダマを みつけた!</x:v>
      </x:c>
      <x:c r="E169" s="19" t="str">
        <x:v>&lt;CLEAR&gt;Found a Shining Marble!</x:v>
      </x:c>
      <x:c r="F169" s="20" t="str"/>
      <x:c r="G169" s="20" t="str"/>
      <x:c r="H169" s="23" t="str">
        <x:v>CLEAR END</x:v>
      </x:c>
      <x:c r="I169" s="23" t="str">
        <x:v>EA:1C94</x:v>
      </x:c>
      <x:c r="J169" s="23" t="str">
        <x:v>D0 46 6F 75 6E 64 01 61 01 53 68 69 6E 69 6E 67 01 4D 61 72 62 6C 65 21 C0</x:v>
      </x:c>
      <x:c r="K169" s="23" t="str">
        <x:v>1D0 02A 015 038 084 05C 078 084 051 060 03C 001 02F 021 018 01F 07A 1C0</x:v>
      </x:c>
    </x:row>
    <x:row r="170">
      <x:c r="A170" s="22" t="str">
        <x:f>"00"</x:f>
        <x:v>00</x:v>
      </x:c>
      <x:c r="B170" s="22" t="str">
        <x:f>"A8"</x:f>
        <x:v>A8</x:v>
      </x:c>
      <x:c r="C170" s="22" t="str">
        <x:f>"0x00A8"</x:f>
        <x:v>0x00A8</x:v>
      </x:c>
      <x:c r="D170" s="21" t="str">
        <x:v>&lt;CLEAR&gt;
ひかるビーダマを
コレクタに おくりますか?</x:v>
      </x:c>
      <x:c r="E170" s="19" t="str">
        <x:v>&lt;CLEAR&gt;Send the Shining Marble
to the Collector?</x:v>
      </x:c>
      <x:c r="F170" s="20" t="str"/>
      <x:c r="G170" s="20" t="str"/>
      <x:c r="H170" s="23" t="str">
        <x:v>CLEAR NEWLINE END</x:v>
      </x:c>
      <x:c r="I170" s="23" t="str">
        <x:v>EA:1CAD</x:v>
      </x:c>
      <x:c r="J170" s="23" t="str">
        <x:v>D0 53 65 6E 64 01 74 68 65 01 53 68 69 6E 69 6E 67 01 4D 61 72 62 6C 65 C8 74 6F 01 74 68 65 01 43 6F 6C 6C 65 63 74 6F 72 3F C0</x:v>
      </x:c>
      <x:c r="K170" s="23" t="str">
        <x:v>1D0 02A 015 038 084 05C 078 084 051 060 03C 1C8 04B 06B 049 051 025 001 014 017 037 02E 01C 015 079 1C0</x:v>
      </x:c>
    </x:row>
    <x:row r="171">
      <x:c r="A171" s="22" t="str">
        <x:f>"00"</x:f>
        <x:v>00</x:v>
      </x:c>
      <x:c r="B171" s="22" t="str">
        <x:f>"A9"</x:f>
        <x:v>A9</x:v>
      </x:c>
      <x:c r="C171" s="22" t="str">
        <x:f>"0x00A9"</x:f>
        <x:v>0x00A9</x:v>
      </x:c>
      <x:c r="D171" s="21" t="str">
        <x:v>&lt;CLEAR&gt;
ひかるビーダマを
コレクタに おくった</x:v>
      </x:c>
      <x:c r="E171" s="19" t="str">
        <x:v>&lt;CLEAR&gt;Sent the Shining
Marble to the Collector.</x:v>
      </x:c>
      <x:c r="F171" s="20" t="str"/>
      <x:c r="G171" s="20" t="str"/>
      <x:c r="H171" s="23" t="str">
        <x:v>CLEAR NEWLINE END</x:v>
      </x:c>
      <x:c r="I171" s="23" t="str">
        <x:v>EA:1CD8</x:v>
      </x:c>
      <x:c r="J171" s="23" t="str">
        <x:v>D0 53 65 6E 74 01 74 68 65 01 53 68 69 6E 69 6E 67 C8 4D 61 72 62 6C 65 01 74 6F 01 74 68 65 01 43 6F 6C 6C 65 63 74 6F 72 2E C0</x:v>
      </x:c>
      <x:c r="K171" s="23" t="str">
        <x:v>1D0 02A 015 038 084 05C 078 084 051 060 03C 1C8 04B 06B 049 051 025 001 014 017 03E 01F 1C0</x:v>
      </x:c>
    </x:row>
    <x:row r="172">
      <x:c r="A172" s="22" t="str">
        <x:f>"00"</x:f>
        <x:v>00</x:v>
      </x:c>
      <x:c r="B172" s="22" t="str">
        <x:f>"AA"</x:f>
        <x:v>AA</x:v>
      </x:c>
      <x:c r="C172" s="22" t="str">
        <x:f>"0x00AA"</x:f>
        <x:v>0x00AA</x:v>
      </x:c>
      <x:c r="D172" s="21" t="str">
        <x:v>&lt;CLEAR&gt;
カジノのコインを
カジノに おくった</x:v>
      </x:c>
      <x:c r="E172" s="19" t="str">
        <x:v>&lt;CLEAR&gt;Sent the Casino
Coins to the casino.</x:v>
      </x:c>
      <x:c r="F172" s="20" t="str"/>
      <x:c r="G172" s="20" t="str"/>
      <x:c r="H172" s="23" t="str">
        <x:v>CLEAR NEWLINE END</x:v>
      </x:c>
      <x:c r="I172" s="23" t="str">
        <x:v>EA:1D03</x:v>
      </x:c>
      <x:c r="J172" s="23" t="str">
        <x:v>D0 53 65 6E 74 01 74 68 65 01 43 61 73 69 6E 6F C8 43 6F 69 6E 73 01 74 6F 01 74 68 65 01 63 61 73 69 6E 6F 2E C0</x:v>
      </x:c>
      <x:c r="K172" s="23" t="str">
        <x:v>1D0 047 084 04D 05A 028 04B 043 06F 03C 1C8 047 084 04D 05A 025 001 014 017 03E 01F 1C0</x:v>
      </x:c>
    </x:row>
    <x:row r="173">
      <x:c r="A173" s="22" t="str">
        <x:f>"00"</x:f>
        <x:v>00</x:v>
      </x:c>
      <x:c r="B173" s="22" t="str">
        <x:f>"AB"</x:f>
        <x:v>AB</x:v>
      </x:c>
      <x:c r="C173" s="22" t="str">
        <x:f>"0x00AB"</x:f>
        <x:v>0x00AB</x:v>
      </x:c>
      <x:c r="D173" s="21" t="str">
        <x:v>&lt;CLEAR&gt;
これは &lt;INSERT_A&gt;</x:v>
      </x:c>
      <x:c r="E173" s="19" t="str">
        <x:v>&lt;CLEAR&gt;This is &lt;INSERT_A&gt;.</x:v>
      </x:c>
      <x:c r="F173" s="20" t="str"/>
      <x:c r="G173" s="20" t="str"/>
      <x:c r="H173" s="23" t="str">
        <x:v>CLEAR INSERT_A END</x:v>
      </x:c>
      <x:c r="I173" s="23" t="str">
        <x:v>EA:1D29</x:v>
      </x:c>
      <x:c r="J173" s="23" t="str">
        <x:v>D0 54 68 69 73 01 69 73 01 C4 2E C0</x:v>
      </x:c>
      <x:c r="K173" s="23" t="str">
        <x:v>1D0 019 039 029 001 1C4 1C0</x:v>
      </x:c>
    </x:row>
    <x:row r="174">
      <x:c r="A174" s="22" t="str">
        <x:f>"00"</x:f>
        <x:v>00</x:v>
      </x:c>
      <x:c r="B174" s="22" t="str">
        <x:f>"AC"</x:f>
        <x:v>AC</x:v>
      </x:c>
      <x:c r="C174" s="22" t="str">
        <x:f>"0x00AC"</x:f>
        <x:v>0x00AC</x:v>
      </x:c>
      <x:c r="D174" s="21" t="str">
        <x:v>&lt;CLEAR&gt;
レディ が
装備できる 武器です</x:v>
      </x:c>
      <x:c r="E174" s="19" t="str">
        <x:v>&lt;CLEAR&gt;A weapon that Lady can equip.</x:v>
      </x:c>
      <x:c r="F174" s="20" t="str"/>
      <x:c r="G174" s="20" t="str"/>
      <x:c r="H174" s="23" t="str">
        <x:v>CLEAR END</x:v>
      </x:c>
      <x:c r="I174" s="23" t="str">
        <x:v>EA:1D35</x:v>
      </x:c>
      <x:c r="J174" s="23" t="str">
        <x:v>D0 41 01 77 65 61 70 6F 6E 01 74 68 61 74 01 4C 61 64 79 01 63 61 6E 01 65 71 75 69 70 2E C0</x:v>
      </x:c>
      <x:c r="K174" s="23" t="str">
        <x:v>1D0 06B 084 054 075 001 084 015 1C8 0C2 0C4 084 022 016 038 001 0CB 12A 084 022 01C 1C0</x:v>
      </x:c>
    </x:row>
    <x:row r="175">
      <x:c r="A175" s="22" t="str">
        <x:f>"00"</x:f>
        <x:v>00</x:v>
      </x:c>
      <x:c r="B175" s="22" t="str">
        <x:f>"AD"</x:f>
        <x:v>AD</x:v>
      </x:c>
      <x:c r="C175" s="22" t="str">
        <x:f>"0x00AD"</x:f>
        <x:v>0x00AD</x:v>
      </x:c>
      <x:c r="D175" s="21" t="str">
        <x:v>&lt;CLEAR&gt;
コックス が
装備できる 武器です</x:v>
      </x:c>
      <x:c r="E175" s="19" t="str">
        <x:v>&lt;CLEAR&gt;A weapon that Cox can equip.</x:v>
      </x:c>
      <x:c r="F175" s="20" t="str"/>
      <x:c r="G175" s="20" t="str"/>
      <x:c r="H175" s="23" t="str">
        <x:v>CLEAR END</x:v>
      </x:c>
      <x:c r="I175" s="23" t="str">
        <x:v>EA:1D54</x:v>
      </x:c>
      <x:c r="J175" s="23" t="str">
        <x:v>D0 41 01 77 65 61 70 6F 6E 01 74 68 61 74 01 43 6F 78 01 63 61 6E 01 65 71 75 69 70 2E C0</x:v>
      </x:c>
      <x:c r="K175" s="23" t="str">
        <x:v>1D0 04B 070 049 04E 001 084 015 1C8 0C2 0C4 084 022 016 038 001 0CB 12A 084 022 01C 1C0</x:v>
      </x:c>
    </x:row>
    <x:row r="176">
      <x:c r="A176" s="22" t="str">
        <x:f>"00"</x:f>
        <x:v>00</x:v>
      </x:c>
      <x:c r="B176" s="22" t="str">
        <x:f>"AE"</x:f>
        <x:v>AE</x:v>
      </x:c>
      <x:c r="C176" s="22" t="str">
        <x:f>"0x00AE"</x:f>
        <x:v>0x00AE</x:v>
      </x:c>
      <x:c r="D176" s="21" t="str">
        <x:v>&lt;CLEAR&gt;
レディ コックス が
装備できる 武器です</x:v>
      </x:c>
      <x:c r="E176" s="19" t="str">
        <x:v>&lt;CLEAR&gt;A weapon that Lady
or Cox can equip.</x:v>
      </x:c>
      <x:c r="F176" s="20" t="str"/>
      <x:c r="G176" s="20" t="str"/>
      <x:c r="H176" s="23" t="str">
        <x:v>CLEAR NEWLINE END</x:v>
      </x:c>
      <x:c r="I176" s="23" t="str">
        <x:v>EA:1D72</x:v>
      </x:c>
      <x:c r="J176" s="23" t="str">
        <x:v>D0 41 01 77 65 61 70 6F 6E 01 74 68 61 74 01 4C 61 64 79 C8 6F 72 01 43 6F 78 01 63 61 6E 01 65 71 75 69 70 2E C0</x:v>
      </x:c>
      <x:c r="K176" s="23" t="str">
        <x:v>1D0 06B 084 054 075 001 04B 070 049 04E 001 084 015 1C8 0C2 0C4 084 022 016 038 001 0CB 12A 084 022 01C 1C0</x:v>
      </x:c>
    </x:row>
    <x:row r="177">
      <x:c r="A177" s="22" t="str">
        <x:f>"00"</x:f>
        <x:v>00</x:v>
      </x:c>
      <x:c r="B177" s="22" t="str">
        <x:f>"AF"</x:f>
        <x:v>AF</x:v>
      </x:c>
      <x:c r="C177" s="22" t="str">
        <x:f>"0x00AF"</x:f>
        <x:v>0x00AF</x:v>
      </x:c>
      <x:c r="D177" s="21" t="str">
        <x:v>&lt;CLEAR&gt;
ヨシオ が
装備できる 武器です</x:v>
      </x:c>
      <x:c r="E177" s="19" t="str">
        <x:v>&lt;CLEAR&gt;A weapon that Yoshio can equip.</x:v>
      </x:c>
      <x:c r="F177" s="20" t="str"/>
      <x:c r="G177" s="20" t="str"/>
      <x:c r="H177" s="23" t="str">
        <x:v>CLEAR END</x:v>
      </x:c>
      <x:c r="I177" s="23" t="str">
        <x:v>EA:1D98</x:v>
      </x:c>
      <x:c r="J177" s="23" t="str">
        <x:v>D0 41 01 77 65 61 70 6F 6E 01 74 68 61 74 01 59 6F 73 68 69 6F 01 63 61 6E 01 65 71 75 69 70 2E C0</x:v>
      </x:c>
      <x:c r="K177" s="23" t="str">
        <x:v>1D0 067 04D 046 001 084 015 1C8 0C2 0C4 084 022 016 038 001 0CB 12A 084 022 01C 1C0</x:v>
      </x:c>
    </x:row>
    <x:row r="178">
      <x:c r="A178" s="22" t="str">
        <x:f>"00"</x:f>
        <x:v>00</x:v>
      </x:c>
      <x:c r="B178" s="22" t="str">
        <x:f>"B0"</x:f>
        <x:v>B0</x:v>
      </x:c>
      <x:c r="C178" s="22" t="str">
        <x:f>"0x00B0"</x:f>
        <x:v>0x00B0</x:v>
      </x:c>
      <x:c r="D178" s="21" t="str">
        <x:v>&lt;CLEAR&gt;
レディ ヨシオ が
装備できる 武器です</x:v>
      </x:c>
      <x:c r="E178" s="19" t="str">
        <x:v>&lt;CLEAR&gt;A weapon that Lady
or Yoshio can equip.</x:v>
      </x:c>
      <x:c r="F178" s="20" t="str"/>
      <x:c r="G178" s="20" t="str"/>
      <x:c r="H178" s="23" t="str">
        <x:v>CLEAR NEWLINE END</x:v>
      </x:c>
      <x:c r="I178" s="23" t="str">
        <x:v>EA:1DB9</x:v>
      </x:c>
      <x:c r="J178" s="23" t="str">
        <x:v>D0 41 01 77 65 61 70 6F 6E 01 74 68 61 74 01 4C 61 64 79 C8 6F 72 01 59 6F 73 68 69 6F 01 63 61 6E 01 65 71 75 69 70 2E C0</x:v>
      </x:c>
      <x:c r="K178" s="23" t="str">
        <x:v>1D0 06B 084 054 075 001 067 04D 046 001 084 015 1C8 0C2 0C4 084 022 016 038 001 0CB 12A 084 022 01C 1C0</x:v>
      </x:c>
    </x:row>
    <x:row r="179">
      <x:c r="A179" s="22" t="str">
        <x:f>"00"</x:f>
        <x:v>00</x:v>
      </x:c>
      <x:c r="B179" s="22" t="str">
        <x:f>"B1"</x:f>
        <x:v>B1</x:v>
      </x:c>
      <x:c r="C179" s="22" t="str">
        <x:f>"0x00B1"</x:f>
        <x:v>0x00B1</x:v>
      </x:c>
      <x:c r="D179" s="21" t="str">
        <x:v>&lt;CLEAR&gt;
コックス ヨシオ が
装備できる 武器です</x:v>
      </x:c>
      <x:c r="E179" s="19" t="str">
        <x:v>&lt;CLEAR&gt;A weapon that Cox
or Yoshio can equip.</x:v>
      </x:c>
      <x:c r="F179" s="20" t="str"/>
      <x:c r="G179" s="20" t="str"/>
      <x:c r="H179" s="23" t="str">
        <x:v>CLEAR NEWLINE END</x:v>
      </x:c>
      <x:c r="I179" s="23" t="str">
        <x:v>EA:1DE2</x:v>
      </x:c>
      <x:c r="J179" s="23" t="str">
        <x:v>D0 41 01 77 65 61 70 6F 6E 01 74 68 61 74 01 43 6F 78 C8 6F 72 01 59 6F 73 68 69 6F 01 63 61 6E 01 65 71 75 69 70 2E C0</x:v>
      </x:c>
      <x:c r="K179" s="23" t="str">
        <x:v>1D0 04B 070 049 04E 001 067 04D 046 001 084 015 1C8 0C2 0C4 084 022 016 038 001 0CB 12A 084 022 01C 1C0</x:v>
      </x:c>
    </x:row>
    <x:row r="180">
      <x:c r="A180" s="22" t="str">
        <x:f>"00"</x:f>
        <x:v>00</x:v>
      </x:c>
      <x:c r="B180" s="22" t="str">
        <x:f>"B2"</x:f>
        <x:v>B2</x:v>
      </x:c>
      <x:c r="C180" s="22" t="str">
        <x:f>"0x00B2"</x:f>
        <x:v>0x00B2</x:v>
      </x:c>
      <x:c r="D180" s="21" t="str">
        <x:v>&lt;CLEAR&gt;
レディ コックス ヨシオ が
装備できる 武器です</x:v>
      </x:c>
      <x:c r="E180" s="19" t="str">
        <x:v>&lt;CLEAR&gt;A weapon anyone in
the party can equip.</x:v>
      </x:c>
      <x:c r="F180" s="20" t="str"/>
      <x:c r="G180" s="20" t="str"/>
      <x:c r="H180" s="23" t="str">
        <x:v>CLEAR NEWLINE END</x:v>
      </x:c>
      <x:c r="I180" s="23" t="str">
        <x:v>EA:1E0A</x:v>
      </x:c>
      <x:c r="J180" s="23" t="str">
        <x:v>D0 41 01 77 65 61 70 6F 6E 01 61 6E 79 6F 6E 65 01 69 6E C8 74 68 65 01 70 61 72 74 79 01 63 61 6E 01 65 71 75 69 70 2E C0</x:v>
      </x:c>
      <x:c r="K180" s="23" t="str">
        <x:v>1D0 06B 084 054 075 001 04B 070 049 04E 001 067 04D 046 001 084 015 1C8 0C2 0C4 084 022 016 038 001 0CB 12A 084 022 01C 1C0</x:v>
      </x:c>
    </x:row>
    <x:row r="181">
      <x:c r="A181" s="22" t="str">
        <x:f>"00"</x:f>
        <x:v>00</x:v>
      </x:c>
      <x:c r="B181" s="22" t="str">
        <x:f>"B3"</x:f>
        <x:v>B3</x:v>
      </x:c>
      <x:c r="C181" s="22" t="str">
        <x:f>"0x00B3"</x:f>
        <x:v>0x00B3</x:v>
      </x:c>
      <x:c r="D181" s="21" t="str">
        <x:v>&lt;CLEAR&gt;
レディ が
装備できる 防具です</x:v>
      </x:c>
      <x:c r="E181" s="19" t="str">
        <x:v>&lt;CLEAR&gt;Armor that Lady can equip.</x:v>
      </x:c>
      <x:c r="F181" s="20" t="str"/>
      <x:c r="G181" s="20" t="str"/>
      <x:c r="H181" s="23" t="str">
        <x:v>CLEAR END</x:v>
      </x:c>
      <x:c r="I181" s="23" t="str">
        <x:v>EA:1E33</x:v>
      </x:c>
      <x:c r="J181" s="23" t="str">
        <x:v>D0 41 72 6D 6F 72 01 74 68 61 74 01 4C 61 64 79 01 63 61 6E 01 65 71 75 69 70 2E C0</x:v>
      </x:c>
      <x:c r="K181" s="23" t="str">
        <x:v>1D0 06B 084 054 075 001 084 015 1C8 0C2 0C4 084 022 016 038 001 151 124 084 022 01C 1C0</x:v>
      </x:c>
    </x:row>
    <x:row r="182">
      <x:c r="A182" s="22" t="str">
        <x:f>"00"</x:f>
        <x:v>00</x:v>
      </x:c>
      <x:c r="B182" s="22" t="str">
        <x:f>"B4"</x:f>
        <x:v>B4</x:v>
      </x:c>
      <x:c r="C182" s="22" t="str">
        <x:f>"0x00B4"</x:f>
        <x:v>0x00B4</x:v>
      </x:c>
      <x:c r="D182" s="21" t="str">
        <x:v>&lt;CLEAR&gt;
コックス が
装備できる 防具です</x:v>
      </x:c>
      <x:c r="E182" s="19" t="str">
        <x:v>&lt;CLEAR&gt;Armor that Cox can equip.</x:v>
      </x:c>
      <x:c r="F182" s="20" t="str"/>
      <x:c r="G182" s="20" t="str"/>
      <x:c r="H182" s="23" t="str">
        <x:v>CLEAR END</x:v>
      </x:c>
      <x:c r="I182" s="23" t="str">
        <x:v>EA:1E4F</x:v>
      </x:c>
      <x:c r="J182" s="23" t="str">
        <x:v>D0 41 72 6D 6F 72 01 74 68 61 74 01 43 6F 78 01 63 61 6E 01 65 71 75 69 70 2E C0</x:v>
      </x:c>
      <x:c r="K182" s="23" t="str">
        <x:v>1D0 04B 070 049 04E 001 084 015 1C8 0C2 0C4 084 022 016 038 001 151 124 084 022 01C 1C0</x:v>
      </x:c>
    </x:row>
    <x:row r="183">
      <x:c r="A183" s="22" t="str">
        <x:f>"00"</x:f>
        <x:v>00</x:v>
      </x:c>
      <x:c r="B183" s="22" t="str">
        <x:f>"B5"</x:f>
        <x:v>B5</x:v>
      </x:c>
      <x:c r="C183" s="22" t="str">
        <x:f>"0x00B5"</x:f>
        <x:v>0x00B5</x:v>
      </x:c>
      <x:c r="D183" s="21" t="str">
        <x:v>&lt;CLEAR&gt;
レディ コックス が
装備できる 防具です</x:v>
      </x:c>
      <x:c r="E183" s="19" t="str">
        <x:v>&lt;CLEAR&gt;Armor that Lady
or Cox can equip.</x:v>
      </x:c>
      <x:c r="F183" s="20" t="str"/>
      <x:c r="G183" s="20" t="str"/>
      <x:c r="H183" s="23" t="str">
        <x:v>CLEAR NEWLINE END</x:v>
      </x:c>
      <x:c r="I183" s="23" t="str">
        <x:v>EA:1E6A</x:v>
      </x:c>
      <x:c r="J183" s="23" t="str">
        <x:v>D0 41 72 6D 6F 72 01 74 68 61 74 01 4C 61 64 79 C8 6F 72 01 43 6F 78 01 63 61 6E 01 65 71 75 69 70 2E C0</x:v>
      </x:c>
      <x:c r="K183" s="23" t="str">
        <x:v>1D0 06B 084 054 075 001 04B 070 049 04E 001 084 015 1C8 0C2 0C4 084 022 016 038 001 151 124 084 022 01C 1C0</x:v>
      </x:c>
    </x:row>
    <x:row r="184">
      <x:c r="A184" s="22" t="str">
        <x:f>"00"</x:f>
        <x:v>00</x:v>
      </x:c>
      <x:c r="B184" s="22" t="str">
        <x:f>"B6"</x:f>
        <x:v>B6</x:v>
      </x:c>
      <x:c r="C184" s="22" t="str">
        <x:f>"0x00B6"</x:f>
        <x:v>0x00B6</x:v>
      </x:c>
      <x:c r="D184" s="21" t="str">
        <x:v>&lt;CLEAR&gt;
ヨシオ が
装備できる 防具です</x:v>
      </x:c>
      <x:c r="E184" s="19" t="str">
        <x:v>&lt;CLEAR&gt;Armor that Yoshio can equip.</x:v>
      </x:c>
      <x:c r="F184" s="20" t="str"/>
      <x:c r="G184" s="20" t="str"/>
      <x:c r="H184" s="23" t="str">
        <x:v>CLEAR END</x:v>
      </x:c>
      <x:c r="I184" s="23" t="str">
        <x:v>EA:1E8D</x:v>
      </x:c>
      <x:c r="J184" s="23" t="str">
        <x:v>D0 41 72 6D 6F 72 01 74 68 61 74 01 59 6F 73 68 69 6F 01 63 61 6E 01 65 71 75 69 70 2E C0</x:v>
      </x:c>
      <x:c r="K184" s="23" t="str">
        <x:v>1D0 067 04D 046 001 084 015 1C8 0C2 0C4 084 022 016 038 001 151 124 084 022 01C 1C0</x:v>
      </x:c>
    </x:row>
    <x:row r="185">
      <x:c r="A185" s="22" t="str">
        <x:f>"00"</x:f>
        <x:v>00</x:v>
      </x:c>
      <x:c r="B185" s="22" t="str">
        <x:f>"B7"</x:f>
        <x:v>B7</x:v>
      </x:c>
      <x:c r="C185" s="22" t="str">
        <x:f>"0x00B7"</x:f>
        <x:v>0x00B7</x:v>
      </x:c>
      <x:c r="D185" s="21" t="str">
        <x:v>&lt;CLEAR&gt;
レディ ヨシオ が
装備できる 防具です</x:v>
      </x:c>
      <x:c r="E185" s="19" t="str">
        <x:v>&lt;CLEAR&gt;Armor that Lady or
Yoshio can equip.</x:v>
      </x:c>
      <x:c r="F185" s="20" t="str"/>
      <x:c r="G185" s="20" t="str"/>
      <x:c r="H185" s="23" t="str">
        <x:v>CLEAR NEWLINE END</x:v>
      </x:c>
      <x:c r="I185" s="23" t="str">
        <x:v>EA:1EAB</x:v>
      </x:c>
      <x:c r="J185" s="23" t="str">
        <x:v>D0 41 72 6D 6F 72 01 74 68 61 74 01 4C 61 64 79 01 6F 72 C8 59 6F 73 68 69 6F 01 63 61 6E 01 65 71 75 69 70 2E C0</x:v>
      </x:c>
      <x:c r="K185" s="23" t="str">
        <x:v>1D0 06B 084 054 075 001 067 04D 046 001 084 015 1C8 0C2 0C4 084 022 016 038 001 151 124 084 022 01C 1C0</x:v>
      </x:c>
    </x:row>
    <x:row r="186">
      <x:c r="A186" s="22" t="str">
        <x:f>"00"</x:f>
        <x:v>00</x:v>
      </x:c>
      <x:c r="B186" s="22" t="str">
        <x:f>"B8"</x:f>
        <x:v>B8</x:v>
      </x:c>
      <x:c r="C186" s="22" t="str">
        <x:f>"0x00B8"</x:f>
        <x:v>0x00B8</x:v>
      </x:c>
      <x:c r="D186" s="21" t="str">
        <x:v>&lt;CLEAR&gt;
コックス ヨシオ が
装備できる 防具です</x:v>
      </x:c>
      <x:c r="E186" s="19" t="str">
        <x:v>&lt;CLEAR&gt;Armor that Cox
or Yoshio can equip.</x:v>
      </x:c>
      <x:c r="F186" s="20" t="str"/>
      <x:c r="G186" s="20" t="str"/>
      <x:c r="H186" s="23" t="str">
        <x:v>CLEAR NEWLINE END</x:v>
      </x:c>
      <x:c r="I186" s="23" t="str">
        <x:v>EA:1ED1</x:v>
      </x:c>
      <x:c r="J186" s="23" t="str">
        <x:v>D0 41 72 6D 6F 72 01 74 68 61 74 01 43 6F 78 C8 6F 72 01 59 6F 73 68 69 6F 01 63 61 6E 01 65 71 75 69 70 2E C0</x:v>
      </x:c>
      <x:c r="K186" s="23" t="str">
        <x:v>1D0 04B 070 049 04E 001 067 04D 046 001 084 015 1C8 0C2 0C4 084 022 016 038 001 151 124 084 022 01C 1C0</x:v>
      </x:c>
    </x:row>
    <x:row r="187">
      <x:c r="A187" s="22" t="str">
        <x:f>"00"</x:f>
        <x:v>00</x:v>
      </x:c>
      <x:c r="B187" s="22" t="str">
        <x:f>"B9"</x:f>
        <x:v>B9</x:v>
      </x:c>
      <x:c r="C187" s="22" t="str">
        <x:f>"0x00B9"</x:f>
        <x:v>0x00B9</x:v>
      </x:c>
      <x:c r="D187" s="21" t="str">
        <x:v>&lt;CLEAR&gt;
レディ コックス ヨシオ が
装備できる 防具です</x:v>
      </x:c>
      <x:c r="E187" s="19" t="str">
        <x:v>&lt;CLEAR&gt;Armor anyone in
the party can equip.</x:v>
      </x:c>
      <x:c r="F187" s="20" t="str"/>
      <x:c r="G187" s="20" t="str"/>
      <x:c r="H187" s="23" t="str">
        <x:v>CLEAR NEWLINE END</x:v>
      </x:c>
      <x:c r="I187" s="23" t="str">
        <x:v>EA:1EF6</x:v>
      </x:c>
      <x:c r="J187" s="23" t="str">
        <x:v>D0 41 72 6D 6F 72 01 61 6E 79 6F 6E 65 01 69 6E C8 74 68 65 01 70 61 72 74 79 01 63 61 6E 01 65 71 75 69 70 2E C0</x:v>
      </x:c>
      <x:c r="K187" s="23" t="str">
        <x:v>1D0 06B 084 054 075 001 04B 070 049 04E 001 067 04D 046 001 084 015 1C8 0C2 0C4 084 022 016 038 001 151 124 084 022 01C 1C0</x:v>
      </x:c>
    </x:row>
    <x:row r="188">
      <x:c r="A188" s="22" t="str">
        <x:f>"00"</x:f>
        <x:v>00</x:v>
      </x:c>
      <x:c r="B188" s="22" t="str">
        <x:f>"BA"</x:f>
        <x:v>BA</x:v>
      </x:c>
      <x:c r="C188" s="22" t="str">
        <x:f>"0x00BA"</x:f>
        <x:v>0x00BA</x:v>
      </x:c>
      <x:c r="D188" s="21" t="str">
        <x:v>&lt;CLEAR&gt;
こいつがあれば
ちょっとのケガなら
すぐに ぜんかい べんりだよ</x:v>
      </x:c>
      <x:c r="E188" s="19" t="str">
        <x:v>&lt;CLEAR&gt;Keep this around and even
a small injury can be healed
up in no time. Handy stuff!</x:v>
      </x:c>
      <x:c r="F188" s="20" t="str"/>
      <x:c r="G188" s="20" t="str"/>
      <x:c r="H188" s="23" t="str">
        <x:v>CLEAR NEWLINE NEWLINE END</x:v>
      </x:c>
      <x:c r="I188" s="23" t="str">
        <x:v>EA:1F1C</x:v>
      </x:c>
      <x:c r="J188" s="23" t="str">
        <x:v>D0 4B 65 65 70 01 74 68 69 73 01 61 72 6F 75 6E 64 01 61 6E 64 01 65 76 65 6E C8 61 01 73 6D 61 6C 6C 01 69 6E 6A 75 72 79 01 63 61 6E 01 62 65 01 68 65 61 6C 65 64 C8 75 70 01 69 6E 01 6E 6F 01 74 69 6D 65 2E 01 48 61 6E 64 79 01 73 74 75 66 66 21 C0</x:v>
      </x:c>
      <x:c r="K188" s="23" t="str">
        <x:v>1D0 019 011 021 084 015 010 039 084 029 1C8 020 041 03E 023 028 04A 084 047 024 036 1C8 01C 084 017 025 001 084 01D 03D 015 011 001 084 02C 03D 037 084 01F 035 1C0</x:v>
      </x:c>
    </x:row>
    <x:row r="189">
      <x:c r="A189" s="22" t="str">
        <x:f>"00"</x:f>
        <x:v>00</x:v>
      </x:c>
      <x:c r="B189" s="22" t="str">
        <x:f>"BB"</x:f>
        <x:v>BB</x:v>
      </x:c>
      <x:c r="C189" s="22" t="str">
        <x:f>"0x00BB"</x:f>
        <x:v>0x00BB</x:v>
      </x:c>
      <x:c r="D189" s="21" t="str">
        <x:v>&lt;CLEAR&gt;
こわーい 毒も もうあんしん
もしものために おひとつどうぞ</x:v>
      </x:c>
      <x:c r="E189" s="19" t="str">
        <x:v>&lt;CLEAR&gt;Scary poison? No problem!
Take one along, just in case.</x:v>
      </x:c>
      <x:c r="F189" s="20" t="str"/>
      <x:c r="G189" s="20" t="str"/>
      <x:c r="H189" s="23" t="str">
        <x:v>CLEAR NEWLINE END</x:v>
      </x:c>
      <x:c r="I189" s="23" t="str">
        <x:v>EA:1F70</x:v>
      </x:c>
      <x:c r="J189" s="23" t="str">
        <x:v>D0 53 63 61 72 79 01 70 6F 69 73 6F 6E 3F 01 4E 6F 01 70 72 6F 62 6C 65 6D 21 C8 54 61 6B 65 01 6F 6E 65 01 61 6C 6F 6E 67 2C 01 6A 75 73 74 01 69 6E 01 63 61 73 65 2E C0</x:v>
      </x:c>
      <x:c r="K189" s="23" t="str">
        <x:v>1D0 019 03B 078 011 001 137 032 001 032 012 010 03D 01B 03D 1C8 032 01B 032 028 01F 031 025 001 014 02A 023 021 084 023 012 084 01E 1C0</x:v>
      </x:c>
    </x:row>
    <x:row r="190">
      <x:c r="A190" s="22" t="str">
        <x:f>"00"</x:f>
        <x:v>00</x:v>
      </x:c>
      <x:c r="B190" s="22" t="str">
        <x:f>"BC"</x:f>
        <x:v>BC</x:v>
      </x:c>
      <x:c r="C190" s="22" t="str">
        <x:f>"0x00BC"</x:f>
        <x:v>0x00BC</x:v>
      </x:c>
      <x:c r="D190" s="21" t="str">
        <x:v>&lt;CLEAR&gt;
体がマヒしたそのときに
マヒノンあれば 気分リフレッシュ!</x:v>
      </x:c>
      <x:c r="E190" s="19" t="str">
        <x:v>&lt;CLEAR&gt;When paralysis hits, Para-Cure
gets you feeling fresh again!</x:v>
      </x:c>
      <x:c r="F190" s="20" t="str"/>
      <x:c r="G190" s="20" t="str"/>
      <x:c r="H190" s="23" t="str">
        <x:v>CLEAR NEWLINE END</x:v>
      </x:c>
      <x:c r="I190" s="23" t="str">
        <x:v>EA:1FA9</x:v>
      </x:c>
      <x:c r="J190" s="23" t="str">
        <x:v>D0 57 68 65 6E 01 70 61 72 61 6C 79 73 69 73 01 68 69 74 73 2C 01 50 61 72 61 2D 43 75 72 65 C8 67 65 74 73 01 79 6F 75 01 66 65 65 6C 69 6E 67 01 66 72 65 73 68 01 61 67 61 69 6E 21 C0</x:v>
      </x:c>
      <x:c r="K190" s="23" t="str">
        <x:v>1D0 0F0 084 015 060 05C 01B 01F 01E 028 023 016 025 1C8 060 05C 05A 06F 010 039 084 029 001 099 16C 069 05D 06B 070 04D 072 07A 1C0</x:v>
      </x:c>
    </x:row>
    <x:row r="191">
      <x:c r="A191" s="22" t="str">
        <x:f>"00"</x:f>
        <x:v>00</x:v>
      </x:c>
      <x:c r="B191" s="22" t="str">
        <x:f>"BD"</x:f>
        <x:v>BD</x:v>
      </x:c>
      <x:c r="C191" s="22" t="str">
        <x:f>"0x00BD"</x:f>
        <x:v>0x00BD</x:v>
      </x:c>
      <x:c r="D191" s="21" t="str">
        <x:v>&lt;CLEAR&gt;
ザコなんぞ 見たくないという
お強いあなたに 大ニュース
おふだ使って ザコちゃん ばいばーい</x:v>
      </x:c>
      <x:c r="E191" s="19" t="str">
        <x:v>&lt;CLEAR&gt;Too tough to bother with
small fry? Great news! Use
a Ward Charm and bye-bye!</x:v>
      </x:c>
      <x:c r="F191" s="20" t="str"/>
      <x:c r="G191" s="20" t="str"/>
      <x:c r="H191" s="23" t="str">
        <x:v>CLEAR NEWLINE NEWLINE END</x:v>
      </x:c>
      <x:c r="I191" s="23" t="str">
        <x:v>EA:1FE7</x:v>
      </x:c>
      <x:c r="J191" s="23" t="str">
        <x:v>D0 54 6F 6F 01 74 6F 75 67 68 01 74 6F 01 62 6F 74 68 65 72 01 77 69 74 68 C8 73 6D 61 6C 6C 01 66 72 79 3F 01 47 72 65 61 74 01 6E 65 77 73 21 01 55 73 65 C8 61 01 57 61 72 64 01 43 68 61 72 6D 01 61 6E 64 01 62 79 65 2D 62 79 65 21 C0</x:v>
      </x:c>
      <x:c r="K191" s="23" t="str">
        <x:v>1D0 084 04C 04B 024 03D 084 01E 001 090 01F 017 024 011 023 011 012 1C8 014 138 011 010 024 01F 025 001 0AC 057 072 078 04E 1C8 014 02B 084 01F 123 03E 022 001 084 04C 04B 020 03F 03D 001 084 029 011 084 029 078 011 1C0</x:v>
      </x:c>
    </x:row>
    <x:row r="192">
      <x:c r="A192" s="22" t="str">
        <x:f>"00"</x:f>
        <x:v>00</x:v>
      </x:c>
      <x:c r="B192" s="22" t="str">
        <x:f>"BE"</x:f>
        <x:v>BE</x:v>
      </x:c>
      <x:c r="C192" s="22" t="str">
        <x:f>"0x00BE"</x:f>
        <x:v>0x00BE</x:v>
      </x:c>
      <x:c r="D192" s="21" t="str">
        <x:v>&lt;CLEAR&gt;
あの町に もどりたい
でも めんどくさい というあなた&lt;WAIT&gt;
&lt;CLEAR&gt;
おまかせください
スプリング使って ジャンプ ジャンプ
なお 空の見える場所で お使いください</x:v>
      </x:c>
      <x:c r="E192" s="19" t="str">
        <x:v>&lt;CLEAR&gt;Want to go back to town,
but can't be bothered?&lt;WAIT&gt;&lt;CLEAR&gt;Leave it to us! Use a Spring
and jump, jump! Use it
where you can see the sky.</x:v>
      </x:c>
      <x:c r="F192" s="20" t="str"/>
      <x:c r="G192" s="20" t="str"/>
      <x:c r="H192" s="23" t="str">
        <x:v>CLEAR NEWLINE WAIT CLEAR NEWLINE NEWLINE END</x:v>
      </x:c>
      <x:c r="I192" s="23" t="str">
        <x:v>EA:2036</x:v>
      </x:c>
      <x:c r="J192" s="23" t="str">
        <x:v>D0 57 61 6E 74 01 74 6F 01 67 6F 01 62 61 63 6B 01 74 6F 01 74 6F 77 6E 2C C8 62 75 74 01 63 61 6E 27 74 01 62 65 01 62 6F 74 68 65 72 65 64 3F C5 D0 4C 65 61 76 65 01 69 74 01 74 6F 01 75 73 21 01 55 73 65 01 61 01 53 70 72 69 6E 67 C8 61 6E 64 01 6A 75 6D 70 2C 01 6A 75 6D 70 21 01 55 73 65 01 69 74 C8 77 68 65 72 65 01 79 6F 75 01 63 61 6E 01 73 65 65 01 74 68 65 01 73 6B 79 2E C0</x:v>
      </x:c>
      <x:c r="K192" s="23" t="str">
        <x:v>1D0 010 028 0C9 025 001 032 084 023 037 01F 011 1C8 084 022 032 001 031 03D 084 023 017 01A 011 001 023 011 012 010 024 01F 1C5 1D0 014 02E 015 01D 017 084 01F 01A 011 1C8 04E 083 05D 069 06F 084 049 123 03E 022 001 084 04D 071 06F 083 05D 001 084 04D 071 06F 083 05D 1C8 024 014 001 156 028 090 013 038 0A5 12F 084 022 001 014 123 011 017 084 01F 01A 011 1C0</x:v>
      </x:c>
    </x:row>
    <x:row r="193">
      <x:c r="A193" s="22" t="str">
        <x:f>"00"</x:f>
        <x:v>00</x:v>
      </x:c>
      <x:c r="B193" s="22" t="str">
        <x:f>"BF"</x:f>
        <x:v>BF</x:v>
      </x:c>
      <x:c r="C193" s="22" t="str">
        <x:f>"0x00BF"</x:f>
        <x:v>0x00BF</x:v>
      </x:c>
      <x:c r="D193" s="21" t="str">
        <x:v>&lt;CLEAR&gt;
この本は
デスランドのひみつ まんさいの
買って そんなしの 歴史書です</x:v>
      </x:c>
      <x:c r="E193" s="19" t="str">
        <x:v>&lt;CLEAR&gt;This history book is packed
with Deathland secrets. You
won't regret buying it!</x:v>
      </x:c>
      <x:c r="F193" s="20" t="str"/>
      <x:c r="G193" s="20" t="str"/>
      <x:c r="H193" s="23" t="str">
        <x:v>CLEAR NEWLINE NEWLINE END</x:v>
      </x:c>
      <x:c r="I193" s="23" t="str">
        <x:v>EA:20B7</x:v>
      </x:c>
      <x:c r="J193" s="23" t="str">
        <x:v>D0 54 68 69 73 01 68 69 73 74 6F 72 79 01 62 6F 6F 6B 01 69 73 01 70 61 63 6B 65 64 C8 77 69 74 68 01 44 65 61 74 68 6C 61 6E 64 01 73 65 63 72 65 74 73 2E 01 59 6F 75 C8 77 6F 6E 27 74 01 72 65 67 72 65 74 01 62 75 79 69 6E 67 01 69 74 21 C0</x:v>
      </x:c>
      <x:c r="K193" s="23" t="str">
        <x:v>1D0 019 028 13A 029 1C8 084 054 04E 068 06F 084 055 028 02A 02F 021 001 02E 03D 01A 011 028 1C8 0A8 03E 022 001 01E 03D 024 01B 028 001 0EA 0E6 098 084 022 01C 1C0</x:v>
      </x:c>
    </x:row>
    <x:row r="194">
      <x:c r="A194" s="22" t="str">
        <x:f>"00"</x:f>
        <x:v>00</x:v>
      </x:c>
      <x:c r="B194" s="22" t="str">
        <x:f>"C0"</x:f>
        <x:v>C0</x:v>
      </x:c>
      <x:c r="C194" s="22" t="str">
        <x:f>"0x00C0"</x:f>
        <x:v>0x00C0</x:v>
      </x:c>
      <x:c r="D194" s="21" t="str">
        <x:v>&lt;CLEAR&gt;
デスランド名物 キングにんぎょうは
化け物が きらいな
ピンクピリチオンはいごうの&lt;WAIT&gt;
&lt;CLEAR&gt;
化け物からにげられる
かっきてきな 商品です</x:v>
      </x:c>
      <x:c r="E194" s="19" t="str">
        <x:v>&lt;CLEAR&gt;Deathland's famous King
Doll contains monster-hated
pink pyrithione!&lt;WAIT&gt;&lt;CLEAR&gt;A revolutionary product that
helps you flee monsters!</x:v>
      </x:c>
      <x:c r="F194" s="20" t="str"/>
      <x:c r="G194" s="20" t="str"/>
      <x:c r="H194" s="23" t="str">
        <x:v>CLEAR NEWLINE NEWLINE WAIT CLEAR NEWLINE END</x:v>
      </x:c>
      <x:c r="I194" s="23" t="str">
        <x:v>EA:2108</x:v>
      </x:c>
      <x:c r="J194" s="23" t="str">
        <x:v>D0 44 65 61 74 68 6C 61 6E 64 27 73 01 66 61 6D 6F 75 73 01 4B 69 6E 67 C8 44 6F 6C 6C 01 63 6F 6E 74 61 69 6E 73 01 6D 6F 6E 73 74 65 72 2D 68 61 74 65 64 C8 70 69 6E 6B 01 70 79 72 69 74 68 69 6F 6E 65 21 C5 D0 41 01 72 65 76 6F 6C 75 74 69 6F 6E 61 72 79 01 70 72 6F 64 75 63 74 01 74 68 61 74 C8 68 65 6C 70 73 01 79 6F 75 01 66 6C 65 65 01 6D 6F 6E 73 74 65 72 73 21 C0</x:v>
      </x:c>
      <x:c r="K194" s="23" t="str">
        <x:v>1D0 084 054 04E 068 06F 084 055 0CD 08B 001 048 06F 084 049 025 03D 084 016 041 012 029 1C8 09E 018 08B 084 015 001 016 036 011 024 1C8 083 05C 06F 049 083 05C 069 052 046 06F 029 011 084 019 012 028 1C5 1D0 09E 018 08B 015 036 025 084 018 036 039 038 1C8 015 03E 016 022 016 024 001 109 12B 084 022 01C 1C0</x:v>
      </x:c>
    </x:row>
    <x:row r="195">
      <x:c r="A195" s="22" t="str">
        <x:f>"00"</x:f>
        <x:v>00</x:v>
      </x:c>
      <x:c r="B195" s="22" t="str">
        <x:f>"C1"</x:f>
        <x:v>C1</x:v>
      </x:c>
      <x:c r="C195" s="22" t="str">
        <x:f>"0x00C1"</x:f>
        <x:v>0x00C1</x:v>
      </x:c>
      <x:c r="D195" s="21" t="str">
        <x:v>&lt;CLEAR&gt;
とくに 変わったところは
ないようです</x:v>
      </x:c>
      <x:c r="E195" s="19" t="str">
        <x:v>&lt;CLEAR&gt;Nothing seems unusual about it.</x:v>
      </x:c>
      <x:c r="F195" s="20" t="str"/>
      <x:c r="G195" s="20" t="str"/>
      <x:c r="H195" s="23" t="str">
        <x:v>CLEAR END</x:v>
      </x:c>
      <x:c r="I195" s="23" t="str">
        <x:v>EA:2185</x:v>
      </x:c>
      <x:c r="J195" s="23" t="str">
        <x:v>D0 4E 6F 74 68 69 6E 67 01 73 65 65 6D 73 01 75 6E 75 73 75 61 6C 01 61 62 6F 75 74 01 69 74 2E C0</x:v>
      </x:c>
      <x:c r="K195" s="23" t="str">
        <x:v>1D0 023 017 025 001 178 03B 03E 01F 023 019 03A 029 1C8 024 011 035 012 084 022 01C 1C0</x:v>
      </x:c>
    </x:row>
    <x:row r="196">
      <x:c r="A196" s="22" t="str">
        <x:f>"00"</x:f>
        <x:v>00</x:v>
      </x:c>
      <x:c r="B196" s="22" t="str">
        <x:f>"C2"</x:f>
        <x:v>C2</x:v>
      </x:c>
      <x:c r="C196" s="22" t="str">
        <x:f>"0x00C2"</x:f>
        <x:v>0x00C2</x:v>
      </x:c>
      <x:c r="D196" s="21" t="str">
        <x:v>&lt;CLEAR&gt;
1回使ったら
なくなってしまいます</x:v>
      </x:c>
      <x:c r="E196" s="19" t="str">
        <x:v>&lt;CLEAR&gt;It disappears after one use.</x:v>
      </x:c>
      <x:c r="F196" s="20" t="str"/>
      <x:c r="G196" s="20" t="str"/>
      <x:c r="H196" s="23" t="str">
        <x:v>CLEAR END</x:v>
      </x:c>
      <x:c r="I196" s="23" t="str">
        <x:v>EA:21A6</x:v>
      </x:c>
      <x:c r="J196" s="23" t="str">
        <x:v>D0 49 74 01 64 69 73 61 70 70 65 61 72 73 01 61 66 74 65 72 01 6F 6E 65 01 75 73 65 2E C0</x:v>
      </x:c>
      <x:c r="K196" s="23" t="str">
        <x:v>1D0 003 169 123 03E 01F 036 1C8 024 017 024 03E 022 01B 02E 011 02E 01C 1C0</x:v>
      </x:c>
    </x:row>
    <x:row r="197">
      <x:c r="A197" s="22" t="str">
        <x:f>"00"</x:f>
        <x:v>00</x:v>
      </x:c>
      <x:c r="B197" s="22" t="str">
        <x:f>"C3"</x:f>
        <x:v>C3</x:v>
      </x:c>
      <x:c r="C197" s="22" t="str">
        <x:f>"0x00C3"</x:f>
        <x:v>0x00C3</x:v>
      </x:c>
      <x:c r="D197" s="21" t="str">
        <x:v>&lt;CLEAR&gt;
何回使っても
なくなりません</x:v>
      </x:c>
      <x:c r="E197" s="19" t="str">
        <x:v>&lt;CLEAR&gt;It never runs out, no matter
how often you use it.</x:v>
      </x:c>
      <x:c r="F197" s="20" t="str"/>
      <x:c r="G197" s="20" t="str"/>
      <x:c r="H197" s="23" t="str">
        <x:v>CLEAR NEWLINE END</x:v>
      </x:c>
      <x:c r="I197" s="23" t="str">
        <x:v>EA:21C4</x:v>
      </x:c>
      <x:c r="J197" s="23" t="str">
        <x:v>D0 49 74 01 6E 65 76 65 72 01 72 75 6E 73 01 6F 75 74 2C 01 6E 6F 01 6D 61 74 74 65 72 C8 68 6F 77 01 6F 66 74 65 6E 01 79 6F 75 01 75 73 65 01 69 74 2E C0</x:v>
      </x:c>
      <x:c r="K197" s="23" t="str">
        <x:v>1D0 093 169 123 03E 022 032 1C8 024 017 024 037 02E 01D 03D 1C0</x:v>
      </x:c>
    </x:row>
    <x:row r="198">
      <x:c r="A198" s="22" t="str">
        <x:f>"00"</x:f>
        <x:v>00</x:v>
      </x:c>
      <x:c r="B198" s="22" t="str">
        <x:f>"C4"</x:f>
        <x:v>C4</x:v>
      </x:c>
      <x:c r="C198" s="22" t="str">
        <x:f>"0x00C4"</x:f>
        <x:v>0x00C4</x:v>
      </x:c>
      <x:c r="D198" s="21" t="str">
        <x:v>&lt;CLEAR&gt;
あかい とびらがある</x:v>
      </x:c>
      <x:c r="E198" s="19" t="str">
        <x:v>&lt;CLEAR&gt;There is a red door.</x:v>
      </x:c>
      <x:c r="F198" s="20" t="str"/>
      <x:c r="G198" s="20" t="str"/>
      <x:c r="H198" s="23" t="str">
        <x:v>CLEAR END</x:v>
      </x:c>
      <x:c r="I198" s="23" t="str">
        <x:v>EA:21F8</x:v>
      </x:c>
      <x:c r="J198" s="23" t="str">
        <x:v>D0 54 68 65 72 65 01 69 73 01 61 01 72 65 64 01 64 6F 6F 72 2E C0</x:v>
      </x:c>
      <x:c r="K198" s="23" t="str">
        <x:v>1D0 010 015 011 001 023 084 02A 036 084 015 010 038 1C0</x:v>
      </x:c>
    </x:row>
    <x:row r="199">
      <x:c r="A199" s="22" t="str">
        <x:f>"00"</x:f>
        <x:v>00</x:v>
      </x:c>
      <x:c r="B199" s="22" t="str">
        <x:f>"C5"</x:f>
        <x:v>C5</x:v>
      </x:c>
      <x:c r="C199" s="22" t="str">
        <x:f>"0x00C5"</x:f>
        <x:v>0x00C5</x:v>
      </x:c>
      <x:c r="D199" s="21" t="str">
        <x:v>&lt;CLEAR&gt;
とびらには カギが かかっている</x:v>
      </x:c>
      <x:c r="E199" s="19" t="str">
        <x:v>&lt;CLEAR&gt;The door is locked.</x:v>
      </x:c>
      <x:c r="F199" s="20" t="str"/>
      <x:c r="G199" s="20" t="str"/>
      <x:c r="H199" s="23" t="str">
        <x:v>CLEAR END</x:v>
      </x:c>
      <x:c r="I199" s="23" t="str">
        <x:v>EA:220E</x:v>
      </x:c>
      <x:c r="J199" s="23" t="str">
        <x:v>D0 54 68 65 01 64 6F 6F 72 01 69 73 01 6C 6F 63 6B 65 64 2E C0</x:v>
      </x:c>
      <x:c r="K199" s="23" t="str">
        <x:v>1D0 023 084 02A 036 025 029 001 047 084 048 084 015 001 015 015 03E 022 011 038 1C0</x:v>
      </x:c>
    </x:row>
    <x:row r="200">
      <x:c r="A200" s="22" t="str">
        <x:f>"00"</x:f>
        <x:v>00</x:v>
      </x:c>
      <x:c r="B200" s="22" t="str">
        <x:f>"C6"</x:f>
        <x:v>C6</x:v>
      </x:c>
      <x:c r="C200" s="22" t="str">
        <x:f>"0x00C6"</x:f>
        <x:v>0x00C6</x:v>
      </x:c>
      <x:c r="D200" s="21" t="str">
        <x:v>&lt;CLEAR&gt;
あおい とびらがある</x:v>
      </x:c>
      <x:c r="E200" s="19" t="str">
        <x:v>&lt;CLEAR&gt;There is a blue door.</x:v>
      </x:c>
      <x:c r="F200" s="20" t="str"/>
      <x:c r="G200" s="20" t="str"/>
      <x:c r="H200" s="23" t="str">
        <x:v>CLEAR END</x:v>
      </x:c>
      <x:c r="I200" s="23" t="str">
        <x:v>EA:2223</x:v>
      </x:c>
      <x:c r="J200" s="23" t="str">
        <x:v>D0 54 68 65 72 65 01 69 73 01 61 01 62 6C 75 65 01 64 6F 6F 72 2E C0</x:v>
      </x:c>
      <x:c r="K200" s="23" t="str">
        <x:v>1D0 010 014 011 001 023 084 02A 036 084 015 010 038 1C0</x:v>
      </x:c>
    </x:row>
    <x:row r="201">
      <x:c r="A201" s="22" t="str">
        <x:f>"00"</x:f>
        <x:v>00</x:v>
      </x:c>
      <x:c r="B201" s="22" t="str">
        <x:f>"C7"</x:f>
        <x:v>C7</x:v>
      </x:c>
      <x:c r="C201" s="22" t="str">
        <x:f>"0x00C7"</x:f>
        <x:v>0x00C7</x:v>
      </x:c>
      <x:c r="D201" s="21" t="str">
        <x:v>&lt;CLEAR&gt;
地下水道の とびらがある</x:v>
      </x:c>
      <x:c r="E201" s="19" t="str">
        <x:v>&lt;CLEAR&gt;There is a door to the sewer.</x:v>
      </x:c>
      <x:c r="F201" s="20" t="str"/>
      <x:c r="G201" s="20" t="str"/>
      <x:c r="H201" s="23" t="str">
        <x:v>CLEAR END</x:v>
      </x:c>
      <x:c r="I201" s="23" t="str">
        <x:v>EA:223A</x:v>
      </x:c>
      <x:c r="J201" s="23" t="str">
        <x:v>D0 54 68 65 72 65 01 69 73 01 61 01 64 6F 6F 72 01 74 6F 01 74 68 65 01 73 65 77 65 72 2E C0</x:v>
      </x:c>
      <x:c r="K201" s="23" t="str">
        <x:v>1D0 0D5 0B8 0B2 0C7 028 001 023 084 02A 036 084 015 010 038 1C0</x:v>
      </x:c>
    </x:row>
    <x:row r="202">
      <x:c r="A202" s="22" t="str">
        <x:f>"00"</x:f>
        <x:v>00</x:v>
      </x:c>
      <x:c r="B202" s="22" t="str">
        <x:f>"C8"</x:f>
        <x:v>C8</x:v>
      </x:c>
      <x:c r="C202" s="22" t="str">
        <x:f>"0x00C8"</x:f>
        <x:v>0x00C8</x:v>
      </x:c>
      <x:c r="D202" s="21" t="str">
        <x:v>&lt;CLEAR&gt;
熱で まっかになった とびらがある&lt;WAIT&gt;
&lt;CLEAR&gt;
熱くて さわれない</x:v>
      </x:c>
      <x:c r="E202" s="19" t="str">
        <x:v>&lt;CLEAR&gt;The door is glowing red-hot.&lt;WAIT&gt;&lt;CLEAR&gt;It's too hot to touch.</x:v>
      </x:c>
      <x:c r="F202" s="20" t="str"/>
      <x:c r="G202" s="20" t="str"/>
      <x:c r="H202" s="23" t="str">
        <x:v>CLEAR WAIT CLEAR END</x:v>
      </x:c>
      <x:c r="I202" s="23" t="str">
        <x:v>EA:2259</x:v>
      </x:c>
      <x:c r="J202" s="23" t="str">
        <x:v>D0 54 68 65 01 64 6F 6F 72 01 69 73 01 67 6C 6F 77 69 6E 67 01 72 65 64 2D 68 6F 74 2E C5 D0 49 74 27 73 01 74 6F 6F 01 68 6F 74 01 74 6F 01 74 6F 75 63 68 2E C0</x:v>
      </x:c>
      <x:c r="K202" s="23" t="str">
        <x:v>1D0 185 084 022 001 02E 03E 015 025 024 03E 01F 001 023 084 02A 036 084 015 010 038 1C5 1D0 185 017 022 001 01A 03B 039 024 011 1C0</x:v>
      </x:c>
    </x:row>
    <x:row r="203">
      <x:c r="A203" s="22" t="str">
        <x:f>"00"</x:f>
        <x:v>00</x:v>
      </x:c>
      <x:c r="B203" s="22" t="str">
        <x:f>"C9"</x:f>
        <x:v>C9</x:v>
      </x:c>
      <x:c r="C203" s="22" t="str">
        <x:f>"0x00C9"</x:f>
        <x:v>0x00C9</x:v>
      </x:c>
      <x:c r="D203" s="21" t="str">
        <x:v>&lt;CLEAR&gt;
こおりの とびらがある</x:v>
      </x:c>
      <x:c r="E203" s="19" t="str">
        <x:v>&lt;CLEAR&gt;There is a door of ice.</x:v>
      </x:c>
      <x:c r="F203" s="20" t="str"/>
      <x:c r="G203" s="20" t="str"/>
      <x:c r="H203" s="23" t="str">
        <x:v>CLEAR END</x:v>
      </x:c>
      <x:c r="I203" s="23" t="str">
        <x:v>EA:228F</x:v>
      </x:c>
      <x:c r="J203" s="23" t="str">
        <x:v>D0 54 68 65 72 65 01 69 73 01 61 01 64 6F 6F 72 01 6F 66 01 69 63 65 2E C0</x:v>
      </x:c>
      <x:c r="K203" s="23" t="str">
        <x:v>1D0 019 014 037 028 001 023 084 02A 036 084 015 010 038 1C0</x:v>
      </x:c>
    </x:row>
    <x:row r="204">
      <x:c r="A204" s="22" t="str">
        <x:f>"00"</x:f>
        <x:v>00</x:v>
      </x:c>
      <x:c r="B204" s="22" t="str">
        <x:f>"CA"</x:f>
        <x:v>CA</x:v>
      </x:c>
      <x:c r="C204" s="22" t="str">
        <x:f>"0x00CA"</x:f>
        <x:v>0x00CA</x:v>
      </x:c>
      <x:c r="D204" s="21" t="str">
        <x:v>&lt;CLEAR&gt;
ガヌビスの像が レリーフされた
石の とびらがある</x:v>
      </x:c>
      <x:c r="E204" s="19" t="str">
        <x:v>&lt;CLEAR&gt;There is a stone door
carved with Ganubis.</x:v>
      </x:c>
      <x:c r="F204" s="20" t="str"/>
      <x:c r="G204" s="20" t="str"/>
      <x:c r="H204" s="23" t="str">
        <x:v>CLEAR NEWLINE END</x:v>
      </x:c>
      <x:c r="I204" s="23" t="str">
        <x:v>EA:22A8</x:v>
      </x:c>
      <x:c r="J204" s="23" t="str">
        <x:v>D0 54 68 65 72 65 01 69 73 01 61 01 73 74 6F 6E 65 01 64 6F 6F 72 C8 63 61 72 76 65 64 01 77 69 74 68 01 47 61 6E 75 62 69 73 2E C0</x:v>
      </x:c>
      <x:c r="K204" s="23" t="str">
        <x:v>1D0 084 047 058 084 05C 04E 028 159 084 015 001 06B 069 078 05D 01A 039 01F 1C8 09D 028 001 023 084 02A 036 084 015 010 038 1C0</x:v>
      </x:c>
    </x:row>
    <x:row r="205">
      <x:c r="A205" s="22" t="str">
        <x:f>"00"</x:f>
        <x:v>00</x:v>
      </x:c>
      <x:c r="B205" s="22" t="str">
        <x:f>"CB"</x:f>
        <x:v>CB</x:v>
      </x:c>
      <x:c r="C205" s="22" t="str">
        <x:f>"0x00CB"</x:f>
        <x:v>0x00CB</x:v>
      </x:c>
      <x:c r="D205" s="21" t="str">
        <x:v>&lt;CLEAR&gt;
黒い とびらがある</x:v>
      </x:c>
      <x:c r="E205" s="19" t="str">
        <x:v>&lt;CLEAR&gt;There is a black door.</x:v>
      </x:c>
      <x:c r="F205" s="20" t="str"/>
      <x:c r="G205" s="20" t="str"/>
      <x:c r="H205" s="23" t="str">
        <x:v>CLEAR END</x:v>
      </x:c>
      <x:c r="I205" s="23" t="str">
        <x:v>EA:22D4</x:v>
      </x:c>
      <x:c r="J205" s="23" t="str">
        <x:v>D0 54 68 65 72 65 01 69 73 01 61 01 62 6C 61 63 6B 01 64 6F 6F 72 2E C0</x:v>
      </x:c>
      <x:c r="K205" s="23" t="str">
        <x:v>1D0 180 011 001 023 084 02A 036 084 015 010 038 1C0</x:v>
      </x:c>
    </x:row>
    <x:row r="206">
      <x:c r="A206" s="22" t="str">
        <x:f>"00"</x:f>
        <x:v>00</x:v>
      </x:c>
      <x:c r="B206" s="22" t="str">
        <x:f>"CC"</x:f>
        <x:v>CC</x:v>
      </x:c>
      <x:c r="C206" s="22" t="str">
        <x:f>"0x00CC"</x:f>
        <x:v>0x00CC</x:v>
      </x:c>
      <x:c r="D206" s="21" t="str">
        <x:v>&lt;CLEAR&gt;
すきとおった とびらが あるようだ&lt;WAIT&gt;
&lt;CLEAR&gt;
とびらには カギが かかっているようだ</x:v>
      </x:c>
      <x:c r="E206" s="19" t="str">
        <x:v>&lt;CLEAR&gt;There seems to be
a transparent door.&lt;WAIT&gt;&lt;CLEAR&gt;It seems to be locked.</x:v>
      </x:c>
      <x:c r="F206" s="20" t="str"/>
      <x:c r="G206" s="20" t="str"/>
      <x:c r="H206" s="23" t="str">
        <x:v>CLEAR NEWLINE WAIT CLEAR END</x:v>
      </x:c>
      <x:c r="I206" s="23" t="str">
        <x:v>EA:22EC</x:v>
      </x:c>
      <x:c r="J206" s="23" t="str">
        <x:v>D0 54 68 65 72 65 01 73 65 65 6D 73 01 74 6F 01 62 65 C8 61 01 74 72 61 6E 73 70 61 72 65 6E 74 01 64 6F 6F 72 2E C5 D0 49 74 01 73 65 65 6D 73 01 74 6F 01 62 65 01 6C 6F 63 6B 65 64 2E C0</x:v>
      </x:c>
      <x:c r="K206" s="23" t="str">
        <x:v>1D0 01C 016 023 014 03E 01F 001 023 084 02A 036 084 015 001 010 038 035 012 084 01F 1C5 1D0 023 084 02A 036 025 029 001 047 084 048 084 015 001 015 015 03E 022 011 038 035 012 084 01F 1C0</x:v>
      </x:c>
    </x:row>
    <x:row r="207">
      <x:c r="A207" s="22" t="str">
        <x:f>"00"</x:f>
        <x:v>00</x:v>
      </x:c>
      <x:c r="B207" s="22" t="str">
        <x:f>"CD"</x:f>
        <x:v>CD</x:v>
      </x:c>
      <x:c r="C207" s="22" t="str">
        <x:f>"0x00CD"</x:f>
        <x:v>0x00CD</x:v>
      </x:c>
      <x:c r="D207" s="21" t="str">
        <x:v>&lt;CLEAR&gt;
大理石の とびらがある</x:v>
      </x:c>
      <x:c r="E207" s="19" t="str">
        <x:v>&lt;CLEAR&gt;There is a marble door.</x:v>
      </x:c>
      <x:c r="F207" s="20" t="str"/>
      <x:c r="G207" s="20" t="str"/>
      <x:c r="H207" s="23" t="str">
        <x:v>CLEAR END</x:v>
      </x:c>
      <x:c r="I207" s="23" t="str">
        <x:v>EA:232B</x:v>
      </x:c>
      <x:c r="J207" s="23" t="str">
        <x:v>D0 54 68 65 72 65 01 69 73 01 61 01 6D 61 72 62 6C 65 01 64 6F 6F 72 2E C0</x:v>
      </x:c>
      <x:c r="K207" s="23" t="str">
        <x:v>1D0 0AC 165 09D 028 001 023 084 02A 036 084 015 010 038 1C0</x:v>
      </x:c>
    </x:row>
    <x:row r="208">
      <x:c r="A208" s="22" t="str">
        <x:f>"00"</x:f>
        <x:v>00</x:v>
      </x:c>
      <x:c r="B208" s="22" t="str">
        <x:f>"CE"</x:f>
        <x:v>CE</x:v>
      </x:c>
      <x:c r="C208" s="22" t="str">
        <x:f>"0x00CE"</x:f>
        <x:v>0x00CE</x:v>
      </x:c>
      <x:c r="D208" s="21" t="str">
        <x:v>&lt;CLEAR&gt;
イノブの像が レリーフされた
石の とびらがある</x:v>
      </x:c>
      <x:c r="E208" s="19" t="str">
        <x:v>&lt;CLEAR&gt;There is a stone door
carved with Inobu.</x:v>
      </x:c>
      <x:c r="F208" s="20" t="str"/>
      <x:c r="G208" s="20" t="str"/>
      <x:c r="H208" s="23" t="str">
        <x:v>CLEAR NEWLINE END</x:v>
      </x:c>
      <x:c r="I208" s="23" t="str">
        <x:v>EA:2344</x:v>
      </x:c>
      <x:c r="J208" s="23" t="str">
        <x:v>D0 54 68 65 72 65 01 69 73 01 61 01 73 74 6F 6E 65 01 64 6F 6F 72 C8 63 61 72 76 65 64 01 77 69 74 68 01 49 6E 6F 62 75 2E C0</x:v>
      </x:c>
      <x:c r="K208" s="23" t="str">
        <x:v>1D0 043 05A 084 05D 028 159 084 015 001 06B 069 078 05D 01A 039 01F 1C8 09D 028 001 023 084 02A 036 084 015 010 038 1C0</x:v>
      </x:c>
    </x:row>
    <x:row r="209">
      <x:c r="A209" s="22" t="str">
        <x:f>"00"</x:f>
        <x:v>00</x:v>
      </x:c>
      <x:c r="B209" s="22" t="str">
        <x:f>"CF"</x:f>
        <x:v>CF</x:v>
      </x:c>
      <x:c r="C209" s="22" t="str">
        <x:f>"0x00CF"</x:f>
        <x:v>0x00CF</x:v>
      </x:c>
      <x:c r="D209" s="21" t="str">
        <x:v>&lt;CLEAR&gt;
とびらがある</x:v>
      </x:c>
      <x:c r="E209" s="19" t="str">
        <x:v>&lt;CLEAR&gt;There is a door.</x:v>
      </x:c>
      <x:c r="F209" s="20" t="str"/>
      <x:c r="G209" s="20" t="str"/>
      <x:c r="H209" s="23" t="str">
        <x:v>CLEAR END</x:v>
      </x:c>
      <x:c r="I209" s="23" t="str">
        <x:v>EA:236E</x:v>
      </x:c>
      <x:c r="J209" s="23" t="str">
        <x:v>D0 54 68 65 72 65 01 69 73 01 61 01 64 6F 6F 72 2E C0</x:v>
      </x:c>
      <x:c r="K209" s="23" t="str">
        <x:v>1D0 023 084 02A 036 084 015 010 038 1C0</x:v>
      </x:c>
    </x:row>
    <x:row r="210">
      <x:c r="A210" s="22" t="str">
        <x:f>"00"</x:f>
        <x:v>00</x:v>
      </x:c>
      <x:c r="B210" s="22" t="str">
        <x:f>"D0"</x:f>
        <x:v>D0</x:v>
      </x:c>
      <x:c r="C210" s="22" t="str">
        <x:f>"0x00D0"</x:f>
        <x:v>0x00D0</x:v>
      </x:c>
      <x:c r="D210" s="21" t="str">
        <x:v>&lt;CLEAR&gt;
とびらがある&lt;WAIT&gt;
&lt;CLEAR&gt;
こちらからは あけられないようだ</x:v>
      </x:c>
      <x:c r="E210" s="19" t="str">
        <x:v>&lt;CLEAR&gt;There is a door.&lt;WAIT&gt;&lt;CLEAR&gt;It won't open from this side.</x:v>
      </x:c>
      <x:c r="F210" s="20" t="str"/>
      <x:c r="G210" s="20" t="str"/>
      <x:c r="H210" s="23" t="str">
        <x:v>CLEAR WAIT CLEAR END</x:v>
      </x:c>
      <x:c r="I210" s="23" t="str">
        <x:v>EA:2380</x:v>
      </x:c>
      <x:c r="J210" s="23" t="str">
        <x:v>D0 54 68 65 72 65 01 69 73 01 61 01 64 6F 6F 72 2E C5 D0 49 74 01 77 6F 6E 27 74 01 6F 70 65 6E 01 66 72 6F 6D 01 74 68 69 73 01 73 69 64 65 2E C0</x:v>
      </x:c>
      <x:c r="K210" s="23" t="str">
        <x:v>1D0 023 084 02A 036 084 015 010 038 1C5 1D0 019 020 036 015 036 029 001 010 018 036 039 024 011 035 012 084 01F 1C0</x:v>
      </x:c>
    </x:row>
    <x:row r="211">
      <x:c r="A211" s="22" t="str">
        <x:f>"00"</x:f>
        <x:v>00</x:v>
      </x:c>
      <x:c r="B211" s="22" t="str">
        <x:f>"D1"</x:f>
        <x:v>D1</x:v>
      </x:c>
      <x:c r="C211" s="22" t="str">
        <x:f>"0x00D1"</x:f>
        <x:v>0x00D1</x:v>
      </x:c>
      <x:c r="D211" s="21" t="str">
        <x:v>&lt;CLEAR&gt;
魔物が えがかれた とびらがある
魔物は こちらを にらんでいる&lt;WAIT&gt;
&lt;CLEAR&gt;
まるで 人間は ここを通さないぞ
と いわんばかりだ&lt;WAIT&gt;
&lt;CLEAR&gt;
とびらは ひらかない</x:v>
      </x:c>
      <x:c r="E211" s="19" t="str">
        <x:v>&lt;CLEAR&gt;A monster is carved on the
door. It glares straight at you.&lt;WAIT&gt;&lt;CLEAR&gt;As if it's saying, 'No
humans beyond this point.'&lt;WAIT&gt;&lt;CLEAR&gt;The door will not open.&lt;LINE&gt;&lt;LINE&gt;</x:v>
      </x:c>
      <x:c r="F211" s="20" t="str"/>
      <x:c r="G211" s="20" t="str"/>
      <x:c r="H211" s="23" t="str">
        <x:v>CLEAR NEWLINE WAIT CLEAR NEWLINE WAIT CLEAR LINE LINE END</x:v>
      </x:c>
      <x:c r="I211" s="23" t="str">
        <x:v>EA:23B1</x:v>
      </x:c>
      <x:c r="J211" s="23" t="str">
        <x:v>D0 41 01 6D 6F 6E 73 74 65 72 01 69 73 01 63 61 72 76 65 64 01 6F 6E 01 74 68 65 C8 64 6F 6F 72 2E 01 49 74 01 67 6C 61 72 65 73 01 73 74 72 61 69 67 68 74 01 61 74 01 79 6F 75 2E C5 D0 41 73 01 69 66 01 69 74 27 73 01 73 61 79 69 6E 67 2C 01 27 4E 6F C8 68 75 6D 61 6E 73 01 62 65 79 6F 6E 64 01 74 68 69 73 01 70 6F 69 6E 74 2E 27 C5 D0 54 68 65 01 64 6F 6F 72 01 77 69 6C 6C 01 6E 6F 74 01 6F 70 65 6E 2E C3 C3 C0</x:v>
      </x:c>
      <x:c r="K211" s="23" t="str">
        <x:v>1D0 09A 08B 084 015 001 013 084 015 015 039 01F 001 023 084 02A 036 084 015 010 038 1C8 09A 08B 029 001 019 020 036 03C 001 025 036 03D 084 022 011 038 1C5 1D0 02E 038 084 022 001 091 0E3 029 001 019 019 03C 12E 01A 024 011 084 01E 1C8 023 001 011 03B 03D 084 029 015 037 084 01F 1C5 1D0 023 084 02A 036 029 001 02A 036 015 024 011 1C3 1C3 1C0</x:v>
      </x:c>
    </x:row>
    <x:row r="212">
      <x:c r="A212" s="22" t="str">
        <x:f>"00"</x:f>
        <x:v>00</x:v>
      </x:c>
      <x:c r="B212" s="22" t="str">
        <x:f>"D2"</x:f>
        <x:v>D2</x:v>
      </x:c>
      <x:c r="C212" s="22" t="str">
        <x:f>"0x00D2"</x:f>
        <x:v>0x00D2</x:v>
      </x:c>
      <x:c r="D212" s="21" t="str">
        <x:v>&lt;CLEAR&gt;
魔物が えがかれた とびらがある</x:v>
      </x:c>
      <x:c r="E212" s="19" t="str">
        <x:v>&lt;CLEAR&gt;A monster is
carved on the door.</x:v>
      </x:c>
      <x:c r="F212" s="20" t="str"/>
      <x:c r="G212" s="20" t="str"/>
      <x:c r="H212" s="23" t="str">
        <x:v>CLEAR NEWLINE END</x:v>
      </x:c>
      <x:c r="I212" s="23" t="str">
        <x:v>EA:243C</x:v>
      </x:c>
      <x:c r="J212" s="23" t="str">
        <x:v>D0 41 01 6D 6F 6E 73 74 65 72 01 69 73 C8 63 61 72 76 65 64 01 6F 6E 01 74 68 65 01 64 6F 6F 72 2E C0</x:v>
      </x:c>
      <x:c r="K212" s="23" t="str">
        <x:v>1D0 09A 08B 084 015 001 013 084 015 015 039 01F 001 023 084 02A 036 084 015 010 038 1C0</x:v>
      </x:c>
    </x:row>
    <x:row r="213">
      <x:c r="A213" s="22" t="str">
        <x:f>"00"</x:f>
        <x:v>00</x:v>
      </x:c>
      <x:c r="B213" s="22" t="str">
        <x:f>"D3"</x:f>
        <x:v>D3</x:v>
      </x:c>
      <x:c r="C213" s="22" t="str">
        <x:f>"0x00D3"</x:f>
        <x:v>0x00D3</x:v>
      </x:c>
      <x:c r="D213" s="21" t="str">
        <x:v>&lt;CLEAR&gt;
いけがきが かりこまれている
いけがきの中に トンネルが見える&lt;WAIT&gt;
&lt;CLEAR&gt;
もうすこし かりこめば
中に 入れそうだ・・・</x:v>
      </x:c>
      <x:c r="E213" s="19" t="str">
        <x:v>&lt;CLEAR&gt;The hedge has been trimmed.
A tunnel is visible inside it.&lt;WAIT&gt;&lt;CLEAR&gt;Trim a little more and you
should be able to get in...&lt;LINE&gt;</x:v>
      </x:c>
      <x:c r="F213" s="20" t="str"/>
      <x:c r="G213" s="20" t="str"/>
      <x:c r="H213" s="23" t="str">
        <x:v>CLEAR NEWLINE WAIT CLEAR NEWLINE LINE END</x:v>
      </x:c>
      <x:c r="I213" s="23" t="str">
        <x:v>EA:245E</x:v>
      </x:c>
      <x:c r="J213" s="23" t="str">
        <x:v>D0 54 68 65 01 68 65 64 67 65 01 68 61 73 01 62 65 65 6E 01 74 72 69 6D 6D 65 64 2E C8 41 01 74 75 6E 6E 65 6C 01 69 73 01 76 69 73 69 62 6C 65 01 69 6E 73 69 64 65 01 69 74 2E C5 D0 54 72 69 6D 01 61 01 6C 69 74 74 6C 65 01 6D 6F 72 65 01 61 6E 64 01 79 6F 75 C8 73 68 6F 75 6C 64 01 62 65 01 61 62 6C 65 01 74 6F 01 67 65 74 01 69 6E 2E 2E 2E C3 C0</x:v>
      </x:c>
      <x:c r="K213" s="23" t="str">
        <x:v>1D0 011 018 084 015 016 084 015 001 015 037 019 02E 039 022 011 038 1C8 011 018 084 015 016 028 0A1 025 001 055 06F 059 06A 084 015 090 013 038 1C5 1D0 032 012 01C 019 01B 001 015 037 019 031 084 029 1C8 0A1 025 001 08E 039 01E 012 084 01F 081 081 081 1C3 1C0</x:v>
      </x:c>
    </x:row>
    <x:row r="214">
      <x:c r="A214" s="22" t="str">
        <x:f>"00"</x:f>
        <x:v>00</x:v>
      </x:c>
      <x:c r="B214" s="22" t="str">
        <x:f>"D4"</x:f>
        <x:v>D4</x:v>
      </x:c>
      <x:c r="C214" s="22" t="str">
        <x:f>"0x00D4"</x:f>
        <x:v>0x00D4</x:v>
      </x:c>
      <x:c r="D214" s="21" t="str">
        <x:v>&lt;CLEAR&gt;
巨大な 一枚岩が
塔の入り口を ふさいでいる&lt;WAIT&gt;
&lt;CLEAR&gt;
岩の とびらには
伝説の王の もんしょうが
うきぼりに されている</x:v>
      </x:c>
      <x:c r="E214" s="19" t="str">
        <x:v>&lt;CLEAR&gt;A gigantic monolith blocks
the entrance to the tower.&lt;WAIT&gt;&lt;CLEAR&gt;The stone door bears the
crest of the legendary
king, carved in relief.</x:v>
      </x:c>
      <x:c r="F214" s="20" t="str"/>
      <x:c r="G214" s="20" t="str"/>
      <x:c r="H214" s="23" t="str">
        <x:v>CLEAR NEWLINE WAIT CLEAR NEWLINE NEWLINE END</x:v>
      </x:c>
      <x:c r="I214" s="23" t="str">
        <x:v>EA:24D3</x:v>
      </x:c>
      <x:c r="J214" s="23" t="str">
        <x:v>D0 41 01 67 69 67 61 6E 74 69 63 01 6D 6F 6E 6F 6C 69 74 68 01 62 6C 6F 63 6B 73 C8 74 68 65 01 65 6E 74 72 61 6E 63 65 01 74 6F 01 74 68 65 01 74 6F 77 65 72 2E C5 D0 54 68 65 01 73 74 6F 6E 65 01 64 6F 6F 72 01 62 65 61 72 73 01 74 68 65 C8 63 72 65 73 74 01 6F 66 01 74 68 65 01 6C 65 67 65 6E 64 61 72 79 C8 6B 69 6E 67 2C 01 63 61 72 76 65 64 01 69 6E 01 72 65 6C 69 65 66 2E C0</x:v>
      </x:c>
      <x:c r="K214" s="23" t="str">
        <x:v>1D0 0CC 0AC 024 001 0AF 115 158 084 015 1C8 154 028 08E 037 167 03C 001 02B 01A 011 084 022 011 038 1C5 1D0 158 028 001 023 084 02A 036 025 029 1C8 092 08F 028 155 028 001 032 03D 01B 041 012 084 015 1C8 012 016 084 02D 037 025 001 01A 039 022 011 038 1C0</x:v>
      </x:c>
    </x:row>
    <x:row r="215">
      <x:c r="A215" s="22" t="str">
        <x:f>"00"</x:f>
        <x:v>00</x:v>
      </x:c>
      <x:c r="B215" s="22" t="str">
        <x:f>"D5"</x:f>
        <x:v>D5</x:v>
      </x:c>
      <x:c r="C215" s="22" t="str">
        <x:f>"0x00D5"</x:f>
        <x:v>0x00D5</x:v>
      </x:c>
      <x:c r="D215" s="21" t="str">
        <x:v>&lt;CLEAR&gt;
とびらは ひらかない&lt;WAIT&gt;
&lt;CLEAR&gt;
あしもとの ゆかが
おもさに はんのうして
自動で とびらが ひらくらしい&lt;WAIT&gt;
&lt;CLEAR&gt;
大きくならないと ここは
通れないようだ</x:v>
      </x:c>
      <x:c r="E215" s="19" t="str">
        <x:v>&lt;CLEAR&gt;The door won't open.&lt;WAIT&gt;&lt;CLEAR&gt;The floor at your feet reacts
to weight and seems to
open the door automatically.&lt;WAIT&gt;&lt;CLEAR&gt;You won't get through here
unless you become bigger.&lt;LINE&gt;</x:v>
      </x:c>
      <x:c r="F215" s="20" t="str"/>
      <x:c r="G215" s="20" t="str"/>
      <x:c r="H215" s="23" t="str">
        <x:v>CLEAR WAIT CLEAR NEWLINE NEWLINE WAIT CLEAR NEWLINE LINE END</x:v>
      </x:c>
      <x:c r="I215" s="23" t="str">
        <x:v>EA:2553</x:v>
      </x:c>
      <x:c r="J215" s="23" t="str">
        <x:v>D0 54 68 65 01 64 6F 6F 72 01 77 6F 6E 27 74 01 6F 70 65 6E 2E C5 D0 54 68 65 01 66 6C 6F 6F 72 01 61 74 01 79 6F 75 72 01 66 65 65 74 01 72 65 61 63 74 73 C8 74 6F 01 77 65 69 67 68 74 01 61 6E 64 01 73 65 65 6D 73 01 74 6F C8 6F 70 65 6E 01 74 68 65 01 64 6F 6F 72 01 61 75 74 6F 6D 61 74 69 63 61 6C 6C 79 2E C5 D0 59 6F 75 01 77 6F 6E 27 74 01 67 65 74 01 74 68 72 6F 75 67 68 01 68 65 72 65 C8 75 6E 6C 65 73 73 01 79 6F 75 01 62 65 63 6F 6D 65 01 62 69 67 67 65 72 2E C3 C0</x:v>
      </x:c>
      <x:c r="K215" s="23" t="str">
        <x:v>1D0 023 084 02A 036 029 001 02A 036 015 024 011 1C5 1D0 010 01B 032 023 028 001 034 015 084 015 1C8 014 032 01A 025 001 029 03D 028 012 01B 022 1C8 0E2 0B1 084 022 001 023 084 02A 036 084 015 001 02A 036 017 036 01B 011 1C5 1D0 0AC 016 017 024 036 024 011 023 001 019 019 029 1C8 12E 039 024 011 035 012 084 01F 1C3 1C0</x:v>
      </x:c>
    </x:row>
    <x:row r="216">
      <x:c r="A216" s="22" t="str">
        <x:f>"00"</x:f>
        <x:v>00</x:v>
      </x:c>
      <x:c r="B216" s="22" t="str">
        <x:f>"D6"</x:f>
        <x:v>D6</x:v>
      </x:c>
      <x:c r="C216" s="22" t="str">
        <x:f>"0x00D6"</x:f>
        <x:v>0x00D6</x:v>
      </x:c>
      <x:c r="D216" s="21" t="str">
        <x:v>&lt;SPEAKER&gt;「ここは 武器屋だぜ!
何の 用だい?</x:v>
      </x:c>
      <x:c r="E216" s="19" t="str">
        <x:v>&lt;SPEAKER&gt;This is the weapon
shop! What can I do for you?</x:v>
      </x:c>
      <x:c r="F216" s="20" t="str"/>
      <x:c r="G216" s="20" t="str"/>
      <x:c r="H216" s="23" t="str">
        <x:v>SPEAKER NEWLINE END</x:v>
      </x:c>
      <x:c r="I216" s="23" t="str">
        <x:v>EA:25F3</x:v>
      </x:c>
      <x:c r="J216" s="23" t="str">
        <x:v>CC 54 68 69 73 01 69 73 01 74 68 65 01 77 65 61 70 6F 6E C8 73 68 6F 70 21 01 57 68 61 74 01 63 61 6E 01 49 01 64 6F 01 66 6F 72 01 79 6F 75 3F C0</x:v>
      </x:c>
      <x:c r="K216" s="23" t="str">
        <x:v>1CC 019 019 029 001 0CB 12A 0B3 084 01F 084 01D 07A 1C8 093 028 001 112 084 01F 011 079 1C0</x:v>
      </x:c>
    </x:row>
    <x:row r="217">
      <x:c r="A217" s="22" t="str">
        <x:f>"00"</x:f>
        <x:v>00</x:v>
      </x:c>
      <x:c r="B217" s="22" t="str">
        <x:f>"D7"</x:f>
        <x:v>D7</x:v>
      </x:c>
      <x:c r="C217" s="22" t="str">
        <x:f>"0x00D7"</x:f>
        <x:v>0x00D7</x:v>
      </x:c>
      <x:c r="D217" s="21" t="str">
        <x:v>&lt;SPEAKER&gt;「ここは 防具屋だぜ!
何の 用だい?</x:v>
      </x:c>
      <x:c r="E217" s="19" t="str">
        <x:v>&lt;SPEAKER&gt;This is the armor
shop! What can I do for you?</x:v>
      </x:c>
      <x:c r="F217" s="20" t="str"/>
      <x:c r="G217" s="20" t="str"/>
      <x:c r="H217" s="23" t="str">
        <x:v>SPEAKER NEWLINE END</x:v>
      </x:c>
      <x:c r="I217" s="23" t="str">
        <x:v>EA:2624</x:v>
      </x:c>
      <x:c r="J217" s="23" t="str">
        <x:v>CC 54 68 69 73 01 69 73 01 74 68 65 01 61 72 6D 6F 72 C8 73 68 6F 70 21 01 57 68 61 74 01 63 61 6E 01 49 01 64 6F 01 66 6F 72 01 79 6F 75 3F C0</x:v>
      </x:c>
      <x:c r="K217" s="23" t="str">
        <x:v>1CC 019 019 029 001 151 124 0B3 084 01F 084 01D 07A 1C8 093 028 001 112 084 01F 011 079 1C0</x:v>
      </x:c>
    </x:row>
    <x:row r="218">
      <x:c r="A218" s="22" t="str">
        <x:f>"00"</x:f>
        <x:v>00</x:v>
      </x:c>
      <x:c r="B218" s="22" t="str">
        <x:f>"D8"</x:f>
        <x:v>D8</x:v>
      </x:c>
      <x:c r="C218" s="22" t="str">
        <x:f>"0x00D8"</x:f>
        <x:v>0x00D8</x:v>
      </x:c>
      <x:c r="D218" s="21" t="str">
        <x:v>&lt;SPEAKER&gt;「うちは一発道具屋だ
どれも 使いすてだけど
あると ちょうほうするぜ</x:v>
      </x:c>
      <x:c r="E218" s="19" t="str">
        <x:v>&lt;SPEAKER&gt;One-use items, right
here! They disappear when used,
but they sure come in handy.</x:v>
      </x:c>
      <x:c r="F218" s="20" t="str"/>
      <x:c r="G218" s="20" t="str"/>
      <x:c r="H218" s="23" t="str">
        <x:v>SPEAKER NEWLINE NEWLINE END</x:v>
      </x:c>
      <x:c r="I218" s="23" t="str">
        <x:v>EA:2654</x:v>
      </x:c>
      <x:c r="J218" s="23" t="str">
        <x:v>CC 4F 6E 65 2D 75 73 65 01 69 74 65 6D 73 2C 01 72 69 67 68 74 C8 68 65 72 65 21 01 54 68 65 79 01 64 69 73 61 70 70 65 61 72 01 77 68 65 6E 01 75 73 65 64 2C C8 62 75 74 01 74 68 65 79 01 73 75 72 65 01 63 6F 6D 65 01 69 6E 01 68 61 6E 64 79 2E C0</x:v>
      </x:c>
      <x:c r="K218" s="23" t="str">
        <x:v>1CC 012 020 029 0AF 0C8 0C7 124 0B3 084 01F 1C8 084 023 039 032 001 123 011 01C 022 084 01F 018 084 023 1C8 010 038 023 001 020 041 012 02D 012 01C 038 084 01D 1C0</x:v>
      </x:c>
    </x:row>
    <x:row r="219">
      <x:c r="A219" s="22" t="str">
        <x:f>"00"</x:f>
        <x:v>00</x:v>
      </x:c>
      <x:c r="B219" s="22" t="str">
        <x:f>"D9"</x:f>
        <x:v>D9</x:v>
      </x:c>
      <x:c r="C219" s="22" t="str">
        <x:f>"0x00D9"</x:f>
        <x:v>0x00D9</x:v>
      </x:c>
      <x:c r="D219" s="21" t="str">
        <x:v>&lt;SPEAKER&gt;「ハイハイハイ
ここは おみやげ屋さん
ご用は なんですかい?</x:v>
      </x:c>
      <x:c r="E219" s="19" t="str">
        <x:v>&lt;SPEAKER&gt;Yes, yes, yes!
This is the souvenir shop.
What can I get you?</x:v>
      </x:c>
      <x:c r="F219" s="20" t="str"/>
      <x:c r="G219" s="20" t="str"/>
      <x:c r="H219" s="23" t="str">
        <x:v>SPEAKER NEWLINE NEWLINE END</x:v>
      </x:c>
      <x:c r="I219" s="23" t="str">
        <x:v>EA:26A7</x:v>
      </x:c>
      <x:c r="J219" s="23" t="str">
        <x:v>CC 59 65 73 2C 01 79 65 73 2C 01 79 65 73 21 C8 54 68 69 73 01 69 73 01 74 68 65 01 73 6F 75 76 65 6E 69 72 01 73 68 6F 70 2E C8 57 68 61 74 01 63 61 6E 01 49 01 67 65 74 01 79 6F 75 3F C0</x:v>
      </x:c>
      <x:c r="K219" s="23" t="str">
        <x:v>1CC 05B 043 05B 043 05B 043 1C8 019 019 029 001 014 02F 033 084 018 0B3 01A 03D 1C8 084 019 112 029 001 024 03D 084 022 01C 015 011 079 1C0</x:v>
      </x:c>
    </x:row>
    <x:row r="220">
      <x:c r="A220" s="22" t="str">
        <x:f>"00"</x:f>
        <x:v>00</x:v>
      </x:c>
      <x:c r="B220" s="22" t="str">
        <x:f>"DA"</x:f>
        <x:v>DA</x:v>
      </x:c>
      <x:c r="C220" s="22" t="str">
        <x:f>"0x00DA"</x:f>
        <x:v>0x00DA</x:v>
      </x:c>
      <x:c r="D220" s="21" t="str">
        <x:v>&lt;SPEAKER&gt;「ほかにも 何か
用が あるか?</x:v>
      </x:c>
      <x:c r="E220" s="19" t="str">
        <x:v>&lt;SPEAKER&gt;Need anything else?</x:v>
      </x:c>
      <x:c r="F220" s="20" t="str"/>
      <x:c r="G220" s="20" t="str"/>
      <x:c r="H220" s="23" t="str">
        <x:v>SPEAKER END</x:v>
      </x:c>
      <x:c r="I220" s="23" t="str">
        <x:v>EA:26E6</x:v>
      </x:c>
      <x:c r="J220" s="23" t="str">
        <x:v>CC 4E 65 65 64 01 61 6E 79 74 68 69 6E 67 01 65 6C 73 65 3F C0</x:v>
      </x:c>
      <x:c r="K220" s="23" t="str">
        <x:v>1CC 02D 015 025 032 001 093 015 1C8 112 084 015 001 010 038 015 079 1C0</x:v>
      </x:c>
    </x:row>
    <x:row r="221">
      <x:c r="A221" s="22" t="str">
        <x:f>"00"</x:f>
        <x:v>00</x:v>
      </x:c>
      <x:c r="B221" s="22" t="str">
        <x:f>"DB"</x:f>
        <x:v>DB</x:v>
      </x:c>
      <x:c r="C221" s="22" t="str">
        <x:f>"0x00DB"</x:f>
        <x:v>0x00DB</x:v>
      </x:c>
      <x:c r="D221" s="21" t="str">
        <x:v>&lt;SPEAKER&gt;「またどうぞ!</x:v>
      </x:c>
      <x:c r="E221" s="19" t="str">
        <x:v>&lt;SPEAKER&gt;Come again!</x:v>
      </x:c>
      <x:c r="F221" s="20" t="str"/>
      <x:c r="G221" s="20" t="str"/>
      <x:c r="H221" s="23" t="str">
        <x:v>SPEAKER END</x:v>
      </x:c>
      <x:c r="I221" s="23" t="str">
        <x:v>EA:26FB</x:v>
      </x:c>
      <x:c r="J221" s="23" t="str">
        <x:v>CC 43 6F 6D 65 01 61 67 61 69 6E 21 C0</x:v>
      </x:c>
      <x:c r="K221" s="23" t="str">
        <x:v>1CC 02E 01F 084 023 012 084 01E 07A 1C0</x:v>
      </x:c>
    </x:row>
    <x:row r="222">
      <x:c r="A222" s="22" t="str">
        <x:f>"00"</x:f>
        <x:v>00</x:v>
      </x:c>
      <x:c r="B222" s="22" t="str">
        <x:f>"DC"</x:f>
        <x:v>DC</x:v>
      </x:c>
      <x:c r="C222" s="22" t="str">
        <x:f>"0x00DC"</x:f>
        <x:v>0x00DC</x:v>
      </x:c>
      <x:c r="D222" s="21" t="str">
        <x:v>&lt;SPEAKER&gt;「どれがいい?</x:v>
      </x:c>
      <x:c r="E222" s="19" t="str">
        <x:v>&lt;SPEAKER&gt;Which one do you want?</x:v>
      </x:c>
      <x:c r="F222" s="20" t="str"/>
      <x:c r="G222" s="20" t="str"/>
      <x:c r="H222" s="23" t="str">
        <x:v>SPEAKER END</x:v>
      </x:c>
      <x:c r="I222" s="23" t="str">
        <x:v>EA:2708</x:v>
      </x:c>
      <x:c r="J222" s="23" t="str">
        <x:v>CC 57 68 69 63 68 01 6F 6E 65 01 64 6F 01 79 6F 75 01 77 61 6E 74 3F C0</x:v>
      </x:c>
      <x:c r="K222" s="23" t="str">
        <x:v>1CC 084 023 039 084 015 011 011 079 1C0</x:v>
      </x:c>
    </x:row>
    <x:row r="223">
      <x:c r="A223" s="22" t="str">
        <x:f>"00"</x:f>
        <x:v>00</x:v>
      </x:c>
      <x:c r="B223" s="22" t="str">
        <x:f>"DD"</x:f>
        <x:v>DD</x:v>
      </x:c>
      <x:c r="C223" s="22" t="str">
        <x:f>"0x00DD"</x:f>
        <x:v>0x00DD</x:v>
      </x:c>
      <x:c r="D223" s="21" t="str">
        <x:v>&lt;SPEAKER&gt;「&lt;INSERT_A&gt;だね</x:v>
      </x:c>
      <x:c r="E223" s="19" t="str">
        <x:v>&lt;SPEAKER&gt;&lt;INSERT_A&gt;, right?</x:v>
      </x:c>
      <x:c r="F223" s="20" t="str"/>
      <x:c r="G223" s="20" t="str"/>
      <x:c r="H223" s="23" t="str">
        <x:v>SPEAKER INSERT_A END</x:v>
      </x:c>
      <x:c r="I223" s="23" t="str">
        <x:v>EA:2720</x:v>
      </x:c>
      <x:c r="J223" s="23" t="str">
        <x:v>CC C4 2C 01 72 69 67 68 74 3F C0</x:v>
      </x:c>
      <x:c r="K223" s="23" t="str">
        <x:v>1CC 1C4 084 01F 027 1C0</x:v>
      </x:c>
    </x:row>
    <x:row r="224">
      <x:c r="A224" s="22" t="str">
        <x:f>"00"</x:f>
        <x:v>00</x:v>
      </x:c>
      <x:c r="B224" s="22" t="str">
        <x:f>"DE"</x:f>
        <x:v>DE</x:v>
      </x:c>
      <x:c r="C224" s="22" t="str">
        <x:f>"0x00DE"</x:f>
        <x:v>0x00DE</x:v>
      </x:c>
      <x:c r="D224" s="21" t="str">
        <x:v>&lt;SPEAKER&gt;「これは 戦いのとき
道具として 使っても
効力が あるぜ!</x:v>
      </x:c>
      <x:c r="E224" s="19" t="str">
        <x:v>&lt;SPEAKER&gt;You can also use
this as an item in battle.
It has a special effect!</x:v>
      </x:c>
      <x:c r="F224" s="20" t="str"/>
      <x:c r="G224" s="20" t="str"/>
      <x:c r="H224" s="23" t="str">
        <x:v>SPEAKER NEWLINE NEWLINE END</x:v>
      </x:c>
      <x:c r="I224" s="23" t="str">
        <x:v>EA:272B</x:v>
      </x:c>
      <x:c r="J224" s="23" t="str">
        <x:v>CC 59 6F 75 01 63 61 6E 01 61 6C 73 6F 01 75 73 65 C8 74 68 69 73 01 61 73 01 61 6E 01 69 74 65 6D 01 69 6E 01 62 61 74 74 6C 65 2E C8 49 74 01 68 61 73 01 61 01 73 70 65 63 69 61 6C 01 65 66 66 65 63 74 21 C0</x:v>
      </x:c>
      <x:c r="K224" s="23" t="str">
        <x:v>1CC 019 039 029 001 10D 011 028 023 016 1C8 0C7 124 023 01B 022 001 123 03E 022 032 1C8 186 107 084 015 001 010 038 084 01D 07A 1C0</x:v>
      </x:c>
    </x:row>
    <x:row r="225">
      <x:c r="A225" s="22" t="str">
        <x:f>"00"</x:f>
        <x:v>00</x:v>
      </x:c>
      <x:c r="B225" s="22" t="str">
        <x:f>"DF"</x:f>
        <x:v>DF</x:v>
      </x:c>
      <x:c r="C225" s="22" t="str">
        <x:f>"0x00DF"</x:f>
        <x:v>0x00DF</x:v>
      </x:c>
      <x:c r="D225" s="21" t="str">
        <x:v>&lt;SPEAKER&gt;「&lt;NUMBER&gt;エンドルだが
買うか?</x:v>
      </x:c>
      <x:c r="E225" s="19" t="str">
        <x:v>&lt;SPEAKER&gt;That will be
&lt;NUMBER&gt; Endol. Buying it?</x:v>
      </x:c>
      <x:c r="F225" s="20" t="str"/>
      <x:c r="G225" s="20" t="str"/>
      <x:c r="H225" s="23" t="str">
        <x:v>SPEAKER NEWLINE NUMBER END</x:v>
      </x:c>
      <x:c r="I225" s="23" t="str">
        <x:v>EA:2771</x:v>
      </x:c>
      <x:c r="J225" s="23" t="str">
        <x:v>CC 54 68 61 74 01 77 69 6C 6C 01 62 65 C8 C2 01 45 6E 64 6F 6C 2E 01 42 75 79 69 6E 67 01 69 74 3F C0</x:v>
      </x:c>
      <x:c r="K225" s="23" t="str">
        <x:v>1CC 1C2 045 06F 084 055 06A 084 01F 084 015 1C8 0A8 012 015 079 1C0</x:v>
      </x:c>
    </x:row>
    <x:row r="226">
      <x:c r="A226" s="22" t="str">
        <x:f>"00"</x:f>
        <x:v>00</x:v>
      </x:c>
      <x:c r="B226" s="22" t="str">
        <x:f>"E0"</x:f>
        <x:v>E0</x:v>
      </x:c>
      <x:c r="C226" s="22" t="str">
        <x:f>"0x00E0"</x:f>
        <x:v>0x00E0</x:v>
      </x:c>
      <x:c r="D226" s="21" t="str">
        <x:v>&lt;SPEAKER&gt;「誰が 持つんだね?</x:v>
      </x:c>
      <x:c r="E226" s="19" t="str">
        <x:v>&lt;SPEAKER&gt;Who will carry it?</x:v>
      </x:c>
      <x:c r="F226" s="20" t="str"/>
      <x:c r="G226" s="20" t="str"/>
      <x:c r="H226" s="23" t="str">
        <x:v>SPEAKER END</x:v>
      </x:c>
      <x:c r="I226" s="23" t="str">
        <x:v>EA:2793</x:v>
      </x:c>
      <x:c r="J226" s="23" t="str">
        <x:v>CC 57 68 6F 01 77 69 6C 6C 01 63 61 72 72 79 01 69 74 3F C0</x:v>
      </x:c>
      <x:c r="K226" s="23" t="str">
        <x:v>1CC 0FA 084 015 001 0D3 021 03D 084 01F 027 079 1C0</x:v>
      </x:c>
    </x:row>
    <x:row r="227">
      <x:c r="A227" s="22" t="str">
        <x:f>"00"</x:f>
        <x:v>00</x:v>
      </x:c>
      <x:c r="B227" s="22" t="str">
        <x:f>"E1"</x:f>
        <x:v>E1</x:v>
      </x:c>
      <x:c r="C227" s="22" t="str">
        <x:f>"0x00E1"</x:f>
        <x:v>0x00E1</x:v>
      </x:c>
      <x:c r="D227" s="21" t="str">
        <x:v>&lt;SPEAKER&gt;「いますぐ 装備してみるか?</x:v>
      </x:c>
      <x:c r="E227" s="19" t="str">
        <x:v>&lt;SPEAKER&gt;Equip it right now?</x:v>
      </x:c>
      <x:c r="F227" s="20" t="str"/>
      <x:c r="G227" s="20" t="str"/>
      <x:c r="H227" s="23" t="str">
        <x:v>SPEAKER END</x:v>
      </x:c>
      <x:c r="I227" s="23" t="str">
        <x:v>EA:27A7</x:v>
      </x:c>
      <x:c r="J227" s="23" t="str">
        <x:v>CC 45 71 75 69 70 01 69 74 01 72 69 67 68 74 01 6E 6F 77 3F C0</x:v>
      </x:c>
      <x:c r="K227" s="23" t="str">
        <x:v>1CC 011 02E 01C 084 017 001 0C2 0C4 01B 022 02F 038 015 079 1C0</x:v>
      </x:c>
    </x:row>
    <x:row r="228">
      <x:c r="A228" s="22" t="str">
        <x:f>"00"</x:f>
        <x:v>00</x:v>
      </x:c>
      <x:c r="B228" s="22" t="str">
        <x:f>"E2"</x:f>
        <x:v>E2</x:v>
      </x:c>
      <x:c r="C228" s="22" t="str">
        <x:f>"0x00E2"</x:f>
        <x:v>0x00E2</x:v>
      </x:c>
      <x:c r="D228" s="21" t="str">
        <x:v>&lt;SPEAKER&gt;「買ったら すぐ装備しないと
わすれちまうからな!</x:v>
      </x:c>
      <x:c r="E228" s="19" t="str">
        <x:v>&lt;SPEAKER&gt;If you don't equip it now,
you might forget you bought it!</x:v>
      </x:c>
      <x:c r="F228" s="20" t="str"/>
      <x:c r="G228" s="20" t="str"/>
      <x:c r="H228" s="23" t="str">
        <x:v>SPEAKER NEWLINE END</x:v>
      </x:c>
      <x:c r="I228" s="23" t="str">
        <x:v>EA:27BC</x:v>
      </x:c>
      <x:c r="J228" s="23" t="str">
        <x:v>CC 49 66 01 79 6F 75 01 64 6F 6E 27 74 01 65 71 75 69 70 01 69 74 01 6E 6F 77 2C C8 79 6F 75 01 6D 69 67 68 74 01 66 6F 72 67 65 74 01 79 6F 75 01 62 6F 75 67 68 74 01 69 74 21 C0</x:v>
      </x:c>
      <x:c r="K228" s="23" t="str">
        <x:v>1CC 0A8 03E 01F 036 001 01C 084 017 0C2 0C4 01B 024 011 023 1C8 03B 01C 039 020 02E 012 015 036 024 07A 1C0</x:v>
      </x:c>
    </x:row>
    <x:row r="229">
      <x:c r="A229" s="22" t="str">
        <x:f>"00"</x:f>
        <x:v>00</x:v>
      </x:c>
      <x:c r="B229" s="22" t="str">
        <x:f>"E3"</x:f>
        <x:v>E3</x:v>
      </x:c>
      <x:c r="C229" s="22" t="str">
        <x:f>"0x00E3"</x:f>
        <x:v>0x00E3</x:v>
      </x:c>
      <x:c r="D229" s="21" t="str">
        <x:v>&lt;SPEAKER&gt;「ほらよ! &lt;INSERT_D&gt;!</x:v>
      </x:c>
      <x:c r="E229" s="19" t="str">
        <x:v>&lt;SPEAKER&gt;Here you go, &lt;INSERT_D&gt;!</x:v>
      </x:c>
      <x:c r="F229" s="20" t="str"/>
      <x:c r="G229" s="20" t="str"/>
      <x:c r="H229" s="23" t="str">
        <x:v>SPEAKER INSERT_D END</x:v>
      </x:c>
      <x:c r="I229" s="23" t="str">
        <x:v>EA:27F8</x:v>
      </x:c>
      <x:c r="J229" s="23" t="str">
        <x:v>CC 48 65 72 65 01 79 6F 75 01 67 6F 2C 01 CF 21 C0</x:v>
      </x:c>
      <x:c r="K229" s="23" t="str">
        <x:v>1CC 02D 036 035 07A 001 1CF 07A 1C0</x:v>
      </x:c>
    </x:row>
    <x:row r="230">
      <x:c r="A230" s="22" t="str">
        <x:f>"00"</x:f>
        <x:v>00</x:v>
      </x:c>
      <x:c r="B230" s="22" t="str">
        <x:f>"E4"</x:f>
        <x:v>E4</x:v>
      </x:c>
      <x:c r="C230" s="22" t="str">
        <x:f>"0x00E4"</x:f>
        <x:v>0x00E4</x:v>
      </x:c>
      <x:c r="D230" s="21" t="str">
        <x:v>&lt;SPEAKER&gt;「じゃあ &lt;INSERT_D&gt;の
ひつぎの中に いれておくからな</x:v>
      </x:c>
      <x:c r="E230" s="19" t="str">
        <x:v>&lt;SPEAKER&gt;All right, I'll put
it in &lt;INSERT_D&gt;'s coffin.</x:v>
      </x:c>
      <x:c r="F230" s="20" t="str"/>
      <x:c r="G230" s="20" t="str"/>
      <x:c r="H230" s="23" t="str">
        <x:v>SPEAKER NEWLINE INSERT_D END</x:v>
      </x:c>
      <x:c r="I230" s="23" t="str">
        <x:v>EA:2809</x:v>
      </x:c>
      <x:c r="J230" s="23" t="str">
        <x:v>CC 41 6C 6C 01 72 69 67 68 74 2C 01 49 27 6C 6C 01 70 75 74 C8 69 74 01 69 6E 01 CF 27 73 01 63 6F 66 66 69 6E 2E C0</x:v>
      </x:c>
      <x:c r="K230" s="23" t="str">
        <x:v>1CC 084 01B 03F 010 001 1CF 028 1C8 02A 021 084 016 028 0A1 025 001 011 039 022 014 017 015 036 024 1C0</x:v>
      </x:c>
    </x:row>
    <x:row r="231">
      <x:c r="A231" s="22" t="str">
        <x:f>"00"</x:f>
        <x:v>00</x:v>
      </x:c>
      <x:c r="B231" s="22" t="str">
        <x:f>"E5"</x:f>
        <x:v>E5</x:v>
      </x:c>
      <x:c r="C231" s="22" t="str">
        <x:f>"0x00E5"</x:f>
        <x:v>0x00E5</x:v>
      </x:c>
      <x:c r="D231" s="21" t="str">
        <x:v>&lt;SPEAKER&gt;「ほかに なにか
買ってくれるか?</x:v>
      </x:c>
      <x:c r="E231" s="19" t="str">
        <x:v>&lt;SPEAKER&gt;Anything else
you want to buy?</x:v>
      </x:c>
      <x:c r="F231" s="20" t="str"/>
      <x:c r="G231" s="20" t="str"/>
      <x:c r="H231" s="23" t="str">
        <x:v>SPEAKER NEWLINE END</x:v>
      </x:c>
      <x:c r="I231" s="23" t="str">
        <x:v>EA:2830</x:v>
      </x:c>
      <x:c r="J231" s="23" t="str">
        <x:v>CC 41 6E 79 74 68 69 6E 67 01 65 6C 73 65 C8 79 6F 75 01 77 61 6E 74 01 74 6F 01 62 75 79 3F C0</x:v>
      </x:c>
      <x:c r="K231" s="23" t="str">
        <x:v>1CC 02D 015 025 001 024 025 015 1C8 0A8 03E 022 017 039 038 015 079 1C0</x:v>
      </x:c>
    </x:row>
    <x:row r="232">
      <x:c r="A232" s="22" t="str">
        <x:f>"00"</x:f>
        <x:v>00</x:v>
      </x:c>
      <x:c r="B232" s="22" t="str">
        <x:f>"E6"</x:f>
        <x:v>E6</x:v>
      </x:c>
      <x:c r="C232" s="22" t="str">
        <x:f>"0x00E6"</x:f>
        <x:v>0x00E6</x:v>
      </x:c>
      <x:c r="D232" s="21" t="str">
        <x:v>&lt;SPEAKER&gt;「なんだ もういいのか・・・</x:v>
      </x:c>
      <x:c r="E232" s="19" t="str">
        <x:v>&lt;SPEAKER&gt;What, you're
done already...?</x:v>
      </x:c>
      <x:c r="F232" s="20" t="str"/>
      <x:c r="G232" s="20" t="str"/>
      <x:c r="H232" s="23" t="str">
        <x:v>SPEAKER NEWLINE END</x:v>
      </x:c>
      <x:c r="I232" s="23" t="str">
        <x:v>EA:2850</x:v>
      </x:c>
      <x:c r="J232" s="23" t="str">
        <x:v>CC 57 68 61 74 2C 01 79 6F 75 27 72 65 C8 64 6F 6E 65 01 61 6C 72 65 61 64 79 2E 2E 2E 3F C0</x:v>
      </x:c>
      <x:c r="K232" s="23" t="str">
        <x:v>1CC 024 03D 084 01F 001 032 012 011 011 028 015 081 081 081 1C0</x:v>
      </x:c>
    </x:row>
    <x:row r="233">
      <x:c r="A233" s="22" t="str">
        <x:f>"00"</x:f>
        <x:v>00</x:v>
      </x:c>
      <x:c r="B233" s="22" t="str">
        <x:f>"E7"</x:f>
        <x:v>E7</x:v>
      </x:c>
      <x:c r="C233" s="22" t="str">
        <x:f>"0x00E7"</x:f>
        <x:v>0x00E7</x:v>
      </x:c>
      <x:c r="D233" s="21" t="str">
        <x:v>&lt;SPEAKER&gt;「&lt;INSERT_D&gt;は これを
装備できないが
それでも いいか?</x:v>
      </x:c>
      <x:c r="E233" s="19" t="str">
        <x:v>&lt;SPEAKER&gt;&lt;INSERT_D&gt; can't
equip this. Buy it anyway?</x:v>
      </x:c>
      <x:c r="F233" s="20" t="str"/>
      <x:c r="G233" s="20" t="str"/>
      <x:c r="H233" s="23" t="str">
        <x:v>SPEAKER INSERT_D NEWLINE END</x:v>
      </x:c>
      <x:c r="I233" s="23" t="str">
        <x:v>EA:286F</x:v>
      </x:c>
      <x:c r="J233" s="23" t="str">
        <x:v>CC CF 01 63 61 6E 27 74 C8 65 71 75 69 70 01 74 68 69 73 2E 01 42 75 79 01 69 74 01 61 6E 79 77 61 79 3F C0</x:v>
      </x:c>
      <x:c r="K233" s="23" t="str">
        <x:v>1CC 1CF 029 001 019 039 03C 1C8 0C2 0C4 084 022 016 024 011 084 015 1C8 01E 039 084 022 032 001 011 011 015 079 1C0</x:v>
      </x:c>
    </x:row>
    <x:row r="234">
      <x:c r="A234" s="22" t="str">
        <x:f>"00"</x:f>
        <x:v>00</x:v>
      </x:c>
      <x:c r="B234" s="22" t="str">
        <x:f>"E8"</x:f>
        <x:v>E8</x:v>
      </x:c>
      <x:c r="C234" s="22" t="str">
        <x:f>"0x00E8"</x:f>
        <x:v>0x00E8</x:v>
      </x:c>
      <x:c r="D234" s="21" t="str">
        <x:v>&lt;SPEAKER&gt;「ん? &lt;INSERT_D&gt;は
もう これを 持てないようだぞ?</x:v>
      </x:c>
      <x:c r="E234" s="19" t="str">
        <x:v>&lt;SPEAKER&gt;Hmm? &lt;INSERT_D&gt; can't
carry anything else right now.</x:v>
      </x:c>
      <x:c r="F234" s="20" t="str"/>
      <x:c r="G234" s="20" t="str"/>
      <x:c r="H234" s="23" t="str">
        <x:v>SPEAKER INSERT_D NEWLINE END</x:v>
      </x:c>
      <x:c r="I234" s="23" t="str">
        <x:v>EA:2893</x:v>
      </x:c>
      <x:c r="J234" s="23" t="str">
        <x:v>CC 48 6D 6D 3F 01 CF 01 63 61 6E 27 74 C8 63 61 72 72 79 01 61 6E 79 74 68 69 6E 67 01 65 6C 73 65 01 72 69 67 68 74 01 6E 6F 77 2E C0</x:v>
      </x:c>
      <x:c r="K234" s="23" t="str">
        <x:v>1CC 03D 079 001 1CF 029 1C8 032 012 001 019 039 03C 001 0D3 022 024 011 035 012 084 01F 084 01E 079 1C0</x:v>
      </x:c>
    </x:row>
    <x:row r="235">
      <x:c r="A235" s="22" t="str">
        <x:f>"00"</x:f>
        <x:v>00</x:v>
      </x:c>
      <x:c r="B235" s="22" t="str">
        <x:f>"E9"</x:f>
        <x:v>E9</x:v>
      </x:c>
      <x:c r="C235" s="22" t="str">
        <x:f>"0x00E9"</x:f>
        <x:v>0x00E9</x:v>
      </x:c>
      <x:c r="D235" s="21" t="str">
        <x:v>&lt;SPEAKER&gt;「ほかの人が 持つか?</x:v>
      </x:c>
      <x:c r="E235" s="19" t="str">
        <x:v>&lt;SPEAKER&gt;Want someone
else to carry it?</x:v>
      </x:c>
      <x:c r="F235" s="20" t="str"/>
      <x:c r="G235" s="20" t="str"/>
      <x:c r="H235" s="23" t="str">
        <x:v>SPEAKER NEWLINE END</x:v>
      </x:c>
      <x:c r="I235" s="23" t="str">
        <x:v>EA:28C0</x:v>
      </x:c>
      <x:c r="J235" s="23" t="str">
        <x:v>CC 57 61 6E 74 01 73 6F 6D 65 6F 6E 65 C8 65 6C 73 65 01 74 6F 01 63 61 72 72 79 01 69 74 3F C0</x:v>
      </x:c>
      <x:c r="K235" s="23" t="str">
        <x:v>1CC 02D 015 028 091 084 015 001 0D3 021 015 079 1C0</x:v>
      </x:c>
    </x:row>
    <x:row r="236">
      <x:c r="A236" s="22" t="str">
        <x:f>"00"</x:f>
        <x:v>00</x:v>
      </x:c>
      <x:c r="B236" s="22" t="str">
        <x:f>"EA"</x:f>
        <x:v>EA</x:v>
      </x:c>
      <x:c r="C236" s="22" t="str">
        <x:f>"0x00EA"</x:f>
        <x:v>0x00EA</x:v>
      </x:c>
      <x:c r="D236" s="21" t="str">
        <x:v>&lt;SPEAKER&gt;「だけど これを買うには
ゼニが たりねえようだな</x:v>
      </x:c>
      <x:c r="E236" s="19" t="str">
        <x:v>&lt;SPEAKER&gt;Looks like you don't
have enough money for this.</x:v>
      </x:c>
      <x:c r="F236" s="20" t="str"/>
      <x:c r="G236" s="20" t="str"/>
      <x:c r="H236" s="23" t="str">
        <x:v>SPEAKER NEWLINE END</x:v>
      </x:c>
      <x:c r="I236" s="23" t="str">
        <x:v>EA:28E0</x:v>
      </x:c>
      <x:c r="J236" s="23" t="str">
        <x:v>CC 4C 6F 6F 6B 73 01 6C 69 6B 65 01 79 6F 75 01 64 6F 6E 27 74 C8 68 61 76 65 01 65 6E 6F 75 67 68 01 6D 6F 6E 65 79 01 66 6F 72 01 74 68 69 73 2E C0</x:v>
      </x:c>
      <x:c r="K236" s="23" t="str">
        <x:v>1CC 084 01F 018 084 023 001 019 039 03C 0A8 012 025 029 1C8 084 04F 057 084 015 001 01F 037 027 013 035 012 084 01F 024 1C0</x:v>
      </x:c>
    </x:row>
    <x:row r="237">
      <x:c r="A237" s="22" t="str">
        <x:f>"00"</x:f>
        <x:v>00</x:v>
      </x:c>
      <x:c r="B237" s="22" t="str">
        <x:f>"EB"</x:f>
        <x:v>EB</x:v>
      </x:c>
      <x:c r="C237" s="22" t="str">
        <x:f>"0x00EB"</x:f>
        <x:v>0x00EB</x:v>
      </x:c>
      <x:c r="D237" s="21" t="str">
        <x:v>&lt;SPEAKER&gt;「ん? みんな
もう これを 持てないようだぞ?</x:v>
      </x:c>
      <x:c r="E237" s="19" t="str">
        <x:v>&lt;SPEAKER&gt;Hmm? Nobody can
carry anything else right now.</x:v>
      </x:c>
      <x:c r="F237" s="20" t="str"/>
      <x:c r="G237" s="20" t="str"/>
      <x:c r="H237" s="23" t="str">
        <x:v>SPEAKER NEWLINE END</x:v>
      </x:c>
      <x:c r="I237" s="23" t="str">
        <x:v>EA:2912</x:v>
      </x:c>
      <x:c r="J237" s="23" t="str">
        <x:v>CC 48 6D 6D 3F 01 4E 6F 62 6F 64 79 01 63 61 6E C8 63 61 72 72 79 01 61 6E 79 74 68 69 6E 67 01 65 6C 73 65 01 72 69 67 68 74 01 6E 6F 77 2E C0</x:v>
      </x:c>
      <x:c r="K237" s="23" t="str">
        <x:v>1CC 03D 079 001 02F 03D 024 1C8 032 012 001 019 039 03C 001 0D3 022 024 011 035 012 084 01F 084 01E 079 1C0</x:v>
      </x:c>
    </x:row>
    <x:row r="238">
      <x:c r="A238" s="22" t="str">
        <x:f>"00"</x:f>
        <x:v>00</x:v>
      </x:c>
      <x:c r="B238" s="22" t="str">
        <x:f>"EC"</x:f>
        <x:v>EC</x:v>
      </x:c>
      <x:c r="C238" s="22" t="str">
        <x:f>"0x00EC"</x:f>
        <x:v>0x00EC</x:v>
      </x:c>
      <x:c r="D238" s="21" t="str">
        <x:v>&lt;SPEAKER&gt;「誰の どのにもつを
売るんだね?</x:v>
      </x:c>
      <x:c r="E238" s="19" t="str">
        <x:v>&lt;SPEAKER&gt;Whose item
are you selling?</x:v>
      </x:c>
      <x:c r="F238" s="20" t="str"/>
      <x:c r="G238" s="20" t="str"/>
      <x:c r="H238" s="23" t="str">
        <x:v>SPEAKER NEWLINE END</x:v>
      </x:c>
      <x:c r="I238" s="23" t="str">
        <x:v>EA:2942</x:v>
      </x:c>
      <x:c r="J238" s="23" t="str">
        <x:v>CC 57 68 6F 73 65 01 69 74 65 6D C8 61 72 65 01 79 6F 75 01 73 65 6C 6C 69 6E 67 3F C0</x:v>
      </x:c>
      <x:c r="K238" s="23" t="str">
        <x:v>1CC 0FA 028 001 084 023 028 025 032 021 03C 1C8 0A2 038 03D 084 01F 027 079 1C0</x:v>
      </x:c>
    </x:row>
    <x:row r="239">
      <x:c r="A239" s="22" t="str">
        <x:f>"00"</x:f>
        <x:v>00</x:v>
      </x:c>
      <x:c r="B239" s="22" t="str">
        <x:f>"ED"</x:f>
        <x:v>ED</x:v>
      </x:c>
      <x:c r="C239" s="22" t="str">
        <x:f>"0x00ED"</x:f>
        <x:v>0x00ED</x:v>
      </x:c>
      <x:c r="D239" s="21" t="str">
        <x:v>&lt;SPEAKER&gt;「どのにもつを 売るんだね?</x:v>
      </x:c>
      <x:c r="E239" s="19" t="str">
        <x:v>&lt;SPEAKER&gt;Which item
are you selling?</x:v>
      </x:c>
      <x:c r="F239" s="20" t="str"/>
      <x:c r="G239" s="20" t="str"/>
      <x:c r="H239" s="23" t="str">
        <x:v>SPEAKER NEWLINE END</x:v>
      </x:c>
      <x:c r="I239" s="23" t="str">
        <x:v>EA:295F</x:v>
      </x:c>
      <x:c r="J239" s="23" t="str">
        <x:v>CC 57 68 69 63 68 01 69 74 65 6D C8 61 72 65 01 79 6F 75 01 73 65 6C 6C 69 6E 67 3F C0</x:v>
      </x:c>
      <x:c r="K239" s="23" t="str">
        <x:v>1CC 084 023 028 025 032 021 03C 001 0A2 038 03D 084 01F 027 079 1C0</x:v>
      </x:c>
    </x:row>
    <x:row r="240">
      <x:c r="A240" s="22" t="str">
        <x:f>"00"</x:f>
        <x:v>00</x:v>
      </x:c>
      <x:c r="B240" s="22" t="str">
        <x:f>"EE"</x:f>
        <x:v>EE</x:v>
      </x:c>
      <x:c r="C240" s="22" t="str">
        <x:f>"0x00EE"</x:f>
        <x:v>0x00EE</x:v>
      </x:c>
      <x:c r="D240" s="21" t="str">
        <x:v>&lt;SPEAKER&gt;「&lt;INSERT_A&gt;かあ・・・&lt;WAIT&gt;&lt;SPEAKER&gt;「それ &lt;NUMBER&gt;エンドルで
引き取るが どうだ?</x:v>
      </x:c>
      <x:c r="E240" s="19" t="str">
        <x:v>&lt;SPEAKER&gt;&lt;INSERT_A&gt;, huh...?&lt;WAIT&gt;&lt;SPEAKER&gt;I'll give you
&lt;NUMBER&gt; Endol for it. Deal?</x:v>
      </x:c>
      <x:c r="F240" s="20" t="str"/>
      <x:c r="G240" s="20" t="str"/>
      <x:c r="H240" s="23" t="str">
        <x:v>SPEAKER INSERT_A WAIT SPEAKER NEWLINE NUMBER END</x:v>
      </x:c>
      <x:c r="I240" s="23" t="str">
        <x:v>EA:297C</x:v>
      </x:c>
      <x:c r="J240" s="23" t="str">
        <x:v>CC C4 2C 01 68 75 68 2E 2E 2E 3F C5 CC 49 27 6C 6C 01 67 69 76 65 01 79 6F 75 C8 C2 01 45 6E 64 6F 6C 01 66 6F 72 01 69 74 2E 01 44 65 61 6C 3F C0</x:v>
      </x:c>
      <x:c r="K240" s="23" t="str">
        <x:v>1CC 1C4 015 010 081 081 081 1C5 1CC 01E 039 001 1C2 045 06F 084 055 06A 084 022 1C8 100 016 0FB 038 084 015 001 084 023 012 084 01F 079 1C0</x:v>
      </x:c>
    </x:row>
    <x:row r="241">
      <x:c r="A241" s="22" t="str">
        <x:f>"00"</x:f>
        <x:v>00</x:v>
      </x:c>
      <x:c r="B241" s="22" t="str">
        <x:f>"EF"</x:f>
        <x:v>EF</x:v>
      </x:c>
      <x:c r="C241" s="22" t="str">
        <x:f>"0x00EF"</x:f>
        <x:v>0x00EF</x:v>
      </x:c>
      <x:c r="D241" s="21" t="str">
        <x:v>&lt;SPEAKER&gt;「まいど サンキュー!</x:v>
      </x:c>
      <x:c r="E241" s="19" t="str">
        <x:v>&lt;SPEAKER&gt;Thanks for your business!</x:v>
      </x:c>
      <x:c r="F241" s="20" t="str"/>
      <x:c r="G241" s="20" t="str"/>
      <x:c r="H241" s="23" t="str">
        <x:v>SPEAKER END</x:v>
      </x:c>
      <x:c r="I241" s="23" t="str">
        <x:v>EA:29AD</x:v>
      </x:c>
      <x:c r="J241" s="23" t="str">
        <x:v>CC 54 68 61 6E 6B 73 01 66 6F 72 01 79 6F 75 72 01 62 75 73 69 6E 65 73 73 21 C0</x:v>
      </x:c>
      <x:c r="K241" s="23" t="str">
        <x:v>1CC 02E 011 084 023 001 04C 06F 048 072 078 07A 1C0</x:v>
      </x:c>
    </x:row>
    <x:row r="242">
      <x:c r="A242" s="22" t="str">
        <x:f>"00"</x:f>
        <x:v>00</x:v>
      </x:c>
      <x:c r="B242" s="22" t="str">
        <x:f>"F0"</x:f>
        <x:v>F0</x:v>
      </x:c>
      <x:c r="C242" s="22" t="str">
        <x:f>"0x00F0"</x:f>
        <x:v>0x00F0</x:v>
      </x:c>
      <x:c r="D242" s="21" t="str">
        <x:v>&lt;SPEAKER&gt;「ほかの物を 売ってくれるか?</x:v>
      </x:c>
      <x:c r="E242" s="19" t="str">
        <x:v>&lt;SPEAKER&gt;Anything else
you want to sell?</x:v>
      </x:c>
      <x:c r="F242" s="20" t="str"/>
      <x:c r="G242" s="20" t="str"/>
      <x:c r="H242" s="23" t="str">
        <x:v>SPEAKER NEWLINE END</x:v>
      </x:c>
      <x:c r="I242" s="23" t="str">
        <x:v>EA:29C8</x:v>
      </x:c>
      <x:c r="J242" s="23" t="str">
        <x:v>CC 41 6E 79 74 68 69 6E 67 01 65 6C 73 65 C8 79 6F 75 01 77 61 6E 74 01 74 6F 01 73 65 6C 6C 3F C0</x:v>
      </x:c>
      <x:c r="K242" s="23" t="str">
        <x:v>1CC 02D 015 028 08B 03C 001 0A2 03E 022 017 039 038 015 079 1C0</x:v>
      </x:c>
    </x:row>
    <x:row r="243">
      <x:c r="A243" s="22" t="str">
        <x:f>"00"</x:f>
        <x:v>00</x:v>
      </x:c>
      <x:c r="B243" s="22" t="str">
        <x:f>"F1"</x:f>
        <x:v>F1</x:v>
      </x:c>
      <x:c r="C243" s="22" t="str">
        <x:f>"0x00F1"</x:f>
        <x:v>0x00F1</x:v>
      </x:c>
      <x:c r="D243" s="21" t="str">
        <x:v>&lt;SPEAKER&gt;「ん? 誰も
何も 持っていないようだぞ</x:v>
      </x:c>
      <x:c r="E243" s="19" t="str">
        <x:v>&lt;SPEAKER&gt;Hmm? Nobody seems
to be carrying anything.</x:v>
      </x:c>
      <x:c r="F243" s="20" t="str"/>
      <x:c r="G243" s="20" t="str"/>
      <x:c r="H243" s="23" t="str">
        <x:v>SPEAKER NEWLINE END</x:v>
      </x:c>
      <x:c r="I243" s="23" t="str">
        <x:v>EA:29E9</x:v>
      </x:c>
      <x:c r="J243" s="23" t="str">
        <x:v>CC 48 6D 6D 3F 01 4E 6F 62 6F 64 79 01 73 65 65 6D 73 C8 74 6F 01 62 65 01 63 61 72 72 79 69 6E 67 01 61 6E 79 74 68 69 6E 67 2E C0</x:v>
      </x:c>
      <x:c r="K243" s="23" t="str">
        <x:v>1CC 03D 079 001 0FA 032 1C8 093 032 001 0D3 03E 022 011 024 011 035 012 084 01F 084 01E 1C0</x:v>
      </x:c>
    </x:row>
    <x:row r="244">
      <x:c r="A244" s="22" t="str">
        <x:f>"00"</x:f>
        <x:v>00</x:v>
      </x:c>
      <x:c r="B244" s="22" t="str">
        <x:f>"F2"</x:f>
        <x:v>F2</x:v>
      </x:c>
      <x:c r="C244" s="22" t="str">
        <x:f>"0x00F2"</x:f>
        <x:v>0x00F2</x:v>
      </x:c>
      <x:c r="D244" s="21" t="str">
        <x:v>&lt;SPEAKER&gt;「ん?
何も 持っていないようだぞ</x:v>
      </x:c>
      <x:c r="E244" s="19" t="str">
        <x:v>&lt;SPEAKER&gt;Hmm? Looks
like you have nothing.</x:v>
      </x:c>
      <x:c r="F244" s="20" t="str"/>
      <x:c r="G244" s="20" t="str"/>
      <x:c r="H244" s="23" t="str">
        <x:v>SPEAKER NEWLINE END</x:v>
      </x:c>
      <x:c r="I244" s="23" t="str">
        <x:v>EA:2A15</x:v>
      </x:c>
      <x:c r="J244" s="23" t="str">
        <x:v>CC 48 6D 6D 3F 01 4C 6F 6F 6B 73 C8 6C 69 6B 65 01 79 6F 75 01 68 61 76 65 01 6E 6F 74 68 69 6E 67 2E C0</x:v>
      </x:c>
      <x:c r="K244" s="23" t="str">
        <x:v>1CC 03D 079 1C8 093 032 001 0D3 03E 022 011 024 011 035 012 084 01F 084 01E 1C0</x:v>
      </x:c>
    </x:row>
    <x:row r="245">
      <x:c r="A245" s="22" t="str">
        <x:f>"00"</x:f>
        <x:v>00</x:v>
      </x:c>
      <x:c r="B245" s="22" t="str">
        <x:f>"F3"</x:f>
        <x:v>F3</x:v>
      </x:c>
      <x:c r="C245" s="22" t="str">
        <x:f>"0x00F3"</x:f>
        <x:v>0x00F3</x:v>
      </x:c>
      <x:c r="D245" s="21" t="str">
        <x:v>&lt;SPEAKER&gt;「むむむ・・・ これは!
ちょっと 引き受けられんね!&lt;WAIT&gt;&lt;SPEAKER&gt;「売るのはやめて 持ってたほうが
いいと思うぞ</x:v>
      </x:c>
      <x:c r="E245" s="19" t="str">
        <x:v>&lt;SPEAKER&gt;Hmm... Now this
is something! I can't
take it off your hands.&lt;WAIT&gt;&lt;SPEAKER&gt;Better keep it
instead of trying to sell it.</x:v>
      </x:c>
      <x:c r="F245" s="20" t="str"/>
      <x:c r="G245" s="20" t="str"/>
      <x:c r="H245" s="23" t="str">
        <x:v>SPEAKER NEWLINE NEWLINE WAIT SPEAKER NEWLINE END</x:v>
      </x:c>
      <x:c r="I245" s="23" t="str">
        <x:v>EA:2A38</x:v>
      </x:c>
      <x:c r="J245" s="23" t="str">
        <x:v>CC 48 6D 6D 2E 2E 2E 01 4E 6F 77 01 74 68 69 73 C8 69 73 01 73 6F 6D 65 74 68 69 6E 67 21 01 49 01 63 61 6E 27 74 C8 74 61 6B 65 01 69 74 01 6F 66 66 01 79 6F 75 72 01 68 61 6E 64 73 2E C5 CC 42 65 74 74 65 72 01 6B 65 65 70 01 69 74 C8 69 6E 73 74 65 61 64 01 6F 66 01 74 72 79 69 6E 67 01 74 6F 01 73 65 6C 6C 01 69 74 2E C0</x:v>
      </x:c>
      <x:c r="K245" s="23" t="str">
        <x:v>1CC 030 030 030 081 081 081 001 019 039 029 07A 1C8 020 041 03E 023 001 100 016 0F5 018 036 039 03D 027 07A 1C5 1CC 0A2 038 028 029 033 031 022 001 0D3 03E 022 01F 02D 012 084 015 1C8 011 011 023 10F 012 084 01E 1C0</x:v>
      </x:c>
    </x:row>
    <x:row r="246">
      <x:c r="A246" s="22" t="str">
        <x:f>"00"</x:f>
        <x:v>00</x:v>
      </x:c>
      <x:c r="B246" s="22" t="str">
        <x:f>"F4"</x:f>
        <x:v>F4</x:v>
      </x:c>
      <x:c r="C246" s="22" t="str">
        <x:f>"0x00F4"</x:f>
        <x:v>0x00F4</x:v>
      </x:c>
      <x:c r="D246" s="21" t="str">
        <x:v>&lt;SPEAKER&gt;「うおりゃあ とりゃー!
だめだあ とれない
どうやら とりつかれてるな&lt;WAIT&gt;&lt;SPEAKER&gt;「教会で おはらいをしてから
また来いよ</x:v>
      </x:c>
      <x:c r="E246" s="19" t="str">
        <x:v>&lt;SPEAKER&gt;Hrrngh! Hyaaah!
No good, it won't come
off! Looks like it's cursed.&lt;WAIT&gt;&lt;SPEAKER&gt;Get it exorcised at
a church, then come back.</x:v>
      </x:c>
      <x:c r="F246" s="20" t="str"/>
      <x:c r="G246" s="20" t="str"/>
      <x:c r="H246" s="23" t="str">
        <x:v>SPEAKER NEWLINE NEWLINE WAIT SPEAKER NEWLINE END</x:v>
      </x:c>
      <x:c r="I246" s="23" t="str">
        <x:v>EA:2AA5</x:v>
      </x:c>
      <x:c r="J246" s="23" t="str">
        <x:v>CC 48 72 72 6E 67 68 21 01 48 79 61 61 61 68 21 C8 4E 6F 01 67 6F 6F 64 2C 01 69 74 01 77 6F 6E 27 74 01 63 6F 6D 65 C8 6F 66 66 21 01 4C 6F 6F 6B 73 01 6C 69 6B 65 01 69 74 27 73 01 63 75 72 73 65 64 2E C5 CC 47 65 74 01 69 74 01 65 78 6F 72 63 69 73 65 64 01 61 74 C8 61 01 63 68 75 72 63 68 2C 01 74 68 65 6E 01 63 6F 6D 65 01 62 61 63 6B 2E C0</x:v>
      </x:c>
      <x:c r="K246" s="23" t="str">
        <x:v>1CC 012 014 037 03F 010 001 023 037 03F 078 07A 1C8 084 01F 031 084 01F 010 001 023 039 024 011 1C8 084 023 012 033 036 001 023 037 021 015 039 022 038 024 1C5 1CC 122 11E 084 022 001 014 029 036 011 03C 01B 022 015 036 1C8 02E 01F 097 011 035 1C0</x:v>
      </x:c>
    </x:row>
    <x:row r="247">
      <x:c r="A247" s="22" t="str">
        <x:f>"00"</x:f>
        <x:v>00</x:v>
      </x:c>
      <x:c r="B247" s="22" t="str">
        <x:f>"F5"</x:f>
        <x:v>F5</x:v>
      </x:c>
      <x:c r="C247" s="22" t="str">
        <x:f>"0x00F5"</x:f>
        <x:v>0x00F5</x:v>
      </x:c>
      <x:c r="D247" s="21" t="str">
        <x:v>&lt;SPEAKER&gt;「冒険の宿に ようこそ!&lt;WAIT&gt;&lt;SPEAKER&gt;「いっぱく &lt;NUMBER&gt;エンドルですが
ご宿泊なさいますか?</x:v>
      </x:c>
      <x:c r="E247" s="19" t="str">
        <x:v>&lt;SPEAKER&gt;Welcome to
the Adventurer's Inn!&lt;WAIT&gt;&lt;SPEAKER&gt;A room is &lt;NUMBER&gt; Endol
a night. Will you be staying?</x:v>
      </x:c>
      <x:c r="F247" s="20" t="str"/>
      <x:c r="G247" s="20" t="str"/>
      <x:c r="H247" s="23" t="str">
        <x:v>SPEAKER NEWLINE WAIT SPEAKER NUMBER NEWLINE END</x:v>
      </x:c>
      <x:c r="I247" s="23" t="str">
        <x:v>EA:2B19</x:v>
      </x:c>
      <x:c r="J247" s="23" t="str">
        <x:v>CC 57 65 6C 63 6F 6D 65 01 74 6F C8 74 68 65 01 41 64 76 65 6E 74 75 72 65 72 27 73 01 49 6E 6E 21 C5 CC 41 01 72 6F 6F 6D 01 69 73 01 C2 01 45 6E 64 6F 6C C8 61 01 6E 69 67 68 74 2E 01 57 69 6C 6C 01 79 6F 75 01 62 65 01 73 74 61 79 69 6E 67 3F C0</x:v>
      </x:c>
      <x:c r="K247" s="23" t="str">
        <x:v>1CC 0BA 0BB 028 182 025 001 035 012 019 01E 07A 1C5 1CC 011 03E 083 029 017 001 1C2 045 06F 084 055 06A 084 022 01C 084 015 1C8 084 019 182 121 024 01A 011 02E 01C 015 079 1C0</x:v>
      </x:c>
    </x:row>
    <x:row r="248">
      <x:c r="A248" s="22" t="str">
        <x:f>"00"</x:f>
        <x:v>00</x:v>
      </x:c>
      <x:c r="B248" s="22" t="str">
        <x:f>"F6"</x:f>
        <x:v>F6</x:v>
      </x:c>
      <x:c r="C248" s="22" t="str">
        <x:f>"0x00F6"</x:f>
        <x:v>0x00F6</x:v>
      </x:c>
      <x:c r="D248" s="21" t="str">
        <x:v>&lt;SPEAKER&gt;「それでは ごゆるりと
おくつろぎください</x:v>
      </x:c>
      <x:c r="E248" s="19" t="str">
        <x:v>&lt;SPEAKER&gt;Then please relax and
make yourself comfortable.</x:v>
      </x:c>
      <x:c r="F248" s="20" t="str"/>
      <x:c r="G248" s="20" t="str"/>
      <x:c r="H248" s="23" t="str">
        <x:v>SPEAKER NEWLINE END</x:v>
      </x:c>
      <x:c r="I248" s="23" t="str">
        <x:v>EA:2B6C</x:v>
      </x:c>
      <x:c r="J248" s="23" t="str">
        <x:v>CC 54 68 65 6E 01 70 6C 65 61 73 65 01 72 65 6C 61 78 01 61 6E 64 C8 6D 61 6B 65 01 79 6F 75 72 73 65 6C 66 01 63 6F 6D 66 6F 72 74 61 62 6C 65 2E C0</x:v>
      </x:c>
      <x:c r="K248" s="23" t="str">
        <x:v>1CC 01E 039 084 022 029 001 084 019 034 038 037 023 1C8 014 017 021 03A 084 016 017 084 01F 01A 011 1C0</x:v>
      </x:c>
    </x:row>
    <x:row r="249">
      <x:c r="A249" s="22" t="str">
        <x:f>"00"</x:f>
        <x:v>00</x:v>
      </x:c>
      <x:c r="B249" s="22" t="str">
        <x:f>"F7"</x:f>
        <x:v>F7</x:v>
      </x:c>
      <x:c r="C249" s="22" t="str">
        <x:f>"0x00F7"</x:f>
        <x:v>0x00F7</x:v>
      </x:c>
      <x:c r="D249" s="21" t="str">
        <x:v>&lt;SPEAKER&gt;「おめざめでございますか
きょうも いい日でありますように!</x:v>
      </x:c>
      <x:c r="E249" s="19" t="str">
        <x:v>&lt;SPEAKER&gt;Awake already?
May today be a good day!</x:v>
      </x:c>
      <x:c r="F249" s="20" t="str"/>
      <x:c r="G249" s="20" t="str"/>
      <x:c r="H249" s="23" t="str">
        <x:v>SPEAKER NEWLINE END</x:v>
      </x:c>
      <x:c r="I249" s="23" t="str">
        <x:v>EA:2B9E</x:v>
      </x:c>
      <x:c r="J249" s="23" t="str">
        <x:v>CC 41 77 61 6B 65 01 61 6C 72 65 61 64 79 3F C8 4D 61 79 01 74 6F 64 61 79 01 62 65 01 61 01 67 6F 6F 64 01 64 61 79 21 C0</x:v>
      </x:c>
      <x:c r="K249" s="23" t="str">
        <x:v>1CC 014 031 084 01A 031 084 022 084 019 084 01A 011 02E 01C 015 1C8 016 041 012 032 001 011 011 120 084 022 010 037 02E 01C 035 012 025 07A 1C0</x:v>
      </x:c>
    </x:row>
    <x:row r="250">
      <x:c r="A250" s="22" t="str">
        <x:f>"00"</x:f>
        <x:v>00</x:v>
      </x:c>
      <x:c r="B250" s="22" t="str">
        <x:f>"F8"</x:f>
        <x:v>F8</x:v>
      </x:c>
      <x:c r="C250" s="22" t="str">
        <x:f>"0x00F8"</x:f>
        <x:v>0x00F8</x:v>
      </x:c>
      <x:c r="D250" s="21" t="str">
        <x:v>&lt;SPEAKER&gt;「でも
お金がたりないようですね・・・</x:v>
      </x:c>
      <x:c r="E250" s="19" t="str">
        <x:v>&lt;SPEAKER&gt;But... it seems
you're short on money.</x:v>
      </x:c>
      <x:c r="F250" s="20" t="str"/>
      <x:c r="G250" s="20" t="str"/>
      <x:c r="H250" s="23" t="str">
        <x:v>SPEAKER NEWLINE END</x:v>
      </x:c>
      <x:c r="I250" s="23" t="str">
        <x:v>EA:2BC7</x:v>
      </x:c>
      <x:c r="J250" s="23" t="str">
        <x:v>CC 42 75 74 2E 2E 2E 01 69 74 01 73 65 65 6D 73 C8 79 6F 75 27 72 65 01 73 68 6F 72 74 01 6F 6E 01 6D 6F 6E 65 79 2E C0</x:v>
      </x:c>
      <x:c r="K250" s="23" t="str">
        <x:v>1CC 084 022 032 1C8 014 094 084 015 01F 037 024 011 035 012 084 022 01C 027 081 081 081 1C0</x:v>
      </x:c>
    </x:row>
    <x:row r="251">
      <x:c r="A251" s="22" t="str">
        <x:f>"00"</x:f>
        <x:v>00</x:v>
      </x:c>
      <x:c r="B251" s="22" t="str">
        <x:f>"F9"</x:f>
        <x:v>F9</x:v>
      </x:c>
      <x:c r="C251" s="22" t="str">
        <x:f>"0x00F9"</x:f>
        <x:v>0x00F9</x:v>
      </x:c>
      <x:c r="D251" s="21" t="str">
        <x:v>&lt;SPEAKER&gt;「ありがとうございました
またの ごりようを
おまちしております</x:v>
      </x:c>
      <x:c r="E251" s="19" t="str">
        <x:v>&lt;SPEAKER&gt;Thank you very much.
We hope to see you again.</x:v>
      </x:c>
      <x:c r="F251" s="20" t="str"/>
      <x:c r="G251" s="20" t="str"/>
      <x:c r="H251" s="23" t="str">
        <x:v>SPEAKER NEWLINE END</x:v>
      </x:c>
      <x:c r="I251" s="23" t="str">
        <x:v>EA:2BEF</x:v>
      </x:c>
      <x:c r="J251" s="23" t="str">
        <x:v>CC 54 68 61 6E 6B 01 79 6F 75 01 76 65 72 79 01 6D 75 63 68 2E C8 57 65 01 68 6F 70 65 01 74 6F 01 73 65 65 01 79 6F 75 01 61 67 61 69 6E 2E C0</x:v>
      </x:c>
      <x:c r="K251" s="23" t="str">
        <x:v>1CC 010 037 084 015 023 012 084 019 084 01A 011 02E 01B 01F 1C8 02E 01F 028 001 084 019 037 035 012 03C 1C8 014 02E 020 01B 022 014 037 02E 01C 1C0</x:v>
      </x:c>
    </x:row>
    <x:row r="252">
      <x:c r="A252" s="22" t="str">
        <x:f>"00"</x:f>
        <x:v>00</x:v>
      </x:c>
      <x:c r="B252" s="22" t="str">
        <x:f>"FA"</x:f>
        <x:v>FA</x:v>
      </x:c>
      <x:c r="C252" s="22" t="str">
        <x:f>"0x00FA"</x:f>
        <x:v>0x00FA</x:v>
      </x:c>
      <x:c r="D252" s="21" t="str">
        <x:v>&lt;SPEAKER&gt;「シャトー・ド・ゲロゲロに
ようこそ・・・&lt;WAIT&gt;&lt;SPEAKER&gt;「ひとばん &lt;NUMBER&gt;エンドルですが
お泊りに なりますかな?</x:v>
      </x:c>
      <x:c r="E252" s="19" t="str">
        <x:v>&lt;SPEAKER&gt;Welcome to
Chateau de Gerogero...&lt;WAIT&gt;&lt;SPEAKER&gt;One night is &lt;NUMBER&gt;
Endol. Will you be staying?</x:v>
      </x:c>
      <x:c r="F252" s="20" t="str"/>
      <x:c r="G252" s="20" t="str"/>
      <x:c r="H252" s="23" t="str">
        <x:v>SPEAKER NEWLINE WAIT SPEAKER NUMBER NEWLINE END</x:v>
      </x:c>
      <x:c r="I252" s="23" t="str">
        <x:v>EA:2C1F</x:v>
      </x:c>
      <x:c r="J252" s="23" t="str">
        <x:v>CC 57 65 6C 63 6F 6D 65 01 74 6F C8 43 68 61 74 65 61 75 01 64 65 01 47 65 72 6F 67 65 72 6F 2E 2E 2E C5 CC 4F 6E 65 01 6E 69 67 68 74 01 69 73 01 C2 C8 45 6E 64 6F 6C 2E 01 57 69 6C 6C 01 79 6F 75 01 62 65 01 73 74 61 79 69 6E 67 3F C0</x:v>
      </x:c>
      <x:c r="K252" s="23" t="str">
        <x:v>1CC 04D 071 055 078 081 084 055 081 084 04A 06C 084 04A 06C 025 1C8 035 012 019 01E 081 081 081 1C5 1CC 02A 023 084 029 03D 001 1C2 045 06F 084 055 06A 084 022 01C 084 015 1C8 014 121 037 025 001 024 037 02E 01C 015 024 079 1C0</x:v>
      </x:c>
    </x:row>
    <x:row r="253">
      <x:c r="A253" s="22" t="str">
        <x:f>"00"</x:f>
        <x:v>00</x:v>
      </x:c>
      <x:c r="B253" s="22" t="str">
        <x:f>"FB"</x:f>
        <x:v>FB</x:v>
      </x:c>
      <x:c r="C253" s="22" t="str">
        <x:f>"0x00FB"</x:f>
        <x:v>0x00FB</x:v>
      </x:c>
      <x:c r="D253" s="21" t="str">
        <x:v>&lt;SPEAKER&gt;「では あさまで ごゆっくり
ながく サイコな よるを
おすごしください・・・</x:v>
      </x:c>
      <x:c r="E253" s="19" t="str">
        <x:v>&lt;SPEAKER&gt;Then rest easy
until morning. Have yourself
a long, crazy night...</x:v>
      </x:c>
      <x:c r="F253" s="20" t="str"/>
      <x:c r="G253" s="20" t="str"/>
      <x:c r="H253" s="23" t="str">
        <x:v>SPEAKER NEWLINE NEWLINE END</x:v>
      </x:c>
      <x:c r="I253" s="23" t="str">
        <x:v>EA:2C6E</x:v>
      </x:c>
      <x:c r="J253" s="23" t="str">
        <x:v>CC 54 68 65 6E 01 72 65 73 74 01 65 61 73 79 C8 75 6E 74 69 6C 01 6D 6F 72 6E 69 6E 67 2E 01 48 61 76 65 01 79 6F 75 72 73 65 6C 66 C8 61 01 6C 6F 6E 67 2C 01 63 72 61 7A 79 01 6E 69 67 68 74 2E 2E 2E C0</x:v>
      </x:c>
      <x:c r="K253" s="23" t="str">
        <x:v>1CC 084 022 029 001 010 01A 02E 084 022 001 084 019 034 03E 017 037 1C8 024 084 015 017 001 04C 043 04B 024 001 035 038 03C 1C8 014 01C 084 019 01B 017 084 01F 01A 011 081 081 081 1C0</x:v>
      </x:c>
    </x:row>
    <x:row r="254">
      <x:c r="A254" s="22" t="str">
        <x:f>"00"</x:f>
        <x:v>00</x:v>
      </x:c>
      <x:c r="B254" s="22" t="str">
        <x:f>"FC"</x:f>
        <x:v>FC</x:v>
      </x:c>
      <x:c r="C254" s="22" t="str">
        <x:f>"0x00FC"</x:f>
        <x:v>0x00FC</x:v>
      </x:c>
      <x:c r="D254" s="21" t="str">
        <x:v>&lt;SPEAKER&gt;「おはようございます・・・</x:v>
      </x:c>
      <x:c r="E254" s="19" t="str">
        <x:v>&lt;SPEAKER&gt;Good morning...</x:v>
      </x:c>
      <x:c r="F254" s="20" t="str"/>
      <x:c r="G254" s="20" t="str"/>
      <x:c r="H254" s="23" t="str">
        <x:v>SPEAKER END</x:v>
      </x:c>
      <x:c r="I254" s="23" t="str">
        <x:v>EA:2CB2</x:v>
      </x:c>
      <x:c r="J254" s="23" t="str">
        <x:v>CC 47 6F 6F 64 01 6D 6F 72 6E 69 6E 67 2E 2E 2E C0</x:v>
      </x:c>
      <x:c r="K254" s="23" t="str">
        <x:v>1CC 014 029 035 012 084 019 084 01A 011 02E 01C 081 081 081 1C0</x:v>
      </x:c>
    </x:row>
    <x:row r="255">
      <x:c r="A255" s="22" t="str">
        <x:f>"00"</x:f>
        <x:v>00</x:v>
      </x:c>
      <x:c r="B255" s="22" t="str">
        <x:f>"FD"</x:f>
        <x:v>FD</x:v>
      </x:c>
      <x:c r="C255" s="22" t="str">
        <x:f>"0x00FD"</x:f>
        <x:v>0x00FD</x:v>
      </x:c>
      <x:c r="D255" s="21" t="str">
        <x:v>&lt;SPEAKER&gt;「おや・・・
お金がないとは これいかに・・・</x:v>
      </x:c>
      <x:c r="E255" s="19" t="str">
        <x:v>&lt;SPEAKER&gt;Oh dear... No money?
Whatever shall we do...?</x:v>
      </x:c>
      <x:c r="F255" s="20" t="str"/>
      <x:c r="G255" s="20" t="str"/>
      <x:c r="H255" s="23" t="str">
        <x:v>SPEAKER NEWLINE END</x:v>
      </x:c>
      <x:c r="I255" s="23" t="str">
        <x:v>EA:2CC3</x:v>
      </x:c>
      <x:c r="J255" s="23" t="str">
        <x:v>CC 4F 68 01 64 65 61 72 2E 2E 2E 01 4E 6F 01 6D 6F 6E 65 79 3F C8 57 68 61 74 65 76 65 72 01 73 68 61 6C 6C 01 77 65 01 64 6F 2E 2E 2E 3F C0</x:v>
      </x:c>
      <x:c r="K255" s="23" t="str">
        <x:v>1CC 014 033 081 081 081 1C8 014 094 084 015 024 011 023 029 001 019 039 011 015 025 081 081 081 1C0</x:v>
      </x:c>
    </x:row>
    <x:row r="256">
      <x:c r="A256" s="22" t="str">
        <x:f>"00"</x:f>
        <x:v>00</x:v>
      </x:c>
      <x:c r="B256" s="22" t="str">
        <x:f>"FE"</x:f>
        <x:v>FE</x:v>
      </x:c>
      <x:c r="C256" s="22" t="str">
        <x:f>"0x00FE"</x:f>
        <x:v>0x00FE</x:v>
      </x:c>
      <x:c r="D256" s="21" t="str">
        <x:v>&lt;SPEAKER&gt;「それでは さようなら・・・</x:v>
      </x:c>
      <x:c r="E256" s="19" t="str">
        <x:v>&lt;SPEAKER&gt;Then farewell...</x:v>
      </x:c>
      <x:c r="F256" s="20" t="str"/>
      <x:c r="G256" s="20" t="str"/>
      <x:c r="H256" s="23" t="str">
        <x:v>SPEAKER END</x:v>
      </x:c>
      <x:c r="I256" s="23" t="str">
        <x:v>EA:2CF2</x:v>
      </x:c>
      <x:c r="J256" s="23" t="str">
        <x:v>CC 54 68 65 6E 01 66 61 72 65 77 65 6C 6C 2E 2E 2E C0</x:v>
      </x:c>
      <x:c r="K256" s="23" t="str">
        <x:v>1CC 01E 039 084 022 029 001 01A 035 012 024 036 081 081 081 1C0</x:v>
      </x:c>
    </x:row>
    <x:row r="257">
      <x:c r="A257" s="22" t="str">
        <x:f>"00"</x:f>
        <x:v>00</x:v>
      </x:c>
      <x:c r="B257" s="22" t="str">
        <x:f>"FF"</x:f>
        <x:v>FF</x:v>
      </x:c>
      <x:c r="C257" s="22" t="str">
        <x:f>"0x00FF"</x:f>
        <x:v>0x00FF</x:v>
      </x:c>
      <x:c r="D257" s="21" t="str">
        <x:v>&lt;SPEAKER&gt;「しんじる 気持ち あれば
みな すくわれます
教会が お役にたてますかな</x:v>
      </x:c>
      <x:c r="E257" s="19" t="str">
        <x:v>&lt;SPEAKER&gt;With faith in your
heart, all can be saved. May
the church be of service?</x:v>
      </x:c>
      <x:c r="F257" s="20" t="str"/>
      <x:c r="G257" s="20" t="str"/>
      <x:c r="H257" s="23" t="str">
        <x:v>SPEAKER NEWLINE NEWLINE END</x:v>
      </x:c>
      <x:c r="I257" s="23" t="str">
        <x:v>EA:2D04</x:v>
      </x:c>
      <x:c r="J257" s="23" t="str">
        <x:v>CC 57 69 74 68 01 66 61 69 74 68 01 69 6E 01 79 6F 75 72 C8 68 65 61 72 74 2C 01 61 6C 6C 01 63 61 6E 01 62 65 01 73 61 76 65 64 2E 01 4D 61 79 C8 74 68 65 01 63 68 75 72 63 68 01 62 65 01 6F 66 01 73 65 72 76 69 63 65 3F C0</x:v>
      </x:c>
      <x:c r="K257" s="23" t="str">
        <x:v>1CC 01B 03D 084 01B 038 001 099 0D3 020 001 010 039 084 029 1C8 02F 024 001 01C 017 03B 039 02E 01C 1C8 122 11E 084 015 001 014 15E 025 01F 022 02E 01C 015 024 1C0</x:v>
      </x:c>
    </x:row>
    <x:row r="258">
      <x:c r="A258" s="22" t="str">
        <x:f>"01"</x:f>
        <x:v>01</x:v>
      </x:c>
      <x:c r="B258" s="22" t="str">
        <x:f>"00"</x:f>
        <x:v>00</x:v>
      </x:c>
      <x:c r="C258" s="22" t="str">
        <x:f>"0x0100"</x:f>
        <x:v>0x0100</x:v>
      </x:c>
      <x:c r="D258" s="21" t="str">
        <x:v>&lt;SPEAKER&gt;「ほかには 何か
お役にたてることは ありますか</x:v>
      </x:c>
      <x:c r="E258" s="19" t="str">
        <x:v>&lt;SPEAKER&gt;Is there anything
else we can do for you?</x:v>
      </x:c>
      <x:c r="F258" s="20" t="str"/>
      <x:c r="G258" s="20" t="str"/>
      <x:c r="H258" s="23" t="str">
        <x:v>SPEAKER NEWLINE END</x:v>
      </x:c>
      <x:c r="I258" s="23" t="str">
        <x:v>EA:2D4F</x:v>
      </x:c>
      <x:c r="J258" s="23" t="str">
        <x:v>CC 49 73 01 74 68 65 72 65 01 61 6E 79 74 68 69 6E 67 C8 65 6C 73 65 01 77 65 01 63 61 6E 01 64 6F 01 66 6F 72 01 79 6F 75 3F C0</x:v>
      </x:c>
      <x:c r="K258" s="23" t="str">
        <x:v>1CC 02D 015 025 029 001 093 015 1C8 014 15E 025 01F 022 038 019 023 029 001 010 037 02E 01C 015 1C0</x:v>
      </x:c>
    </x:row>
    <x:row r="259">
      <x:c r="A259" s="22" t="str">
        <x:f>"01"</x:f>
        <x:v>01</x:v>
      </x:c>
      <x:c r="B259" s="22" t="str">
        <x:f>"01"</x:f>
        <x:v>01</x:v>
      </x:c>
      <x:c r="C259" s="22" t="str">
        <x:f>"0x0101"</x:f>
        <x:v>0x0101</x:v>
      </x:c>
      <x:c r="D259" s="21" t="str">
        <x:v>&lt;SPEAKER&gt;「神よ!
この まよえる 旅びとを
おおいなる 愛で つつみたまえ!</x:v>
      </x:c>
      <x:c r="E259" s="19" t="str">
        <x:v>&lt;SPEAKER&gt;O God! Wrap
this wandering traveler
in your boundless love!</x:v>
      </x:c>
      <x:c r="F259" s="20" t="str"/>
      <x:c r="G259" s="20" t="str"/>
      <x:c r="H259" s="23" t="str">
        <x:v>SPEAKER NEWLINE NEWLINE END</x:v>
      </x:c>
      <x:c r="I259" s="23" t="str">
        <x:v>EA:2D7A</x:v>
      </x:c>
      <x:c r="J259" s="23" t="str">
        <x:v>CC 4F 01 47 6F 64 21 01 57 72 61 70 C8 74 68 69 73 01 77 61 6E 64 65 72 69 6E 67 01 74 72 61 76 65 6C 65 72 C8 69 6E 01 79 6F 75 72 01 62 6F 75 6E 64 6C 65 73 73 01 6C 6F 76 65 21 C0</x:v>
      </x:c>
      <x:c r="K259" s="23" t="str">
        <x:v>1CC 0DC 035 07A 1C8 019 028 001 02E 035 013 038 001 0B0 084 02A 023 03C 1C8 014 014 011 024 038 001 181 084 022 001 021 021 02F 01F 02E 013 07A 1C0</x:v>
      </x:c>
    </x:row>
    <x:row r="260">
      <x:c r="A260" s="22" t="str">
        <x:f>"01"</x:f>
        <x:v>01</x:v>
      </x:c>
      <x:c r="B260" s="22" t="str">
        <x:f>"02"</x:f>
        <x:v>02</x:v>
      </x:c>
      <x:c r="C260" s="22" t="str">
        <x:f>"0x0102"</x:f>
        <x:v>0x0102</x:v>
      </x:c>
      <x:c r="D260" s="21" t="str">
        <x:v>&lt;SPEAKER&gt;「おかえりなさい
&lt;INSERT_B&gt;さん&lt;WAIT&gt;&lt;SPEAKER&gt;「神よ!
この まよえる 旅びとを
おおいなる 愛で つつみたまえ!</x:v>
      </x:c>
      <x:c r="E260" s="19" t="str">
        <x:v>&lt;SPEAKER&gt;Welcome back,
&lt;INSERT_B&gt;.&lt;WAIT&gt;&lt;SPEAKER&gt;O God! Wrap
this wandering traveler
in your boundless love!</x:v>
      </x:c>
      <x:c r="F260" s="20" t="str"/>
      <x:c r="G260" s="20" t="str"/>
      <x:c r="H260" s="23" t="str">
        <x:v>SPEAKER NEWLINE INSERT_B WAIT SPEAKER NEWLINE NEWLINE END</x:v>
      </x:c>
      <x:c r="I260" s="23" t="str">
        <x:v>EA:2DB7</x:v>
      </x:c>
      <x:c r="J260" s="23" t="str">
        <x:v>CC 57 65 6C 63 6F 6D 65 01 62 61 63 6B 2C C8 CA 2E C5 CC 4F 01 47 6F 64 21 01 57 72 61 70 C8 74 68 69 73 01 77 61 6E 64 65 72 69 6E 67 01 74 72 61 76 65 6C 65 72 C8 69 6E 01 79 6F 75 72 01 62 6F 75 6E 64 6C 65 73 73 01 6C 6F 76 65 21 C0</x:v>
      </x:c>
      <x:c r="K260" s="23" t="str">
        <x:v>1CC 014 015 013 037 024 01A 011 1C8 1CA 01A 03D 1C5 1CC 0DC 035 07A 1C8 019 028 001 02E 035 013 038 001 0B0 084 02A 023 03C 1C8 014 014 011 024 038 001 181 084 022 001 021 021 02F 01F 02E 013 07A 1C0</x:v>
      </x:c>
    </x:row>
    <x:row r="261">
      <x:c r="A261" s="22" t="str">
        <x:f>"01"</x:f>
        <x:v>01</x:v>
      </x:c>
      <x:c r="B261" s="22" t="str">
        <x:f>"03"</x:f>
        <x:v>03</x:v>
      </x:c>
      <x:c r="C261" s="22" t="str">
        <x:f>"0x0103"</x:f>
        <x:v>0x0103</x:v>
      </x:c>
      <x:c r="D261" s="21" t="str">
        <x:v>&lt;SPEAKER&gt;「では 冒険の お話を
聞かせてくだされ&lt;WAIT&gt;&lt;SPEAKER&gt;「この探険日記に
書きこんで おきますが
よいかな?</x:v>
      </x:c>
      <x:c r="E261" s="19" t="str">
        <x:v>&lt;SPEAKER&gt;Tell me
of your adventure.&lt;WAIT&gt;&lt;SPEAKER&gt;May I record it
in this Explorer's Journal?</x:v>
      </x:c>
      <x:c r="F261" s="20" t="str"/>
      <x:c r="G261" s="20" t="str"/>
      <x:c r="H261" s="23" t="str">
        <x:v>SPEAKER NEWLINE WAIT SPEAKER NEWLINE END</x:v>
      </x:c>
      <x:c r="I261" s="23" t="str">
        <x:v>EA:2E06</x:v>
      </x:c>
      <x:c r="J261" s="23" t="str">
        <x:v>CC 54 65 6C 6C 01 6D 65 C8 6F 66 01 79 6F 75 72 01 61 64 76 65 6E 74 75 72 65 2E C5 CC 4D 61 79 01 49 01 72 65 63 6F 72 64 01 69 74 C8 69 6E 01 74 68 69 73 01 45 78 70 6C 6F 72 65 72 27 73 01 4A 6F 75 72 6E 61 6C 3F C0</x:v>
      </x:c>
      <x:c r="K261" s="23" t="str">
        <x:v>1CC 084 022 029 001 0BA 0BB 028 001 014 0A0 03C 1C8 0A6 015 01D 022 017 084 01F 01A 039 1C5 1CC 019 028 184 0BB 120 11B 025 1C8 098 016 019 03D 084 022 001 014 016 02E 01C 084 015 1C8 035 011 015 024 079 1C0</x:v>
      </x:c>
    </x:row>
    <x:row r="262">
      <x:c r="A262" s="22" t="str">
        <x:f>"01"</x:f>
        <x:v>01</x:v>
      </x:c>
      <x:c r="B262" s="22" t="str">
        <x:f>"04"</x:f>
        <x:v>04</x:v>
      </x:c>
      <x:c r="C262" s="22" t="str">
        <x:f>"0x0104"</x:f>
        <x:v>0x0104</x:v>
      </x:c>
      <x:c r="D262" s="21" t="str">
        <x:v>&lt;SPEAKER&gt;「だい何巻の 探険日記に
書きこみましょうか?</x:v>
      </x:c>
      <x:c r="E262" s="19" t="str">
        <x:v>&lt;SPEAKER&gt;Which volume of the
Explorer's Journal shall I use?</x:v>
      </x:c>
      <x:c r="F262" s="20" t="str"/>
      <x:c r="G262" s="20" t="str"/>
      <x:c r="H262" s="23" t="str">
        <x:v>SPEAKER NEWLINE END</x:v>
      </x:c>
      <x:c r="I262" s="23" t="str">
        <x:v>EA:2E4F</x:v>
      </x:c>
      <x:c r="J262" s="23" t="str">
        <x:v>CC 57 68 69 63 68 01 76 6F 6C 75 6D 65 01 6F 66 01 74 68 65 C8 45 78 70 6C 6F 72 65 72 27 73 01 4A 6F 75 72 6E 61 6C 01 73 68 61 6C 6C 01 49 01 75 73 65 3F C0</x:v>
      </x:c>
      <x:c r="K262" s="23" t="str">
        <x:v>1CC 084 01F 011 093 188 028 001 184 0BB 120 11B 025 1C8 098 016 019 02F 02E 01B 041 012 015 079 1C0</x:v>
      </x:c>
    </x:row>
    <x:row r="263">
      <x:c r="A263" s="22" t="str">
        <x:f>"01"</x:f>
        <x:v>01</x:v>
      </x:c>
      <x:c r="B263" s="22" t="str">
        <x:f>"05"</x:f>
        <x:v>05</x:v>
      </x:c>
      <x:c r="C263" s="22" t="str">
        <x:f>"0x0105"</x:f>
        <x:v>0x0105</x:v>
      </x:c>
      <x:c r="D263" s="21" t="str">
        <x:v>&lt;SPEAKER&gt;「しっかり 書きこみましたよ!</x:v>
      </x:c>
      <x:c r="E263" s="19" t="str">
        <x:v>&lt;SPEAKER&gt;It has been
recorded safely!</x:v>
      </x:c>
      <x:c r="F263" s="20" t="str"/>
      <x:c r="G263" s="20" t="str"/>
      <x:c r="H263" s="23" t="str">
        <x:v>SPEAKER NEWLINE END</x:v>
      </x:c>
      <x:c r="I263" s="23" t="str">
        <x:v>EA:2E84</x:v>
      </x:c>
      <x:c r="J263" s="23" t="str">
        <x:v>CC 49 74 01 68 61 73 01 62 65 65 6E C8 72 65 63 6F 72 64 65 64 01 73 61 66 65 6C 79 21 C0</x:v>
      </x:c>
      <x:c r="K263" s="23" t="str">
        <x:v>1CC 01B 03E 015 037 001 098 016 019 02F 02E 01B 01F 035 07A 1C0</x:v>
      </x:c>
    </x:row>
    <x:row r="264">
      <x:c r="A264" s="22" t="str">
        <x:f>"01"</x:f>
        <x:v>01</x:v>
      </x:c>
      <x:c r="B264" s="22" t="str">
        <x:f>"06"</x:f>
        <x:v>06</x:v>
      </x:c>
      <x:c r="C264" s="22" t="str">
        <x:f>"0x0106"</x:f>
        <x:v>0x0106</x:v>
      </x:c>
      <x:c r="D264" s="21" t="str">
        <x:v>&lt;SPEAKER&gt;「書きこまないと?
わかりました ぎょいに!</x:v>
      </x:c>
      <x:c r="E264" s="19" t="str">
        <x:v>&lt;SPEAKER&gt;No record?
Understood. As you wish!</x:v>
      </x:c>
      <x:c r="F264" s="20" t="str"/>
      <x:c r="G264" s="20" t="str"/>
      <x:c r="H264" s="23" t="str">
        <x:v>SPEAKER NEWLINE END</x:v>
      </x:c>
      <x:c r="I264" s="23" t="str">
        <x:v>EA:2EA2</x:v>
      </x:c>
      <x:c r="J264" s="23" t="str">
        <x:v>CC 4E 6F 01 72 65 63 6F 72 64 3F C8 55 6E 64 65 72 73 74 6F 6F 64 2E 01 41 73 01 79 6F 75 01 77 69 73 68 21 C0</x:v>
      </x:c>
      <x:c r="K264" s="23" t="str">
        <x:v>1CC 098 016 019 02E 024 011 023 079 1C8 03B 015 037 02E 01B 01F 001 084 016 041 011 025 07A 1C0</x:v>
      </x:c>
    </x:row>
    <x:row r="265">
      <x:c r="A265" s="22" t="str">
        <x:f>"01"</x:f>
        <x:v>01</x:v>
      </x:c>
      <x:c r="B265" s="22" t="str">
        <x:f>"07"</x:f>
        <x:v>07</x:v>
      </x:c>
      <x:c r="C265" s="22" t="str">
        <x:f>"0x0107"</x:f>
        <x:v>0x0107</x:v>
      </x:c>
      <x:c r="D265" s="21" t="str">
        <x:v>&lt;SPEAKER&gt;「もっと 探険を
たのしまれたいですか?</x:v>
      </x:c>
      <x:c r="E265" s="19" t="str">
        <x:v>&lt;SPEAKER&gt;Would you like to
continue your adventure?</x:v>
      </x:c>
      <x:c r="F265" s="20" t="str"/>
      <x:c r="G265" s="20" t="str"/>
      <x:c r="H265" s="23" t="str">
        <x:v>SPEAKER NEWLINE END</x:v>
      </x:c>
      <x:c r="I265" s="23" t="str">
        <x:v>EA:2EC7</x:v>
      </x:c>
      <x:c r="J265" s="23" t="str">
        <x:v>CC 57 6F 75 6C 64 01 79 6F 75 01 6C 69 6B 65 01 74 6F C8 63 6F 6E 74 69 6E 75 65 01 79 6F 75 72 01 61 64 76 65 6E 74 75 72 65 3F C0</x:v>
      </x:c>
      <x:c r="K265" s="23" t="str">
        <x:v>1CC 032 03E 023 001 184 0BB 03C 1C8 01F 028 01B 02E 039 01F 011 084 022 01C 015 079 1C0</x:v>
      </x:c>
    </x:row>
    <x:row r="266">
      <x:c r="A266" s="22" t="str">
        <x:f>"01"</x:f>
        <x:v>01</x:v>
      </x:c>
      <x:c r="B266" s="22" t="str">
        <x:f>"08"</x:f>
        <x:v>08</x:v>
      </x:c>
      <x:c r="C266" s="22" t="str">
        <x:f>"0x0108"</x:f>
        <x:v>0x0108</x:v>
      </x:c>
      <x:c r="D266" s="21" t="str">
        <x:v>&lt;SPEAKER&gt;「ええ? 書きこまずに
探険を おやめになる?&lt;WAIT&gt;&lt;SPEAKER&gt;「今までの お話が なくなって
ひとつ前に もどっても
かまわんのですか?</x:v>
      </x:c>
      <x:c r="E266" s="19" t="str">
        <x:v>&lt;SPEAKER&gt;What? End your adventure
without making a record?&lt;WAIT&gt;&lt;SPEAKER&gt;Your latest story will
be lost and you'll return to the
previous entry. Is that all right?</x:v>
      </x:c>
      <x:c r="F266" s="20" t="str"/>
      <x:c r="G266" s="20" t="str"/>
      <x:c r="H266" s="23" t="str">
        <x:v>SPEAKER NEWLINE WAIT SPEAKER NEWLINE NEWLINE END</x:v>
      </x:c>
      <x:c r="I266" s="23" t="str">
        <x:v>EA:2EF3</x:v>
      </x:c>
      <x:c r="J266" s="23" t="str">
        <x:v>CC 57 68 61 74 3F 01 45 6E 64 01 79 6F 75 72 01 61 64 76 65 6E 74 75 72 65 C8 77 69 74 68 6F 75 74 01 6D 61 6B 69 6E 67 01 61 01 72 65 63 6F 72 64 3F C5 CC 59 6F 75 72 01 6C 61 74 65 73 74 01 73 74 6F 72 79 01 77 69 6C 6C C8 62 65 01 6C 6F 73 74 01 61 6E 64 01 79 6F 75 27 6C 6C 01 72 65 74 75 72 6E 01 74 6F 01 74 68 65 C8 70 72 65 76 69 6F 75 73 01 65 6E 74 72 79 2E 01 49 73 01 74 68 61 74 01 61 6C 6C 01 72 69 67 68 74 3F C0</x:v>
      </x:c>
      <x:c r="K266" s="23" t="str">
        <x:v>1CC 013 013 079 001 098 016 019 02E 084 01C 025 1C8 184 0BB 03C 001 014 033 031 025 024 038 079 1C5 1CC 150 02E 084 022 028 001 014 0A0 084 015 001 024 017 024 03E 022 1C8 02A 023 021 0C3 025 001 032 084 023 03E 022 032 1C8 015 02E 03B 03D 028 084 022 01C 015 079 1C0</x:v>
      </x:c>
    </x:row>
    <x:row r="267">
      <x:c r="A267" s="22" t="str">
        <x:f>"01"</x:f>
        <x:v>01</x:v>
      </x:c>
      <x:c r="B267" s="22" t="str">
        <x:f>"09"</x:f>
        <x:v>09</x:v>
      </x:c>
      <x:c r="C267" s="22" t="str">
        <x:f>"0x0109"</x:f>
        <x:v>0x0109</x:v>
      </x:c>
      <x:c r="D267" s="21" t="str">
        <x:v>&lt;SPEAKER&gt;「ゆっくりと
おやすみ くだされ
シーユー アゲーン!</x:v>
      </x:c>
      <x:c r="E267" s="19" t="str">
        <x:v>&lt;SPEAKER&gt;Rest well. See you again!</x:v>
      </x:c>
      <x:c r="F267" s="20" t="str"/>
      <x:c r="G267" s="20" t="str"/>
      <x:c r="H267" s="23" t="str">
        <x:v>SPEAKER END</x:v>
      </x:c>
      <x:c r="I267" s="23" t="str">
        <x:v>EA:2F82</x:v>
      </x:c>
      <x:c r="J267" s="23" t="str">
        <x:v>CC 52 65 73 74 01 77 65 6C 6C 2E 01 53 65 65 01 79 6F 75 01 61 67 61 69 6E 21 C0</x:v>
      </x:c>
      <x:c r="K267" s="23" t="str">
        <x:v>1CC 034 03E 017 037 023 1C8 014 033 01C 02F 001 017 084 01F 01A 039 1C8 04D 078 066 078 001 042 084 04A 078 06F 07A 1C0</x:v>
      </x:c>
    </x:row>
    <x:row r="268">
      <x:c r="A268" s="22" t="str">
        <x:f>"01"</x:f>
        <x:v>01</x:v>
      </x:c>
      <x:c r="B268" s="22" t="str">
        <x:f>"0A"</x:f>
        <x:v>0A</x:v>
      </x:c>
      <x:c r="C268" s="22" t="str">
        <x:f>"0x010A"</x:f>
        <x:v>0x010A</x:v>
      </x:c>
      <x:c r="D268" s="21" t="str">
        <x:v>&lt;SPEAKER&gt;「わたしが 思いますに</x:v>
      </x:c>
      <x:c r="E268" s="19" t="str">
        <x:v>&lt;SPEAKER&gt;In my estimation...</x:v>
      </x:c>
      <x:c r="F268" s="20" t="str"/>
      <x:c r="G268" s="20" t="str"/>
      <x:c r="H268" s="23" t="str">
        <x:v>SPEAKER END</x:v>
      </x:c>
      <x:c r="I268" s="23" t="str">
        <x:v>EA:2F9D</x:v>
      </x:c>
      <x:c r="J268" s="23" t="str">
        <x:v>CC 49 6E 01 6D 79 01 65 73 74 69 6D 61 74 69 6F 6E 2E 2E 2E C0</x:v>
      </x:c>
      <x:c r="K268" s="23" t="str">
        <x:v>1CC 03B 01F 01B 084 015 001 10F 011 02E 01C 025 1C0</x:v>
      </x:c>
    </x:row>
    <x:row r="269">
      <x:c r="A269" s="22" t="str">
        <x:f>"01"</x:f>
        <x:v>01</x:v>
      </x:c>
      <x:c r="B269" s="22" t="str">
        <x:f>"0B"</x:f>
        <x:v>0B</x:v>
      </x:c>
      <x:c r="C269" s="22" t="str">
        <x:f>"0x010B"</x:f>
        <x:v>0x010B</x:v>
      </x:c>
      <x:c r="D269" s="21" t="str">
        <x:v>&lt;SPEAKER&gt;「&lt;INSERT_B&gt;さんは
あと &lt;NUMBER&gt;の経験で
つぎのレベルに なるでしょう</x:v>
      </x:c>
      <x:c r="E269" s="19" t="str">
        <x:v>&lt;SPEAKER&gt;&lt;INSERT_B&gt;
needs &lt;NUMBER&gt; more EXP
to reach the next level.</x:v>
      </x:c>
      <x:c r="F269" s="20" t="str"/>
      <x:c r="G269" s="20" t="str"/>
      <x:c r="H269" s="23" t="str">
        <x:v>SPEAKER INSERT_B NEWLINE NUMBER NEWLINE END</x:v>
      </x:c>
      <x:c r="I269" s="23" t="str">
        <x:v>EA:2FB2</x:v>
      </x:c>
      <x:c r="J269" s="23" t="str">
        <x:v>CC CA C8 6E 65 65 64 73 01 C2 01 6D 6F 72 65 01 45 58 50 C8 74 6F 01 72 65 61 63 68 01 74 68 65 01 6E 65 78 74 01 6C 65 76 65 6C 2E C0</x:v>
      </x:c>
      <x:c r="K269" s="23" t="str">
        <x:v>1CC 1CA 01A 03D 029 1C8 010 023 001 1C2 028 183 0F3 084 022 1C8 021 084 016 028 06B 084 05E 06A 025 001 024 038 084 022 01B 041 012 1C0</x:v>
      </x:c>
    </x:row>
    <x:row r="270">
      <x:c r="A270" s="22" t="str">
        <x:f>"01"</x:f>
        <x:v>01</x:v>
      </x:c>
      <x:c r="B270" s="22" t="str">
        <x:f>"0C"</x:f>
        <x:v>0C</x:v>
      </x:c>
      <x:c r="C270" s="22" t="str">
        <x:f>"0x010C"</x:f>
        <x:v>0x010C</x:v>
      </x:c>
      <x:c r="D270" s="21" t="str">
        <x:v>&lt;SPEAKER&gt;「&lt;INSERT_B&gt;さん
もう バリバリに 強いですぜ!</x:v>
      </x:c>
      <x:c r="E270" s="19" t="str">
        <x:v>&lt;SPEAKER&gt;&lt;INSERT_B&gt;,
you are already incredibly strong!</x:v>
      </x:c>
      <x:c r="F270" s="20" t="str"/>
      <x:c r="G270" s="20" t="str"/>
      <x:c r="H270" s="23" t="str">
        <x:v>SPEAKER INSERT_B NEWLINE END</x:v>
      </x:c>
      <x:c r="I270" s="23" t="str">
        <x:v>EA:2FDF</x:v>
      </x:c>
      <x:c r="J270" s="23" t="str">
        <x:v>CC CA 2C C8 79 6F 75 01 61 72 65 01 61 6C 72 65 61 64 79 01 69 6E 63 72 65 64 69 62 6C 79 01 73 74 72 6F 6E 67 21 C0</x:v>
      </x:c>
      <x:c r="K270" s="23" t="str">
        <x:v>1CC 1CA 01A 03D 1C8 032 012 001 084 05B 069 084 05B 069 025 001 138 011 084 022 01C 084 01D 07A 1C0</x:v>
      </x:c>
    </x:row>
    <x:row r="271">
      <x:c r="A271" s="22" t="str">
        <x:f>"01"</x:f>
        <x:v>01</x:v>
      </x:c>
      <x:c r="B271" s="22" t="str">
        <x:f>"0D"</x:f>
        <x:v>0D</x:v>
      </x:c>
      <x:c r="C271" s="22" t="str">
        <x:f>"0x010D"</x:f>
        <x:v>0x010D</x:v>
      </x:c>
      <x:c r="D271" s="21" t="str">
        <x:v>&lt;SPEAKER&gt;「誰を あの世から
よびもどすのですか?</x:v>
      </x:c>
      <x:c r="E271" s="19" t="str">
        <x:v>&lt;SPEAKER&gt;Whom shall I call
back from the other world?</x:v>
      </x:c>
      <x:c r="F271" s="20" t="str"/>
      <x:c r="G271" s="20" t="str"/>
      <x:c r="H271" s="23" t="str">
        <x:v>SPEAKER NEWLINE END</x:v>
      </x:c>
      <x:c r="I271" s="23" t="str">
        <x:v>EA:3006</x:v>
      </x:c>
      <x:c r="J271" s="23" t="str">
        <x:v>CC 57 68 6F 6D 01 73 68 61 6C 6C 01 49 01 63 61 6C 6C C8 62 61 63 6B 01 66 72 6F 6D 01 74 68 65 01 6F 74 68 65 72 01 77 6F 72 6C 64 3F C0</x:v>
      </x:c>
      <x:c r="K271" s="23" t="str">
        <x:v>1CC 0FA 03C 001 010 028 0A9 015 036 1C8 035 084 02A 032 084 023 01C 028 084 022 01C 015 079 1C0</x:v>
      </x:c>
    </x:row>
    <x:row r="272">
      <x:c r="A272" s="22" t="str">
        <x:f>"01"</x:f>
        <x:v>01</x:v>
      </x:c>
      <x:c r="B272" s="22" t="str">
        <x:f>"0E"</x:f>
        <x:v>0E</x:v>
      </x:c>
      <x:c r="C272" s="22" t="str">
        <x:f>"0x010E"</x:f>
        <x:v>0x010E</x:v>
      </x:c>
      <x:c r="D272" s="21" t="str">
        <x:v>&lt;SPEAKER&gt;「よびもどしの ひようは
&lt;NUMBER&gt;エンドルです
いいですか?</x:v>
      </x:c>
      <x:c r="E272" s="19" t="str">
        <x:v>&lt;SPEAKER&gt;Revival costs &lt;NUMBER&gt;
Endol. Is that acceptable?</x:v>
      </x:c>
      <x:c r="F272" s="20" t="str"/>
      <x:c r="G272" s="20" t="str"/>
      <x:c r="H272" s="23" t="str">
        <x:v>SPEAKER NUMBER NEWLINE END</x:v>
      </x:c>
      <x:c r="I272" s="23" t="str">
        <x:v>EA:3034</x:v>
      </x:c>
      <x:c r="J272" s="23" t="str">
        <x:v>CC 52 65 76 69 76 61 6C 01 63 6F 73 74 73 01 C2 C8 45 6E 64 6F 6C 2E 01 49 73 01 74 68 61 74 01 61 63 63 65 70 74 61 62 6C 65 3F C0</x:v>
      </x:c>
      <x:c r="K272" s="23" t="str">
        <x:v>1CC 035 084 02A 032 084 023 01B 028 001 02A 035 012 029 1C8 1C2 045 06F 084 055 06A 084 022 01C 1C8 011 011 084 022 01C 015 079 1C0</x:v>
      </x:c>
    </x:row>
    <x:row r="273">
      <x:c r="A273" s="22" t="str">
        <x:f>"01"</x:f>
        <x:v>01</x:v>
      </x:c>
      <x:c r="B273" s="22" t="str">
        <x:f>"0F"</x:f>
        <x:v>0F</x:v>
      </x:c>
      <x:c r="C273" s="22" t="str">
        <x:f>"0x010F"</x:f>
        <x:v>0x010F</x:v>
      </x:c>
      <x:c r="D273" s="21" t="str">
        <x:v>&lt;SPEAKER&gt;「メラメラメラ!
チャネリーン!&lt;WAIT&gt;&lt;SPEAKER&gt;「&lt;INSERT_B&gt;さん
この世に いますぐ
もどりたまえ!</x:v>
      </x:c>
      <x:c r="E273" s="19" t="str">
        <x:v>&lt;SPEAKER&gt;Blaze, blaze,
blaze! Channeling!&lt;WAIT&gt;&lt;SPEAKER&gt;&lt;INSERT_B&gt;,
return to this world at once!</x:v>
      </x:c>
      <x:c r="F273" s="20" t="str"/>
      <x:c r="G273" s="20" t="str"/>
      <x:c r="H273" s="23" t="str">
        <x:v>SPEAKER NEWLINE WAIT SPEAKER INSERT_B NEWLINE END</x:v>
      </x:c>
      <x:c r="I273" s="23" t="str">
        <x:v>EA:3060</x:v>
      </x:c>
      <x:c r="J273" s="23" t="str">
        <x:v>CC 42 6C 61 7A 65 2C 01 62 6C 61 7A 65 2C C8 62 6C 61 7A 65 21 01 43 68 61 6E 6E 65 6C 69 6E 67 21 C5 CC CA 2C C8 72 65 74 75 72 6E 01 74 6F 01 74 68 69 73 01 77 6F 72 6C 64 01 61 74 01 6F 6E 63 65 21 C0</x:v>
      </x:c>
      <x:c r="K273" s="23" t="str">
        <x:v>1CC 063 068 063 068 063 068 07A 1C8 052 071 059 069 078 06F 07A 1C5 1CC 1CA 01A 03D 1C8 019 028 0A9 025 001 011 02E 01C 084 017 1C8 032 084 023 037 01F 02E 013 07A 1C0</x:v>
      </x:c>
    </x:row>
    <x:row r="274">
      <x:c r="A274" s="22" t="str">
        <x:f>"01"</x:f>
        <x:v>01</x:v>
      </x:c>
      <x:c r="B274" s="22" t="str">
        <x:f>"10"</x:f>
        <x:v>10</x:v>
      </x:c>
      <x:c r="C274" s="22" t="str">
        <x:f>"0x0110"</x:f>
        <x:v>0x0110</x:v>
      </x:c>
      <x:c r="D274" s="21" t="str">
        <x:v>&lt;CLEAR&gt;
&lt;INSERT_B&gt;は もどって来た!</x:v>
      </x:c>
      <x:c r="E274" s="19" t="str">
        <x:v>&lt;CLEAR&gt;&lt;INSERT_B&gt;
returned to life!</x:v>
      </x:c>
      <x:c r="F274" s="20" t="str"/>
      <x:c r="G274" s="20" t="str"/>
      <x:c r="H274" s="23" t="str">
        <x:v>CLEAR INSERT_B NEWLINE END</x:v>
      </x:c>
      <x:c r="I274" s="23" t="str">
        <x:v>EA:30A4</x:v>
      </x:c>
      <x:c r="J274" s="23" t="str">
        <x:v>D0 CA C8 72 65 74 75 72 6E 65 64 01 74 6F 01 6C 69 66 65 21 C0</x:v>
      </x:c>
      <x:c r="K274" s="23" t="str">
        <x:v>1D0 1CA 029 001 032 084 023 03E 022 097 01F 07A 1C0</x:v>
      </x:c>
    </x:row>
    <x:row r="275">
      <x:c r="A275" s="22" t="str">
        <x:f>"01"</x:f>
        <x:v>01</x:v>
      </x:c>
      <x:c r="B275" s="22" t="str">
        <x:f>"11"</x:f>
        <x:v>11</x:v>
      </x:c>
      <x:c r="C275" s="22" t="str">
        <x:f>"0x0111"</x:f>
        <x:v>0x0111</x:v>
      </x:c>
      <x:c r="D275" s="21" t="str">
        <x:v>&lt;SPEAKER&gt;「むむむ &lt;INSERT_B&gt;さんは
死んどらんですぞ!</x:v>
      </x:c>
      <x:c r="E275" s="19" t="str">
        <x:v>&lt;SPEAKER&gt;Hmm?
&lt;INSERT_B&gt; isn't
dead! Don't scare me like that!</x:v>
      </x:c>
      <x:c r="F275" s="20" t="str"/>
      <x:c r="G275" s="20" t="str"/>
      <x:c r="H275" s="23" t="str">
        <x:v>SPEAKER NEWLINE INSERT_B NEWLINE END</x:v>
      </x:c>
      <x:c r="I275" s="23" t="str">
        <x:v>EA:30B9</x:v>
      </x:c>
      <x:c r="J275" s="23" t="str">
        <x:v>CC 48 6D 6D 3F C8 CA 01 69 73 6E 27 74 C8 64 65 61 64 21 01 44 6F 6E 27 74 01 73 63 61 72 65 01 6D 65 01 6C 69 6B 65 01 74 68 61 74 21 C0</x:v>
      </x:c>
      <x:c r="K275" s="23" t="str">
        <x:v>1CC 030 030 030 001 1CA 01A 03D 029 1C8 0D6 03D 084 023 036 03D 084 022 01C 084 01E 07A 1C0</x:v>
      </x:c>
    </x:row>
    <x:row r="276">
      <x:c r="A276" s="22" t="str">
        <x:f>"01"</x:f>
        <x:v>01</x:v>
      </x:c>
      <x:c r="B276" s="22" t="str">
        <x:f>"12"</x:f>
        <x:v>12</x:v>
      </x:c>
      <x:c r="C276" s="22" t="str">
        <x:f>"0x0112"</x:f>
        <x:v>0x0112</x:v>
      </x:c>
      <x:c r="D276" s="21" t="str">
        <x:v>&lt;SPEAKER&gt;「あらら やめるのですか!</x:v>
      </x:c>
      <x:c r="E276" s="19" t="str">
        <x:v>&lt;SPEAKER&gt;Oh? Never mind, then?</x:v>
      </x:c>
      <x:c r="F276" s="20" t="str"/>
      <x:c r="G276" s="20" t="str"/>
      <x:c r="H276" s="23" t="str">
        <x:v>SPEAKER END</x:v>
      </x:c>
      <x:c r="I276" s="23" t="str">
        <x:v>EA:30E7</x:v>
      </x:c>
      <x:c r="J276" s="23" t="str">
        <x:v>CC 4F 68 3F 01 4E 65 76 65 72 01 6D 69 6E 64 2C 01 74 68 65 6E 3F C0</x:v>
      </x:c>
      <x:c r="K276" s="23" t="str">
        <x:v>1CC 010 036 036 001 033 031 038 028 084 022 01C 015 07A 1C0</x:v>
      </x:c>
    </x:row>
    <x:row r="277">
      <x:c r="A277" s="22" t="str">
        <x:f>"01"</x:f>
        <x:v>01</x:v>
      </x:c>
      <x:c r="B277" s="22" t="str">
        <x:f>"13"</x:f>
        <x:v>13</x:v>
      </x:c>
      <x:c r="C277" s="22" t="str">
        <x:f>"0x0113"</x:f>
        <x:v>0x0113</x:v>
      </x:c>
      <x:c r="D277" s="21" t="str">
        <x:v>&lt;SPEAKER&gt;「たしょうの ひようは
教会といえども かかります
でも むり強いは しません・・・</x:v>
      </x:c>
      <x:c r="E277" s="19" t="str">
        <x:v>&lt;SPEAKER&gt;Even a church has
some expenses to cover. But
I will not pressure you...</x:v>
      </x:c>
      <x:c r="F277" s="20" t="str"/>
      <x:c r="G277" s="20" t="str"/>
      <x:c r="H277" s="23" t="str">
        <x:v>SPEAKER NEWLINE NEWLINE END</x:v>
      </x:c>
      <x:c r="I277" s="23" t="str">
        <x:v>EA:30FE</x:v>
      </x:c>
      <x:c r="J277" s="23" t="str">
        <x:v>CC 45 76 65 6E 01 61 01 63 68 75 72 63 68 01 68 61 73 C8 73 6F 6D 65 01 65 78 70 65 6E 73 65 73 01 74 6F 01 63 6F 76 65 72 2E 01 42 75 74 C8 49 01 77 69 6C 6C 01 6E 6F 74 01 70 72 65 73 73 75 72 65 01 79 6F 75 2E 2E 2E C0</x:v>
      </x:c>
      <x:c r="K277" s="23" t="str">
        <x:v>1CC 01F 01B 041 012 028 001 02A 035 012 029 1C8 122 11E 023 011 013 084 023 032 001 015 015 037 02E 01C 1C8 084 022 032 001 030 037 138 011 029 001 01B 02E 01D 03D 081 081 081 1C0</x:v>
      </x:c>
    </x:row>
    <x:row r="278">
      <x:c r="A278" s="22" t="str">
        <x:f>"01"</x:f>
        <x:v>01</x:v>
      </x:c>
      <x:c r="B278" s="22" t="str">
        <x:f>"14"</x:f>
        <x:v>14</x:v>
      </x:c>
      <x:c r="C278" s="22" t="str">
        <x:f>"0x0114"</x:f>
        <x:v>0x0114</x:v>
      </x:c>
      <x:c r="D278" s="21" t="str">
        <x:v>&lt;SPEAKER&gt;「むむ! お金が たりないですよ</x:v>
      </x:c>
      <x:c r="E278" s="19" t="str">
        <x:v>&lt;SPEAKER&gt;Hmm! You don't
have enough money.</x:v>
      </x:c>
      <x:c r="F278" s="20" t="str"/>
      <x:c r="G278" s="20" t="str"/>
      <x:c r="H278" s="23" t="str">
        <x:v>SPEAKER NEWLINE END</x:v>
      </x:c>
      <x:c r="I278" s="23" t="str">
        <x:v>EA:3148</x:v>
      </x:c>
      <x:c r="J278" s="23" t="str">
        <x:v>CC 48 6D 6D 21 01 59 6F 75 01 64 6F 6E 27 74 C8 68 61 76 65 01 65 6E 6F 75 67 68 01 6D 6F 6E 65 79 2E C0</x:v>
      </x:c>
      <x:c r="K278" s="23" t="str">
        <x:v>1CC 030 030 07A 001 014 094 084 015 001 01F 037 024 011 084 022 01C 035 1C0</x:v>
      </x:c>
    </x:row>
    <x:row r="279">
      <x:c r="A279" s="22" t="str">
        <x:f>"01"</x:f>
        <x:v>01</x:v>
      </x:c>
      <x:c r="B279" s="22" t="str">
        <x:f>"15"</x:f>
        <x:v>15</x:v>
      </x:c>
      <x:c r="C279" s="22" t="str">
        <x:f>"0x0115"</x:f>
        <x:v>0x0115</x:v>
      </x:c>
      <x:c r="D279" s="21" t="str">
        <x:v>&lt;SPEAKER&gt;「誰の 毒を
ちゅうわするのですか?</x:v>
      </x:c>
      <x:c r="E279" s="19" t="str">
        <x:v>&lt;SPEAKER&gt;Whose poison shall I cure?</x:v>
      </x:c>
      <x:c r="F279" s="20" t="str"/>
      <x:c r="G279" s="20" t="str"/>
      <x:c r="H279" s="23" t="str">
        <x:v>SPEAKER END</x:v>
      </x:c>
      <x:c r="I279" s="23" t="str">
        <x:v>EA:316B</x:v>
      </x:c>
      <x:c r="J279" s="23" t="str">
        <x:v>CC 57 68 6F 73 65 01 70 6F 69 73 6F 6E 01 73 68 61 6C 6C 01 49 01 63 75 72 65 3F C0</x:v>
      </x:c>
      <x:c r="K279" s="23" t="str">
        <x:v>1CC 0FA 028 001 137 03C 1C8 020 040 012 03B 01C 038 028 084 022 01C 015 079 1C0</x:v>
      </x:c>
    </x:row>
    <x:row r="280">
      <x:c r="A280" s="22" t="str">
        <x:f>"01"</x:f>
        <x:v>01</x:v>
      </x:c>
      <x:c r="B280" s="22" t="str">
        <x:f>"16"</x:f>
        <x:v>16</x:v>
      </x:c>
      <x:c r="C280" s="22" t="str">
        <x:f>"0x0116"</x:f>
        <x:v>0x0116</x:v>
      </x:c>
      <x:c r="D280" s="21" t="str">
        <x:v>&lt;SPEAKER&gt;「では くすり代として
&lt;NUMBER&gt;エンドルを
おねがいします</x:v>
      </x:c>
      <x:c r="E280" s="19" t="str">
        <x:v>&lt;SPEAKER&gt;For the medicine,
I ask &lt;NUMBER&gt; Endol.</x:v>
      </x:c>
      <x:c r="F280" s="20" t="str"/>
      <x:c r="G280" s="20" t="str"/>
      <x:c r="H280" s="23" t="str">
        <x:v>SPEAKER NEWLINE NUMBER END</x:v>
      </x:c>
      <x:c r="I280" s="23" t="str">
        <x:v>EA:3187</x:v>
      </x:c>
      <x:c r="J280" s="23" t="str">
        <x:v>CC 46 6F 72 01 74 68 65 01 6D 65 64 69 63 69 6E 65 2C C8 49 01 61 73 6B 01 C2 01 45 6E 64 6F 6C 2E C0</x:v>
      </x:c>
      <x:c r="K280" s="23" t="str">
        <x:v>1CC 084 022 029 001 017 01C 037 09F 023 01B 022 1C8 1C2 045 06F 084 055 06A 03C 1C8 014 027 084 015 011 01B 02E 01C 1C0</x:v>
      </x:c>
    </x:row>
    <x:row r="281">
      <x:c r="A281" s="22" t="str">
        <x:f>"01"</x:f>
        <x:v>01</x:v>
      </x:c>
      <x:c r="B281" s="22" t="str">
        <x:f>"17"</x:f>
        <x:v>17</x:v>
      </x:c>
      <x:c r="C281" s="22" t="str">
        <x:f>"0x0117"</x:f>
        <x:v>0x0117</x:v>
      </x:c>
      <x:c r="D281" s="21" t="str">
        <x:v>&lt;SPEAKER&gt;「サンアルカーリー!
&lt;INSERT_B&gt;の 体の
毒を ちゅうわされりー!</x:v>
      </x:c>
      <x:c r="E281" s="19" t="str">
        <x:v>&lt;SPEAKER&gt;San Alkali!
Drive the poison from
&lt;INSERT_B&gt;'s body!</x:v>
      </x:c>
      <x:c r="F281" s="20" t="str"/>
      <x:c r="G281" s="20" t="str"/>
      <x:c r="H281" s="23" t="str">
        <x:v>SPEAKER NEWLINE NEWLINE INSERT_B END</x:v>
      </x:c>
      <x:c r="I281" s="23" t="str">
        <x:v>EA:31A9</x:v>
      </x:c>
      <x:c r="J281" s="23" t="str">
        <x:v>CC 53 61 6E 01 41 6C 6B 61 6C 69 21 C8 44 72 69 76 65 01 74 68 65 01 70 6F 69 73 6F 6E 01 66 72 6F 6D C8 CA 27 73 01 62 6F 64 79 21 C0</x:v>
      </x:c>
      <x:c r="K281" s="23" t="str">
        <x:v>1CC 04C 06F 042 06A 047 078 069 078 07A 1C8 1CA 028 001 0F0 028 1C8 137 03C 001 020 040 012 03B 01A 039 037 078 07A 1C0</x:v>
      </x:c>
    </x:row>
    <x:row r="282">
      <x:c r="A282" s="22" t="str">
        <x:f>"01"</x:f>
        <x:v>01</x:v>
      </x:c>
      <x:c r="B282" s="22" t="str">
        <x:f>"18"</x:f>
        <x:v>18</x:v>
      </x:c>
      <x:c r="C282" s="22" t="str">
        <x:f>"0x0118"</x:f>
        <x:v>0x0118</x:v>
      </x:c>
      <x:c r="D282" s="21" t="str">
        <x:v>&lt;SPEAKER&gt;「むむ &lt;INSERT_B&gt;さんは
毒に むしばまれていませんよ</x:v>
      </x:c>
      <x:c r="E282" s="19" t="str">
        <x:v>&lt;SPEAKER&gt;Hmm.
&lt;INSERT_B&gt;
is not poisoned.</x:v>
      </x:c>
      <x:c r="F282" s="20" t="str"/>
      <x:c r="G282" s="20" t="str"/>
      <x:c r="H282" s="23" t="str">
        <x:v>SPEAKER NEWLINE INSERT_B NEWLINE END</x:v>
      </x:c>
      <x:c r="I282" s="23" t="str">
        <x:v>EA:31D6</x:v>
      </x:c>
      <x:c r="J282" s="23" t="str">
        <x:v>CC 48 6D 6D 2E C8 CA C8 69 73 01 6E 6F 74 01 70 6F 69 73 6F 6E 65 64 2E C0</x:v>
      </x:c>
      <x:c r="K282" s="23" t="str">
        <x:v>1CC 030 030 001 1CA 01A 03D 029 1C8 137 025 001 030 01B 084 029 02E 039 022 011 02E 01D 03D 035 1C0</x:v>
      </x:c>
    </x:row>
    <x:row r="283">
      <x:c r="A283" s="22" t="str">
        <x:f>"01"</x:f>
        <x:v>01</x:v>
      </x:c>
      <x:c r="B283" s="22" t="str">
        <x:f>"19"</x:f>
        <x:v>19</x:v>
      </x:c>
      <x:c r="C283" s="22" t="str">
        <x:f>"0x0119"</x:f>
        <x:v>0x0119</x:v>
      </x:c>
      <x:c r="D283" s="21" t="str">
        <x:v>&lt;SPEAKER&gt;「誰を おはらいするのじゃい?</x:v>
      </x:c>
      <x:c r="E283" s="19" t="str">
        <x:v>&lt;SPEAKER&gt;Whom shall I exorcise?</x:v>
      </x:c>
      <x:c r="F283" s="20" t="str"/>
      <x:c r="G283" s="20" t="str"/>
      <x:c r="H283" s="23" t="str">
        <x:v>SPEAKER END</x:v>
      </x:c>
      <x:c r="I283" s="23" t="str">
        <x:v>EA:31EF</x:v>
      </x:c>
      <x:c r="J283" s="23" t="str">
        <x:v>CC 57 68 6F 6D 01 73 68 61 6C 6C 01 49 01 65 78 6F 72 63 69 73 65 3F C0</x:v>
      </x:c>
      <x:c r="K283" s="23" t="str">
        <x:v>1CC 0FA 03C 001 014 029 036 011 01C 038 028 084 01B 03F 011 079 1C0</x:v>
      </x:c>
    </x:row>
    <x:row r="284">
      <x:c r="A284" s="22" t="str">
        <x:f>"01"</x:f>
        <x:v>01</x:v>
      </x:c>
      <x:c r="B284" s="22" t="str">
        <x:f>"1A"</x:f>
        <x:v>1A</x:v>
      </x:c>
      <x:c r="C284" s="22" t="str">
        <x:f>"0x011A"</x:f>
        <x:v>0x011A</x:v>
      </x:c>
      <x:c r="D284" s="21" t="str">
        <x:v>&lt;SPEAKER&gt;「では じっぴとして
&lt;NUMBER&gt;エンドルを
もらいますぞ</x:v>
      </x:c>
      <x:c r="E284" s="19" t="str">
        <x:v>&lt;SPEAKER&gt;For expenses,
I ask &lt;NUMBER&gt; Endol.</x:v>
      </x:c>
      <x:c r="F284" s="20" t="str"/>
      <x:c r="G284" s="20" t="str"/>
      <x:c r="H284" s="23" t="str">
        <x:v>SPEAKER NEWLINE NUMBER END</x:v>
      </x:c>
      <x:c r="I284" s="23" t="str">
        <x:v>EA:3207</x:v>
      </x:c>
      <x:c r="J284" s="23" t="str">
        <x:v>CC 46 6F 72 01 65 78 70 65 6E 73 65 73 2C C8 49 01 61 73 6B 01 C2 01 45 6E 64 6F 6C 2E C0</x:v>
      </x:c>
      <x:c r="K284" s="23" t="str">
        <x:v>1CC 084 022 029 001 084 01B 03E 083 02A 023 01B 022 1C8 1C2 045 06F 084 055 06A 03C 1C8 032 036 011 02E 01C 084 01E 1C0</x:v>
      </x:c>
    </x:row>
    <x:row r="285">
      <x:c r="A285" s="22" t="str">
        <x:f>"01"</x:f>
        <x:v>01</x:v>
      </x:c>
      <x:c r="B285" s="22" t="str">
        <x:f>"1B"</x:f>
        <x:v>1B</x:v>
      </x:c>
      <x:c r="C285" s="22" t="str">
        <x:f>"0x011B"</x:f>
        <x:v>0x011B</x:v>
      </x:c>
      <x:c r="D285" s="21" t="str">
        <x:v>&lt;SPEAKER&gt;「ナーム! ナーム! ナン!
&lt;INSERT_B&gt;に とりつき 呪いを
けちらしたまえ!</x:v>
      </x:c>
      <x:c r="E285" s="19" t="str">
        <x:v>&lt;SPEAKER&gt;Naam! Naam! Nan!
Drive away the curse clinging
to &lt;INSERT_B&gt;!</x:v>
      </x:c>
      <x:c r="F285" s="20" t="str"/>
      <x:c r="G285" s="20" t="str"/>
      <x:c r="H285" s="23" t="str">
        <x:v>SPEAKER NEWLINE NEWLINE INSERT_B END</x:v>
      </x:c>
      <x:c r="I285" s="23" t="str">
        <x:v>EA:3225</x:v>
      </x:c>
      <x:c r="J285" s="23" t="str">
        <x:v>CC 4E 61 61 6D 21 01 4E 61 61 6D 21 01 4E 61 6E 21 C8 44 72 69 76 65 01 61 77 61 79 01 74 68 65 01 63 75 72 73 65 01 63 6C 69 6E 67 69 6E 67 C8 74 6F 01 CA 21 C0</x:v>
      </x:c>
      <x:c r="K285" s="23" t="str">
        <x:v>1CC 056 078 062 07A 001 056 078 062 07A 001 056 06F 07A 1C8 1CA 025 001 023 037 021 016 001 12D 011 03C 1C8 018 020 036 01B 01F 02E 013 07A 1C0</x:v>
      </x:c>
    </x:row>
    <x:row r="286">
      <x:c r="A286" s="22" t="str">
        <x:f>"01"</x:f>
        <x:v>01</x:v>
      </x:c>
      <x:c r="B286" s="22" t="str">
        <x:f>"1C"</x:f>
        <x:v>1C</x:v>
      </x:c>
      <x:c r="C286" s="22" t="str">
        <x:f>"0x011C"</x:f>
        <x:v>0x011C</x:v>
      </x:c>
      <x:c r="D286" s="21" t="str">
        <x:v>&lt;SPEAKER&gt;「むむ &lt;INSERT_B&gt;さんは
呪われては いないようですぞ</x:v>
      </x:c>
      <x:c r="E286" s="19" t="str">
        <x:v>&lt;SPEAKER&gt;Hmm.
&lt;INSERT_B&gt; does
not seem to be cursed.</x:v>
      </x:c>
      <x:c r="F286" s="20" t="str"/>
      <x:c r="G286" s="20" t="str"/>
      <x:c r="H286" s="23" t="str">
        <x:v>SPEAKER NEWLINE INSERT_B NEWLINE END</x:v>
      </x:c>
      <x:c r="I286" s="23" t="str">
        <x:v>EA:325B</x:v>
      </x:c>
      <x:c r="J286" s="23" t="str">
        <x:v>CC 48 6D 6D 2E C8 CA 01 64 6F 65 73 C8 6E 6F 74 01 73 65 65 6D 01 74 6F 01 62 65 01 63 75 72 73 65 64 2E C0</x:v>
      </x:c>
      <x:c r="K286" s="23" t="str">
        <x:v>1CC 030 030 001 1CA 01A 03D 029 1C8 12D 03B 039 022 029 001 011 024 011 035 012 084 022 01C 084 01E 1C0</x:v>
      </x:c>
    </x:row>
    <x:row r="287">
      <x:c r="A287" s="22" t="str">
        <x:f>"01"</x:f>
        <x:v>01</x:v>
      </x:c>
      <x:c r="B287" s="22" t="str">
        <x:f>"1D"</x:f>
        <x:v>1D</x:v>
      </x:c>
      <x:c r="C287" s="22" t="str">
        <x:f>"0x011D"</x:f>
        <x:v>0x011D</x:v>
      </x:c>
      <x:c r="D287" s="21" t="str">
        <x:v>&lt;SPEAKER&gt;「神を しんじるのと おなじくらい
けんこうは たいせつなことです
何か こまっていませんか?</x:v>
      </x:c>
      <x:c r="E287" s="19" t="str">
        <x:v>&lt;SPEAKER&gt;Health is just as
important as faith in God.
Is something troubling you?</x:v>
      </x:c>
      <x:c r="F287" s="20" t="str"/>
      <x:c r="G287" s="20" t="str"/>
      <x:c r="H287" s="23" t="str">
        <x:v>SPEAKER NEWLINE NEWLINE END</x:v>
      </x:c>
      <x:c r="I287" s="23" t="str">
        <x:v>EA:327F</x:v>
      </x:c>
      <x:c r="J287" s="23" t="str">
        <x:v>CC 48 65 61 6C 74 68 01 69 73 01 6A 75 73 74 01 61 73 C8 69 6D 70 6F 72 74 61 6E 74 01 61 73 01 66 61 69 74 68 01 69 6E 01 47 6F 64 2E C8 49 73 01 73 6F 6D 65 74 68 69 6E 67 01 74 72 6F 75 62 6C 69 6E 67 01 79 6F 75 3F C0</x:v>
      </x:c>
      <x:c r="K287" s="23" t="str">
        <x:v>1CC 0DC 03C 001 01B 03D 084 01B 038 028 023 001 014 024 084 01B 017 036 011 1C8 018 03D 019 012 029 001 01F 011 01D 021 024 019 023 084 022 01C 1C8 093 015 001 019 02E 03E 022 011 02E 01D 03D 015 079 1C0</x:v>
      </x:c>
    </x:row>
    <x:row r="288">
      <x:c r="A288" s="22" t="str">
        <x:f>"01"</x:f>
        <x:v>01</x:v>
      </x:c>
      <x:c r="B288" s="22" t="str">
        <x:f>"1E"</x:f>
        <x:v>1E</x:v>
      </x:c>
      <x:c r="C288" s="22" t="str">
        <x:f>"0x011E"</x:f>
        <x:v>0x011E</x:v>
      </x:c>
      <x:c r="D288" s="21" t="str">
        <x:v>&lt;SPEAKER&gt;「ほかにも 何か
こまっていませんか?</x:v>
      </x:c>
      <x:c r="E288" s="19" t="str">
        <x:v>&lt;SPEAKER&gt;Anything
else troubling you?</x:v>
      </x:c>
      <x:c r="F288" s="20" t="str"/>
      <x:c r="G288" s="20" t="str"/>
      <x:c r="H288" s="23" t="str">
        <x:v>SPEAKER NEWLINE END</x:v>
      </x:c>
      <x:c r="I288" s="23" t="str">
        <x:v>EA:32C9</x:v>
      </x:c>
      <x:c r="J288" s="23" t="str">
        <x:v>CC 41 6E 79 74 68 69 6E 67 C8 65 6C 73 65 01 74 72 6F 75 62 6C 69 6E 67 01 79 6F 75 3F C0</x:v>
      </x:c>
      <x:c r="K288" s="23" t="str">
        <x:v>1CC 02D 015 025 032 001 093 015 1C8 019 02E 03E 022 011 02E 01D 03D 015 079 1C0</x:v>
      </x:c>
    </x:row>
    <x:row r="289">
      <x:c r="A289" s="22" t="str">
        <x:f>"01"</x:f>
        <x:v>01</x:v>
      </x:c>
      <x:c r="B289" s="22" t="str">
        <x:f>"1F"</x:f>
        <x:v>1F</x:v>
      </x:c>
      <x:c r="C289" s="22" t="str">
        <x:f>"0x011F"</x:f>
        <x:v>0x011F</x:v>
      </x:c>
      <x:c r="D289" s="21" t="str">
        <x:v>&lt;SPEAKER&gt;「体の けんこうと おなじくらい
神を しんじることは
たいせつなことですよ</x:v>
      </x:c>
      <x:c r="E289" s="19" t="str">
        <x:v>&lt;SPEAKER&gt;Faith in God is just
as important as bodily health.</x:v>
      </x:c>
      <x:c r="F289" s="20" t="str"/>
      <x:c r="G289" s="20" t="str"/>
      <x:c r="H289" s="23" t="str">
        <x:v>SPEAKER NEWLINE END</x:v>
      </x:c>
      <x:c r="I289" s="23" t="str">
        <x:v>EA:32E7</x:v>
      </x:c>
      <x:c r="J289" s="23" t="str">
        <x:v>CC 46 61 69 74 68 01 69 6E 01 47 6F 64 01 69 73 01 6A 75 73 74 C8 61 73 01 69 6D 70 6F 72 74 61 6E 74 01 61 73 01 62 6F 64 69 6C 79 01 68 65 61 6C 74 68 2E C0</x:v>
      </x:c>
      <x:c r="K289" s="23" t="str">
        <x:v>1CC 0F0 028 001 018 03D 019 012 023 001 014 024 084 01B 017 036 011 1C8 0DC 03C 001 01B 03D 084 01B 038 019 023 029 1C8 01F 011 01D 021 024 019 023 084 022 01C 035 1C0</x:v>
      </x:c>
    </x:row>
    <x:row r="290">
      <x:c r="A290" s="22" t="str">
        <x:f>"01"</x:f>
        <x:v>01</x:v>
      </x:c>
      <x:c r="B290" s="22" t="str">
        <x:f>"20"</x:f>
        <x:v>20</x:v>
      </x:c>
      <x:c r="C290" s="22" t="str">
        <x:f>"0x0120"</x:f>
        <x:v>0x0120</x:v>
      </x:c>
      <x:c r="D290" s="21" t="str">
        <x:v>&lt;SPEAKER&gt;「おかえりなさい
&lt;INSERT_B&gt;さん&lt;WAIT&gt;&lt;SPEAKER&gt;「きょうも いちにち
けんこうにね!
ハヴァナイスデイ!</x:v>
      </x:c>
      <x:c r="E290" s="19" t="str">
        <x:v>&lt;SPEAKER&gt;Welcome back,
&lt;INSERT_B&gt;.&lt;WAIT&gt;&lt;SPEAKER&gt;Stay healthy today,
too! Have a nice day!</x:v>
      </x:c>
      <x:c r="F290" s="20" t="str"/>
      <x:c r="G290" s="20" t="str"/>
      <x:c r="H290" s="23" t="str">
        <x:v>SPEAKER NEWLINE INSERT_B WAIT SPEAKER NEWLINE END</x:v>
      </x:c>
      <x:c r="I290" s="23" t="str">
        <x:v>EA:331C</x:v>
      </x:c>
      <x:c r="J290" s="23" t="str">
        <x:v>CC 57 65 6C 63 6F 6D 65 01 62 61 63 6B 2C C8 CA 2E C5 CC 53 74 61 79 01 68 65 61 6C 74 68 79 01 74 6F 64 61 79 2C C8 74 6F 6F 21 01 48 61 76 65 01 61 01 6E 69 63 65 01 64 61 79 21 C0</x:v>
      </x:c>
      <x:c r="K290" s="23" t="str">
        <x:v>1CC 014 015 013 037 024 01A 011 1C8 1CA 01A 03D 1C5 1CC 016 041 012 032 001 011 020 025 020 1C8 018 03D 019 012 025 027 07A 1C8 05B 084 044 074 056 043 04E 084 054 043 07A 1C0</x:v>
      </x:c>
    </x:row>
    <x:row r="291">
      <x:c r="A291" s="22" t="str">
        <x:f>"01"</x:f>
        <x:v>01</x:v>
      </x:c>
      <x:c r="B291" s="22" t="str">
        <x:f>"21"</x:f>
        <x:v>21</x:v>
      </x:c>
      <x:c r="C291" s="22" t="str">
        <x:f>"0x0121"</x:f>
        <x:v>0x0121</x:v>
      </x:c>
      <x:c r="D291" s="21" t="str">
        <x:v>&lt;SPEAKER&gt;「では 冒険の お話を
聞かせてください&lt;WAIT&gt;&lt;SPEAKER&gt;「よろしかったら この探険日記に
書きこんでおきましょう
いいですよね?</x:v>
      </x:c>
      <x:c r="E291" s="19" t="str">
        <x:v>&lt;SPEAKER&gt;Tell me
of your adventure.&lt;WAIT&gt;&lt;SPEAKER&gt;If you like, I'll record
it in this Explorer's Journal.
That sounds good, right?</x:v>
      </x:c>
      <x:c r="F291" s="20" t="str"/>
      <x:c r="G291" s="20" t="str"/>
      <x:c r="H291" s="23" t="str">
        <x:v>SPEAKER NEWLINE WAIT SPEAKER NEWLINE NEWLINE END</x:v>
      </x:c>
      <x:c r="I291" s="23" t="str">
        <x:v>EA:3359</x:v>
      </x:c>
      <x:c r="J291" s="23" t="str">
        <x:v>CC 54 65 6C 6C 01 6D 65 C8 6F 66 01 79 6F 75 72 01 61 64 76 65 6E 74 75 72 65 2E C5 CC 49 66 01 79 6F 75 01 6C 69 6B 65 2C 01 49 27 6C 6C 01 72 65 63 6F 72 64 C8 69 74 01 69 6E 01 74 68 69 73 01 45 78 70 6C 6F 72 65 72 27 73 01 4A 6F 75 72 6E 61 6C 2E C8 54 68 61 74 01 73 6F 75 6E 64 73 01 67 6F 6F 64 2C 01 72 69 67 68 74 3F C0</x:v>
      </x:c>
      <x:c r="K291" s="23" t="str">
        <x:v>1CC 084 022 029 001 0BA 0BB 028 001 014 0A0 03C 1C8 0A6 015 01D 022 017 084 01F 01A 011 1C5 1CC 035 03A 01B 015 03E 01F 036 001 019 028 184 0BB 120 11B 025 1C8 098 016 019 03D 084 022 014 016 02E 01B 041 012 1C8 011 011 084 022 01C 035 027 079 1C0</x:v>
      </x:c>
    </x:row>
    <x:row r="292">
      <x:c r="A292" s="22" t="str">
        <x:f>"01"</x:f>
        <x:v>01</x:v>
      </x:c>
      <x:c r="B292" s="22" t="str">
        <x:f>"22"</x:f>
        <x:v>22</x:v>
      </x:c>
      <x:c r="C292" s="22" t="str">
        <x:f>"0x0122"</x:f>
        <x:v>0x0122</x:v>
      </x:c>
      <x:c r="D292" s="21" t="str">
        <x:v>&lt;SPEAKER&gt;「これで いいですね</x:v>
      </x:c>
      <x:c r="E292" s="19" t="str">
        <x:v>&lt;SPEAKER&gt;This will do, yes?</x:v>
      </x:c>
      <x:c r="F292" s="20" t="str"/>
      <x:c r="G292" s="20" t="str"/>
      <x:c r="H292" s="23" t="str">
        <x:v>SPEAKER END</x:v>
      </x:c>
      <x:c r="I292" s="23" t="str">
        <x:v>EA:33C7</x:v>
      </x:c>
      <x:c r="J292" s="23" t="str">
        <x:v>CC 54 68 69 73 01 77 69 6C 6C 01 64 6F 2C 01 79 65 73 3F C0</x:v>
      </x:c>
      <x:c r="K292" s="23" t="str">
        <x:v>1CC 019 039 084 022 001 011 011 084 022 01C 027 1C0</x:v>
      </x:c>
    </x:row>
    <x:row r="293">
      <x:c r="A293" s="22" t="str">
        <x:f>"01"</x:f>
        <x:v>01</x:v>
      </x:c>
      <x:c r="B293" s="22" t="str">
        <x:f>"23"</x:f>
        <x:v>23</x:v>
      </x:c>
      <x:c r="C293" s="22" t="str">
        <x:f>"0x0123"</x:f>
        <x:v>0x0123</x:v>
      </x:c>
      <x:c r="D293" s="21" t="str">
        <x:v>&lt;SPEAKER&gt;「書くのは やめますか?
それも いいですね</x:v>
      </x:c>
      <x:c r="E293" s="19" t="str">
        <x:v>&lt;SPEAKER&gt;Don't want to write
it down? That's fine too.</x:v>
      </x:c>
      <x:c r="F293" s="20" t="str"/>
      <x:c r="G293" s="20" t="str"/>
      <x:c r="H293" s="23" t="str">
        <x:v>SPEAKER NEWLINE END</x:v>
      </x:c>
      <x:c r="I293" s="23" t="str">
        <x:v>EA:33DB</x:v>
      </x:c>
      <x:c r="J293" s="23" t="str">
        <x:v>CC 44 6F 6E 27 74 01 77 61 6E 74 01 74 6F 01 77 72 69 74 65 C8 69 74 01 64 6F 77 6E 3F 01 54 68 61 74 27 73 01 66 69 6E 65 01 74 6F 6F 2E C0</x:v>
      </x:c>
      <x:c r="K293" s="23" t="str">
        <x:v>1CC 098 017 028 029 001 033 031 02E 01C 015 079 1C8 01E 039 032 001 011 011 084 022 01C 027 1C0</x:v>
      </x:c>
    </x:row>
    <x:row r="294">
      <x:c r="A294" s="22" t="str">
        <x:f>"01"</x:f>
        <x:v>01</x:v>
      </x:c>
      <x:c r="B294" s="22" t="str">
        <x:f>"24"</x:f>
        <x:v>24</x:v>
      </x:c>
      <x:c r="C294" s="22" t="str">
        <x:f>"0x0124"</x:f>
        <x:v>0x0124</x:v>
      </x:c>
      <x:c r="D294" s="21" t="str">
        <x:v>&lt;SPEAKER&gt;「まあ 探険日記を 書かずに
お休みですか?&lt;WAIT&gt;&lt;SPEAKER&gt;「今までの お話が なくなって
ひとつ前に もどりますが
いいですか?</x:v>
      </x:c>
      <x:c r="E294" s="19" t="str">
        <x:v>&lt;SPEAKER&gt;Rest without updating
the Explorer's Journal?&lt;WAIT&gt;&lt;SPEAKER&gt;Your latest story will
be lost and you'll return to the
previous entry. Is that all right?</x:v>
      </x:c>
      <x:c r="F294" s="20" t="str"/>
      <x:c r="G294" s="20" t="str"/>
      <x:c r="H294" s="23" t="str">
        <x:v>SPEAKER NEWLINE WAIT SPEAKER NEWLINE NEWLINE END</x:v>
      </x:c>
      <x:c r="I294" s="23" t="str">
        <x:v>EA:340A</x:v>
      </x:c>
      <x:c r="J294" s="23" t="str">
        <x:v>CC 52 65 73 74 01 77 69 74 68 6F 75 74 01 75 70 64 61 74 69 6E 67 C8 74 68 65 01 45 78 70 6C 6F 72 65 72 27 73 01 4A 6F 75 72 6E 61 6C 3F C5 CC 59 6F 75 72 01 6C 61 74 65 73 74 01 73 74 6F 72 79 01 77 69 6C 6C C8 62 65 01 6C 6F 73 74 01 61 6E 64 01 79 6F 75 27 6C 6C 01 72 65 74 75 72 6E 01 74 6F 01 74 68 65 C8 70 72 65 76 69 6F 75 73 01 65 6E 74 72 79 2E 01 49 73 01 74 68 61 74 01 61 6C 6C 01 72 69 67 68 74 3F C0</x:v>
      </x:c>
      <x:c r="K294" s="23" t="str">
        <x:v>1CC 02E 010 001 184 0BB 120 11B 03C 001 098 015 084 01C 025 1C8 014 140 02F 084 022 01C 015 079 1C5 1CC 150 02E 084 022 028 001 014 0A0 084 015 001 024 017 024 03E 022 1C8 02A 023 021 0C3 025 001 032 084 023 037 02E 01C 084 015 1C8 011 011 084 022 01C 015 079 1C0</x:v>
      </x:c>
    </x:row>
    <x:row r="295">
      <x:c r="A295" s="22" t="str">
        <x:f>"01"</x:f>
        <x:v>01</x:v>
      </x:c>
      <x:c r="B295" s="22" t="str">
        <x:f>"25"</x:f>
        <x:v>25</x:v>
      </x:c>
      <x:c r="C295" s="22" t="str">
        <x:f>"0x0125"</x:f>
        <x:v>0x0125</x:v>
      </x:c>
      <x:c r="D295" s="21" t="str">
        <x:v>&lt;SPEAKER&gt;「休息も けんこうには
たいせつなことです
グッナイ・・・</x:v>
      </x:c>
      <x:c r="E295" s="19" t="str">
        <x:v>&lt;SPEAKER&gt;Rest is important for
good health too. Good night...</x:v>
      </x:c>
      <x:c r="F295" s="20" t="str"/>
      <x:c r="G295" s="20" t="str"/>
      <x:c r="H295" s="23" t="str">
        <x:v>SPEAKER NEWLINE END</x:v>
      </x:c>
      <x:c r="I295" s="23" t="str">
        <x:v>EA:3495</x:v>
      </x:c>
      <x:c r="J295" s="23" t="str">
        <x:v>CC 52 65 73 74 01 69 73 01 69 6D 70 6F 72 74 61 6E 74 01 66 6F 72 C8 67 6F 6F 64 01 68 65 61 6C 74 68 01 74 6F 6F 2E 01 47 6F 6F 64 01 6E 69 67 68 74 2E 2E 2E C0</x:v>
      </x:c>
      <x:c r="K295" s="23" t="str">
        <x:v>1CC 140 139 032 001 018 03D 019 012 025 029 1C8 01F 011 01D 021 024 019 023 084 022 01C 1C8 084 049 070 056 043 081 081 081 1C0</x:v>
      </x:c>
    </x:row>
    <x:row r="296">
      <x:c r="A296" s="22" t="str">
        <x:f>"01"</x:f>
        <x:v>01</x:v>
      </x:c>
      <x:c r="B296" s="22" t="str">
        <x:f>"26"</x:f>
        <x:v>26</x:v>
      </x:c>
      <x:c r="C296" s="22" t="str">
        <x:f>"0x0126"</x:f>
        <x:v>0x0126</x:v>
      </x:c>
      <x:c r="D296" s="21" t="str">
        <x:v>&lt;SPEAKER&gt;「でも &lt;INSERT_B&gt;さんは
おたっしゃですよ</x:v>
      </x:c>
      <x:c r="E296" s="19" t="str">
        <x:v>&lt;SPEAKER&gt;But
&lt;INSERT_B&gt;
is perfectly healthy.</x:v>
      </x:c>
      <x:c r="F296" s="20" t="str"/>
      <x:c r="G296" s="20" t="str"/>
      <x:c r="H296" s="23" t="str">
        <x:v>SPEAKER NEWLINE INSERT_B NEWLINE END</x:v>
      </x:c>
      <x:c r="I296" s="23" t="str">
        <x:v>EA:34CB</x:v>
      </x:c>
      <x:c r="J296" s="23" t="str">
        <x:v>CC 42 75 74 C8 CA C8 69 73 01 70 65 72 66 65 63 74 6C 79 01 68 65 61 6C 74 68 79 2E C0</x:v>
      </x:c>
      <x:c r="K296" s="23" t="str">
        <x:v>1CC 084 022 032 001 1CA 01A 03D 029 1C8 014 01F 03E 01B 03F 084 022 01C 035 1C0</x:v>
      </x:c>
    </x:row>
    <x:row r="297">
      <x:c r="A297" s="22" t="str">
        <x:f>"01"</x:f>
        <x:v>01</x:v>
      </x:c>
      <x:c r="B297" s="22" t="str">
        <x:f>"27"</x:f>
        <x:v>27</x:v>
      </x:c>
      <x:c r="C297" s="22" t="str">
        <x:f>"0x0127"</x:f>
        <x:v>0x0127</x:v>
      </x:c>
      <x:c r="D297" s="21" t="str">
        <x:v>&lt;SPEAKER&gt;「いまは やめておきますか</x:v>
      </x:c>
      <x:c r="E297" s="19" t="str">
        <x:v>&lt;SPEAKER&gt;Leave it for now?</x:v>
      </x:c>
      <x:c r="F297" s="20" t="str"/>
      <x:c r="G297" s="20" t="str"/>
      <x:c r="H297" s="23" t="str">
        <x:v>SPEAKER END</x:v>
      </x:c>
      <x:c r="I297" s="23" t="str">
        <x:v>EA:34E8</x:v>
      </x:c>
      <x:c r="J297" s="23" t="str">
        <x:v>CC 4C 65 61 76 65 01 69 74 01 66 6F 72 01 6E 6F 77 3F C0</x:v>
      </x:c>
      <x:c r="K297" s="23" t="str">
        <x:v>1CC 011 02E 029 001 033 031 022 014 016 02E 01C 015 1C0</x:v>
      </x:c>
    </x:row>
    <x:row r="298">
      <x:c r="A298" s="22" t="str">
        <x:f>"01"</x:f>
        <x:v>01</x:v>
      </x:c>
      <x:c r="B298" s="22" t="str">
        <x:f>"28"</x:f>
        <x:v>28</x:v>
      </x:c>
      <x:c r="C298" s="22" t="str">
        <x:f>"0x0128"</x:f>
        <x:v>0x0128</x:v>
      </x:c>
      <x:c r="D298" s="21" t="str">
        <x:v>&lt;SPEAKER&gt;「まあ お金が
たりないようですわね</x:v>
      </x:c>
      <x:c r="E298" s="19" t="str">
        <x:v>&lt;SPEAKER&gt;Oh my, it seems
you are short on money.</x:v>
      </x:c>
      <x:c r="F298" s="20" t="str"/>
      <x:c r="G298" s="20" t="str"/>
      <x:c r="H298" s="23" t="str">
        <x:v>SPEAKER NEWLINE END</x:v>
      </x:c>
      <x:c r="I298" s="23" t="str">
        <x:v>EA:34FB</x:v>
      </x:c>
      <x:c r="J298" s="23" t="str">
        <x:v>CC 4F 68 01 6D 79 2C 01 69 74 01 73 65 65 6D 73 C8 79 6F 75 01 61 72 65 01 73 68 6F 72 74 01 6F 6E 01 6D 6F 6E 65 79 2E C0</x:v>
      </x:c>
      <x:c r="K298" s="23" t="str">
        <x:v>1CC 02E 010 001 014 094 084 015 1C8 01F 037 024 011 035 012 084 022 01C 03B 027 1C0</x:v>
      </x:c>
    </x:row>
    <x:row r="299">
      <x:c r="A299" s="22" t="str">
        <x:f>"01"</x:f>
        <x:v>01</x:v>
      </x:c>
      <x:c r="B299" s="22" t="str">
        <x:f>"29"</x:f>
        <x:v>29</x:v>
      </x:c>
      <x:c r="C299" s="22" t="str">
        <x:f>"0x0129"</x:f>
        <x:v>0x0129</x:v>
      </x:c>
      <x:c r="D299" s="21" t="str">
        <x:v>&lt;SPEAKER&gt;「でも &lt;INSERT_B&gt;さんは
毒に むしばまれていませんよ</x:v>
      </x:c>
      <x:c r="E299" s="19" t="str">
        <x:v>&lt;SPEAKER&gt;But
&lt;INSERT_B&gt;
is not poisoned.</x:v>
      </x:c>
      <x:c r="F299" s="20" t="str"/>
      <x:c r="G299" s="20" t="str"/>
      <x:c r="H299" s="23" t="str">
        <x:v>SPEAKER NEWLINE INSERT_B NEWLINE END</x:v>
      </x:c>
      <x:c r="I299" s="23" t="str">
        <x:v>EA:3524</x:v>
      </x:c>
      <x:c r="J299" s="23" t="str">
        <x:v>CC 42 75 74 C8 CA C8 69 73 01 6E 6F 74 01 70 6F 69 73 6F 6E 65 64 2E C0</x:v>
      </x:c>
      <x:c r="K299" s="23" t="str">
        <x:v>1CC 084 022 032 001 1CA 01A 03D 029 1C8 137 025 001 030 01B 084 029 02E 039 022 011 02E 01D 03D 035 1C0</x:v>
      </x:c>
    </x:row>
    <x:row r="300">
      <x:c r="A300" s="22" t="str">
        <x:f>"01"</x:f>
        <x:v>01</x:v>
      </x:c>
      <x:c r="B300" s="22" t="str">
        <x:f>"2A"</x:f>
        <x:v>2A</x:v>
      </x:c>
      <x:c r="C300" s="22" t="str">
        <x:f>"0x012A"</x:f>
        <x:v>0x012A</x:v>
      </x:c>
      <x:c r="D300" s="21" t="str">
        <x:v>&lt;SPEAKER&gt;「誰を おはらいしましょうか?</x:v>
      </x:c>
      <x:c r="E300" s="19" t="str">
        <x:v>&lt;SPEAKER&gt;Whom shall I exorcise?</x:v>
      </x:c>
      <x:c r="F300" s="20" t="str"/>
      <x:c r="G300" s="20" t="str"/>
      <x:c r="H300" s="23" t="str">
        <x:v>SPEAKER END</x:v>
      </x:c>
      <x:c r="I300" s="23" t="str">
        <x:v>EA:353C</x:v>
      </x:c>
      <x:c r="J300" s="23" t="str">
        <x:v>CC 57 68 6F 6D 01 73 68 61 6C 6C 01 49 01 65 78 6F 72 63 69 73 65 3F C0</x:v>
      </x:c>
      <x:c r="K300" s="23" t="str">
        <x:v>1CC 0FA 03C 001 014 029 036 011 01B 02E 01B 041 012 015 079 1C0</x:v>
      </x:c>
    </x:row>
    <x:row r="301">
      <x:c r="A301" s="22" t="str">
        <x:f>"01"</x:f>
        <x:v>01</x:v>
      </x:c>
      <x:c r="B301" s="22" t="str">
        <x:f>"2B"</x:f>
        <x:v>2B</x:v>
      </x:c>
      <x:c r="C301" s="22" t="str">
        <x:f>"0x012B"</x:f>
        <x:v>0x012B</x:v>
      </x:c>
      <x:c r="D301" s="21" t="str">
        <x:v>&lt;SPEAKER&gt;「では じっぴとして
&lt;NUMBER&gt;エンドルを
いただきたいのですが</x:v>
      </x:c>
      <x:c r="E301" s="19" t="str">
        <x:v>&lt;SPEAKER&gt;For expenses, I
would ask &lt;NUMBER&gt; Endol.</x:v>
      </x:c>
      <x:c r="F301" s="20" t="str"/>
      <x:c r="G301" s="20" t="str"/>
      <x:c r="H301" s="23" t="str">
        <x:v>SPEAKER NEWLINE NUMBER END</x:v>
      </x:c>
      <x:c r="I301" s="23" t="str">
        <x:v>EA:3554</x:v>
      </x:c>
      <x:c r="J301" s="23" t="str">
        <x:v>CC 46 6F 72 01 65 78 70 65 6E 73 65 73 2C 01 49 C8 77 6F 75 6C 64 01 61 73 6B 01 C2 01 45 6E 64 6F 6C 2E C0</x:v>
      </x:c>
      <x:c r="K301" s="23" t="str">
        <x:v>1CC 084 022 029 001 084 01B 03E 083 02A 023 01B 022 1C8 1C2 045 06F 084 055 06A 03C 1C8 011 01F 084 01F 016 01F 011 028 084 022 01C 084 015 1C0</x:v>
      </x:c>
    </x:row>
    <x:row r="302">
      <x:c r="A302" s="22" t="str">
        <x:f>"01"</x:f>
        <x:v>01</x:v>
      </x:c>
      <x:c r="B302" s="22" t="str">
        <x:f>"2C"</x:f>
        <x:v>2C</x:v>
      </x:c>
      <x:c r="C302" s="22" t="str">
        <x:f>"0x012C"</x:f>
        <x:v>0x012C</x:v>
      </x:c>
      <x:c r="D302" s="21" t="str">
        <x:v>&lt;SPEAKER&gt;「でも &lt;INSERT_B&gt;さんは
呪われては いませんよ</x:v>
      </x:c>
      <x:c r="E302" s="19" t="str">
        <x:v>&lt;SPEAKER&gt;But
&lt;INSERT_B&gt;
is not cursed.</x:v>
      </x:c>
      <x:c r="F302" s="20" t="str"/>
      <x:c r="G302" s="20" t="str"/>
      <x:c r="H302" s="23" t="str">
        <x:v>SPEAKER NEWLINE INSERT_B NEWLINE END</x:v>
      </x:c>
      <x:c r="I302" s="23" t="str">
        <x:v>EA:3578</x:v>
      </x:c>
      <x:c r="J302" s="23" t="str">
        <x:v>CC 42 75 74 C8 CA C8 69 73 01 6E 6F 74 01 63 75 72 73 65 64 2E C0</x:v>
      </x:c>
      <x:c r="K302" s="23" t="str">
        <x:v>1CC 084 022 032 001 1CA 01A 03D 029 1C8 12D 03B 039 022 029 001 011 02E 01D 03D 035 1C0</x:v>
      </x:c>
    </x:row>
    <x:row r="303">
      <x:c r="A303" s="22" t="str">
        <x:f>"01"</x:f>
        <x:v>01</x:v>
      </x:c>
      <x:c r="B303" s="22" t="str">
        <x:f>"2D"</x:f>
        <x:v>2D</x:v>
      </x:c>
      <x:c r="C303" s="22" t="str">
        <x:f>"0x012D"</x:f>
        <x:v>0x012D</x:v>
      </x:c>
      <x:c r="D303" s="21" t="str">
        <x:v>&lt;SPEAKER&gt;「ここは 神に見すてられた
あわれな魔物どもが
すくいをもとめて おとずれる所だ</x:v>
      </x:c>
      <x:c r="E303" s="19" t="str">
        <x:v>&lt;SPEAKER&gt;This is where miserable
monsters, abandoned by
God, come seeking salvation.</x:v>
      </x:c>
      <x:c r="F303" s="20" t="str"/>
      <x:c r="G303" s="20" t="str"/>
      <x:c r="H303" s="23" t="str">
        <x:v>SPEAKER NEWLINE NEWLINE END</x:v>
      </x:c>
      <x:c r="I303" s="23" t="str">
        <x:v>EA:358E</x:v>
      </x:c>
      <x:c r="J303" s="23" t="str">
        <x:v>CC 54 68 69 73 01 69 73 01 77 68 65 72 65 01 6D 69 73 65 72 61 62 6C 65 C8 6D 6F 6E 73 74 65 72 73 2C 01 61 62 61 6E 64 6F 6E 65 64 01 62 79 C8 47 6F 64 2C 01 63 6F 6D 65 01 73 65 65 6B 69 6E 67 01 73 61 6C 76 61 74 69 6F 6E 2E C0</x:v>
      </x:c>
      <x:c r="K303" s="23" t="str">
        <x:v>1CC 019 019 029 001 0DC 025 090 01C 022 036 039 01F 1C8 010 03B 039 024 09A 08B 084 023 032 084 015 1C8 01C 017 011 03C 032 023 031 022 001 014 023 084 01C 039 038 12F 084 01F 1C0</x:v>
      </x:c>
    </x:row>
    <x:row r="304">
      <x:c r="A304" s="22" t="str">
        <x:f>"01"</x:f>
        <x:v>01</x:v>
      </x:c>
      <x:c r="B304" s="22" t="str">
        <x:f>"2E"</x:f>
        <x:v>2E</x:v>
      </x:c>
      <x:c r="C304" s="22" t="str">
        <x:f>"0x012E"</x:f>
        <x:v>0x012E</x:v>
      </x:c>
      <x:c r="D304" s="21" t="str">
        <x:v>&lt;SPEAKER&gt;「ほかに ねがいは あるか?</x:v>
      </x:c>
      <x:c r="E304" s="19" t="str">
        <x:v>&lt;SPEAKER&gt;Any other wishes?</x:v>
      </x:c>
      <x:c r="F304" s="20" t="str"/>
      <x:c r="G304" s="20" t="str"/>
      <x:c r="H304" s="23" t="str">
        <x:v>SPEAKER END</x:v>
      </x:c>
      <x:c r="I304" s="23" t="str">
        <x:v>EA:35DB</x:v>
      </x:c>
      <x:c r="J304" s="23" t="str">
        <x:v>CC 41 6E 79 01 6F 74 68 65 72 01 77 69 73 68 65 73 3F C0</x:v>
      </x:c>
      <x:c r="K304" s="23" t="str">
        <x:v>1CC 02D 015 025 001 027 084 015 011 029 001 010 038 015 079 1C0</x:v>
      </x:c>
    </x:row>
    <x:row r="305">
      <x:c r="A305" s="22" t="str">
        <x:f>"01"</x:f>
        <x:v>01</x:v>
      </x:c>
      <x:c r="B305" s="22" t="str">
        <x:f>"2F"</x:f>
        <x:v>2F</x:v>
      </x:c>
      <x:c r="C305" s="22" t="str">
        <x:f>"0x012F"</x:f>
        <x:v>0x012F</x:v>
      </x:c>
      <x:c r="D305" s="21" t="str">
        <x:v>&lt;SPEAKER&gt;「おお神よ! この みじめな
できそこないの 魔物どもにも
なさけを かけてやってくれ!</x:v>
      </x:c>
      <x:c r="E305" s="19" t="str">
        <x:v>&lt;SPEAKER&gt;O God! Show
some mercy even to these
pathetic, half-baked monsters!</x:v>
      </x:c>
      <x:c r="F305" s="20" t="str"/>
      <x:c r="G305" s="20" t="str"/>
      <x:c r="H305" s="23" t="str">
        <x:v>SPEAKER NEWLINE NEWLINE END</x:v>
      </x:c>
      <x:c r="I305" s="23" t="str">
        <x:v>EA:35EE</x:v>
      </x:c>
      <x:c r="J305" s="23" t="str">
        <x:v>CC 4F 01 47 6F 64 21 01 53 68 6F 77 C8 73 6F 6D 65 01 6D 65 72 63 79 01 65 76 65 6E 01 74 6F 01 74 68 65 73 65 C8 70 61 74 68 65 74 69 63 2C 01 68 61 6C 66 2D 62 61 6B 65 64 01 6D 6F 6E 73 74 65 72 73 21 C0</x:v>
      </x:c>
      <x:c r="K305" s="23" t="str">
        <x:v>1CC 014 014 0DC 035 07A 001 019 028 001 02F 084 01B 031 024 1C8 084 022 016 01E 019 024 011 028 001 09A 08B 084 023 032 025 032 1C8 024 01A 018 03C 001 015 018 022 033 03E 022 017 039 07A 1C0</x:v>
      </x:c>
    </x:row>
    <x:row r="306">
      <x:c r="A306" s="22" t="str">
        <x:f>"01"</x:f>
        <x:v>01</x:v>
      </x:c>
      <x:c r="B306" s="22" t="str">
        <x:f>"30"</x:f>
        <x:v>30</x:v>
      </x:c>
      <x:c r="C306" s="22" t="str">
        <x:f>"0x0130"</x:f>
        <x:v>0x0130</x:v>
      </x:c>
      <x:c r="D306" s="21" t="str">
        <x:v>&lt;SPEAKER&gt;「よく もどって来た
あさましい 魔物ども!
メイフォース ビーウィズュー!</x:v>
      </x:c>
      <x:c r="E306" s="19" t="str">
        <x:v>&lt;SPEAKER&gt;Welcome back, you
wretched monsters! May
the Force be with you!</x:v>
      </x:c>
      <x:c r="F306" s="20" t="str"/>
      <x:c r="G306" s="20" t="str"/>
      <x:c r="H306" s="23" t="str">
        <x:v>SPEAKER NEWLINE NEWLINE END</x:v>
      </x:c>
      <x:c r="I306" s="23" t="str">
        <x:v>EA:3633</x:v>
      </x:c>
      <x:c r="J306" s="23" t="str">
        <x:v>CC 57 65 6C 63 6F 6D 65 01 62 61 63 6B 2C 01 79 6F 75 C8 77 72 65 74 63 68 65 64 01 6D 6F 6E 73 74 65 72 73 21 01 4D 61 79 C8 74 68 65 01 46 6F 72 63 65 01 62 65 01 77 69 74 68 01 79 6F 75 21 C0</x:v>
      </x:c>
      <x:c r="K306" s="23" t="str">
        <x:v>1CC 035 017 001 032 084 023 03E 022 097 01F 1C8 010 01A 02E 01B 011 001 09A 08B 084 023 032 07A 1C8 063 043 05D 077 078 04E 001 084 05C 078 044 075 084 04E 072 078 07A 1C0</x:v>
      </x:c>
    </x:row>
    <x:row r="307">
      <x:c r="A307" s="22" t="str">
        <x:f>"01"</x:f>
        <x:v>01</x:v>
      </x:c>
      <x:c r="B307" s="22" t="str">
        <x:f>"31"</x:f>
        <x:v>31</x:v>
      </x:c>
      <x:c r="C307" s="22" t="str">
        <x:f>"0x0131"</x:f>
        <x:v>0x0131</x:v>
      </x:c>
      <x:c r="D307" s="21" t="str">
        <x:v>&lt;SPEAKER&gt;「では これまでの 悪行を
こくはく するんだな&lt;WAIT&gt;&lt;SPEAKER&gt;「そして この探険日記に
書きこんでも いいのか?</x:v>
      </x:c>
      <x:c r="E307" s="19" t="str">
        <x:v>&lt;SPEAKER&gt;Confess your
evil deeds so far.&lt;WAIT&gt;&lt;SPEAKER&gt;And may I write them
in this Explorer's Journal?</x:v>
      </x:c>
      <x:c r="F307" s="20" t="str"/>
      <x:c r="G307" s="20" t="str"/>
      <x:c r="H307" s="23" t="str">
        <x:v>SPEAKER NEWLINE WAIT SPEAKER NEWLINE END</x:v>
      </x:c>
      <x:c r="I307" s="23" t="str">
        <x:v>EA:3674</x:v>
      </x:c>
      <x:c r="J307" s="23" t="str">
        <x:v>CC 43 6F 6E 66 65 73 73 01 79 6F 75 72 C8 65 76 69 6C 01 64 65 65 64 73 01 73 6F 01 66 61 72 2E C5 CC 41 6E 64 01 6D 61 79 01 49 01 77 72 69 74 65 01 74 68 65 6D C8 69 6E 01 74 68 69 73 01 45 78 70 6C 6F 72 65 72 27 73 01 4A 6F 75 72 6E 61 6C 3F C0</x:v>
      </x:c>
      <x:c r="K307" s="23" t="str">
        <x:v>1CC 084 022 029 001 019 039 02E 084 022 028 001 0B5 08D 03C 1C8 019 017 029 017 001 01C 038 03D 084 01F 024 1C5 1CC 01E 01B 022 001 019 028 184 0BB 120 11B 025 1C8 098 016 019 03D 084 022 032 001 011 011 028 015 079 1C0</x:v>
      </x:c>
    </x:row>
    <x:row r="308">
      <x:c r="A308" s="22" t="str">
        <x:f>"01"</x:f>
        <x:v>01</x:v>
      </x:c>
      <x:c r="B308" s="22" t="str">
        <x:f>"32"</x:f>
        <x:v>32</x:v>
      </x:c>
      <x:c r="C308" s="22" t="str">
        <x:f>"0x0132"</x:f>
        <x:v>0x0132</x:v>
      </x:c>
      <x:c r="D308" s="21" t="str">
        <x:v>&lt;SPEAKER&gt;「どの探険日記に書きこもうか・・・
どれがいいと思う?</x:v>
      </x:c>
      <x:c r="E308" s="19" t="str">
        <x:v>&lt;SPEAKER&gt;Which Explorer's
Journal should I write in...?
Which one do you think?</x:v>
      </x:c>
      <x:c r="F308" s="20" t="str"/>
      <x:c r="G308" s="20" t="str"/>
      <x:c r="H308" s="23" t="str">
        <x:v>SPEAKER NEWLINE NEWLINE END</x:v>
      </x:c>
      <x:c r="I308" s="23" t="str">
        <x:v>EA:36C7</x:v>
      </x:c>
      <x:c r="J308" s="23" t="str">
        <x:v>CC 57 68 69 63 68 01 45 78 70 6C 6F 72 65 72 27 73 C8 4A 6F 75 72 6E 61 6C 01 73 68 6F 75 6C 64 01 49 01 77 72 69 74 65 01 69 6E 2E 2E 2E 3F C8 57 68 69 63 68 01 6F 6E 65 01 64 6F 01 79 6F 75 01 74 68 69 6E 6B 3F C0</x:v>
      </x:c>
      <x:c r="K308" s="23" t="str">
        <x:v>1CC 084 023 028 184 0BB 120 11B 025 098 016 019 032 012 015 081 081 081 1C8 084 023 039 084 015 011 011 023 10F 012 079 1C0</x:v>
      </x:c>
    </x:row>
    <x:row r="309">
      <x:c r="A309" s="22" t="str">
        <x:f>"01"</x:f>
        <x:v>01</x:v>
      </x:c>
      <x:c r="B309" s="22" t="str">
        <x:f>"33"</x:f>
        <x:v>33</x:v>
      </x:c>
      <x:c r="C309" s="22" t="str">
        <x:f>"0x0133"</x:f>
        <x:v>0x0133</x:v>
      </x:c>
      <x:c r="D309" s="21" t="str">
        <x:v>&lt;SPEAKER&gt;「たしかに 書きこんだ!</x:v>
      </x:c>
      <x:c r="E309" s="19" t="str">
        <x:v>&lt;SPEAKER&gt;It is written.
No doubt about it!</x:v>
      </x:c>
      <x:c r="F309" s="20" t="str"/>
      <x:c r="G309" s="20" t="str"/>
      <x:c r="H309" s="23" t="str">
        <x:v>SPEAKER NEWLINE END</x:v>
      </x:c>
      <x:c r="I309" s="23" t="str">
        <x:v>EA:370F</x:v>
      </x:c>
      <x:c r="J309" s="23" t="str">
        <x:v>CC 49 74 01 69 73 01 77 72 69 74 74 65 6E 2E C8 4E 6F 01 64 6F 75 62 74 01 61 62 6F 75 74 01 69 74 21 C0</x:v>
      </x:c>
      <x:c r="K309" s="23" t="str">
        <x:v>1CC 01F 01B 015 025 001 098 016 019 03D 084 01F 07A 1C0</x:v>
      </x:c>
    </x:row>
    <x:row r="310">
      <x:c r="A310" s="22" t="str">
        <x:f>"01"</x:f>
        <x:v>01</x:v>
      </x:c>
      <x:c r="B310" s="22" t="str">
        <x:f>"34"</x:f>
        <x:v>34</x:v>
      </x:c>
      <x:c r="C310" s="22" t="str">
        <x:f>"0x0134"</x:f>
        <x:v>0x0134</x:v>
      </x:c>
      <x:c r="D310" s="21" t="str">
        <x:v>&lt;SPEAKER&gt;「そうか</x:v>
      </x:c>
      <x:c r="E310" s="19" t="str">
        <x:v>&lt;SPEAKER&gt;I see.</x:v>
      </x:c>
      <x:c r="F310" s="20" t="str"/>
      <x:c r="G310" s="20" t="str"/>
      <x:c r="H310" s="23" t="str">
        <x:v>SPEAKER END</x:v>
      </x:c>
      <x:c r="I310" s="23" t="str">
        <x:v>EA:3732</x:v>
      </x:c>
      <x:c r="J310" s="23" t="str">
        <x:v>CC 49 01 73 65 65 2E C0</x:v>
      </x:c>
      <x:c r="K310" s="23" t="str">
        <x:v>1CC 01E 012 015 1C0</x:v>
      </x:c>
    </x:row>
    <x:row r="311">
      <x:c r="A311" s="22" t="str">
        <x:f>"01"</x:f>
        <x:v>01</x:v>
      </x:c>
      <x:c r="B311" s="22" t="str">
        <x:f>"35"</x:f>
        <x:v>35</x:v>
      </x:c>
      <x:c r="C311" s="22" t="str">
        <x:f>"0x0135"</x:f>
        <x:v>0x0135</x:v>
      </x:c>
      <x:c r="D311" s="21" t="str">
        <x:v>&lt;SPEAKER&gt;「まだ 探険を
したりないのか?</x:v>
      </x:c>
      <x:c r="E311" s="19" t="str">
        <x:v>&lt;SPEAKER&gt;Still haven't
had enough adventure?</x:v>
      </x:c>
      <x:c r="F311" s="20" t="str"/>
      <x:c r="G311" s="20" t="str"/>
      <x:c r="H311" s="23" t="str">
        <x:v>SPEAKER NEWLINE END</x:v>
      </x:c>
      <x:c r="I311" s="23" t="str">
        <x:v>EA:373A</x:v>
      </x:c>
      <x:c r="J311" s="23" t="str">
        <x:v>CC 53 74 69 6C 6C 01 68 61 76 65 6E 27 74 C8 68 61 64 01 65 6E 6F 75 67 68 01 61 64 76 65 6E 74 75 72 65 3F C0</x:v>
      </x:c>
      <x:c r="K311" s="23" t="str">
        <x:v>1CC 02E 084 01F 001 184 0BB 03C 1C8 01B 01F 037 024 011 028 015 079 1C0</x:v>
      </x:c>
    </x:row>
    <x:row r="312">
      <x:c r="A312" s="22" t="str">
        <x:f>"01"</x:f>
        <x:v>01</x:v>
      </x:c>
      <x:c r="B312" s="22" t="str">
        <x:f>"36"</x:f>
        <x:v>36</x:v>
      </x:c>
      <x:c r="C312" s="22" t="str">
        <x:f>"0x0136"</x:f>
        <x:v>0x0136</x:v>
      </x:c>
      <x:c r="D312" s="21" t="str">
        <x:v>&lt;SPEAKER&gt;「書きこまずに 休むのか?
お前の冒険が ひとつ前まで
もどっても いいんだな?</x:v>
      </x:c>
      <x:c r="E312" s="19" t="str">
        <x:v>&lt;SPEAKER&gt;Rest without recording
it? Your adventure will roll
back one entry. Fine with you?</x:v>
      </x:c>
      <x:c r="F312" s="20" t="str"/>
      <x:c r="G312" s="20" t="str"/>
      <x:c r="H312" s="23" t="str">
        <x:v>SPEAKER NEWLINE NEWLINE END</x:v>
      </x:c>
      <x:c r="I312" s="23" t="str">
        <x:v>EA:375F</x:v>
      </x:c>
      <x:c r="J312" s="23" t="str">
        <x:v>CC 52 65 73 74 01 77 69 74 68 6F 75 74 01 72 65 63 6F 72 64 69 6E 67 C8 69 74 3F 01 59 6F 75 72 01 61 64 76 65 6E 74 75 72 65 01 77 69 6C 6C 01 72 6F 6C 6C C8 62 61 63 6B 01 6F 6E 65 01 65 6E 74 72 79 2E 01 46 69 6E 65 01 77 69 74 68 01 79 6F 75 3F C0</x:v>
      </x:c>
      <x:c r="K312" s="23" t="str">
        <x:v>1CC 098 016 019 02E 084 01C 025 001 140 030 028 015 079 1C8 014 0C3 028 0BA 0BB 084 015 001 02A 023 021 0C3 02E 084 022 1C8 032 084 023 03E 022 032 001 011 011 03D 084 01F 024 079 1C0</x:v>
      </x:c>
    </x:row>
    <x:row r="313">
      <x:c r="A313" s="22" t="str">
        <x:f>"01"</x:f>
        <x:v>01</x:v>
      </x:c>
      <x:c r="B313" s="22" t="str">
        <x:f>"37"</x:f>
        <x:v>37</x:v>
      </x:c>
      <x:c r="C313" s="22" t="str">
        <x:f>"0x0137"</x:f>
        <x:v>0x0137</x:v>
      </x:c>
      <x:c r="D313" s="21" t="str">
        <x:v>&lt;SPEAKER&gt;「おお神よ! こいつらにも やすらかな
ひとときを あたえてやってくれ!
メイピース ビーウィズュー・・・</x:v>
      </x:c>
      <x:c r="E313" s="19" t="str">
        <x:v>&lt;SPEAKER&gt;O God! Grant even these
creatures a moment of peaceful
rest. May peace be with you...</x:v>
      </x:c>
      <x:c r="F313" s="20" t="str"/>
      <x:c r="G313" s="20" t="str"/>
      <x:c r="H313" s="23" t="str">
        <x:v>SPEAKER NEWLINE NEWLINE END</x:v>
      </x:c>
      <x:c r="I313" s="23" t="str">
        <x:v>EA:37B3</x:v>
      </x:c>
      <x:c r="J313" s="23" t="str">
        <x:v>CC 4F 01 47 6F 64 21 01 47 72 61 6E 74 01 65 76 65 6E 01 74 68 65 73 65 C8 63 72 65 61 74 75 72 65 73 01 61 01 6D 6F 6D 65 6E 74 01 6F 66 01 70 65 61 63 65 66 75 6C C8 72 65 73 74 2E 01 4D 61 79 01 70 65 61 63 65 01 62 65 01 77 69 74 68 01 79 6F 75 2E 2E 2E C0</x:v>
      </x:c>
      <x:c r="K313" s="23" t="str">
        <x:v>1CC 014 014 0DC 035 07A 001 019 011 021 036 025 032 001 033 01C 036 015 024 1C8 02A 023 023 016 03C 001 010 01F 013 022 033 03E 022 017 039 07A 1C8 063 043 083 05C 078 04E 001 084 05C 078 044 075 084 04E 072 078 081 081 081 1C0</x:v>
      </x:c>
    </x:row>
    <x:row r="314">
      <x:c r="A314" s="22" t="str">
        <x:f>"01"</x:f>
        <x:v>01</x:v>
      </x:c>
      <x:c r="B314" s="22" t="str">
        <x:f>"38"</x:f>
        <x:v>38</x:v>
      </x:c>
      <x:c r="C314" s="22" t="str">
        <x:f>"0x0138"</x:f>
        <x:v>0x0138</x:v>
      </x:c>
      <x:c r="D314" s="21" t="str">
        <x:v>&lt;SPEAKER&gt;「ふーむ・・・
わがはいの 見たところだな</x:v>
      </x:c>
      <x:c r="E314" s="19" t="str">
        <x:v>&lt;SPEAKER&gt;Hmm... From
what I can see...</x:v>
      </x:c>
      <x:c r="F314" s="20" t="str"/>
      <x:c r="G314" s="20" t="str"/>
      <x:c r="H314" s="23" t="str">
        <x:v>SPEAKER NEWLINE END</x:v>
      </x:c>
      <x:c r="I314" s="23" t="str">
        <x:v>EA:380A</x:v>
      </x:c>
      <x:c r="J314" s="23" t="str">
        <x:v>CC 48 6D 6D 2E 2E 2E 01 46 72 6F 6D C8 77 68 61 74 01 49 01 63 61 6E 01 73 65 65 2E 2E 2E C0</x:v>
      </x:c>
      <x:c r="K314" s="23" t="str">
        <x:v>1CC 02B 078 030 081 081 081 1C8 03B 084 015 029 011 028 001 090 01F 023 019 03A 084 01F 024 1C0</x:v>
      </x:c>
    </x:row>
    <x:row r="315">
      <x:c r="A315" s="22" t="str">
        <x:f>"01"</x:f>
        <x:v>01</x:v>
      </x:c>
      <x:c r="B315" s="22" t="str">
        <x:f>"39"</x:f>
        <x:v>39</x:v>
      </x:c>
      <x:c r="C315" s="22" t="str">
        <x:f>"0x0139"</x:f>
        <x:v>0x0139</x:v>
      </x:c>
      <x:c r="D315" s="21" t="str">
        <x:v>&lt;SPEAKER&gt;「&lt;INSERT_B&gt;は
あと &lt;NUMBER&gt;の経験で
つぎのレベルに なると思う</x:v>
      </x:c>
      <x:c r="E315" s="19" t="str">
        <x:v>&lt;SPEAKER&gt;&lt;INSERT_B&gt;
needs &lt;NUMBER&gt; more EXP
to reach the next level.</x:v>
      </x:c>
      <x:c r="F315" s="20" t="str"/>
      <x:c r="G315" s="20" t="str"/>
      <x:c r="H315" s="23" t="str">
        <x:v>SPEAKER INSERT_B NEWLINE NUMBER NEWLINE END</x:v>
      </x:c>
      <x:c r="I315" s="23" t="str">
        <x:v>EA:3829</x:v>
      </x:c>
      <x:c r="J315" s="23" t="str">
        <x:v>CC CA C8 6E 65 65 64 73 01 C2 01 6D 6F 72 65 01 45 58 50 C8 74 6F 01 72 65 61 63 68 01 74 68 65 01 6E 65 78 74 01 6C 65 76 65 6C 2E C0</x:v>
      </x:c>
      <x:c r="K315" s="23" t="str">
        <x:v>1CC 1CA 029 1C8 010 023 001 1C2 028 183 0F3 084 022 1C8 021 084 016 028 06B 084 05E 06A 025 001 024 038 023 10F 012 1C0</x:v>
      </x:c>
    </x:row>
    <x:row r="316">
      <x:c r="A316" s="22" t="str">
        <x:f>"01"</x:f>
        <x:v>01</x:v>
      </x:c>
      <x:c r="B316" s="22" t="str">
        <x:f>"3A"</x:f>
        <x:v>3A</x:v>
      </x:c>
      <x:c r="C316" s="22" t="str">
        <x:f>"0x013A"</x:f>
        <x:v>0x013A</x:v>
      </x:c>
      <x:c r="D316" s="21" t="str">
        <x:v>&lt;SPEAKER&gt;「&lt;INSERT_B&gt;は もう
じゅうぶん 強いんじゃないか</x:v>
      </x:c>
      <x:c r="E316" s="19" t="str">
        <x:v>&lt;SPEAKER&gt;Isn't
&lt;INSERT_B&gt;
strong enough already?</x:v>
      </x:c>
      <x:c r="F316" s="20" t="str"/>
      <x:c r="G316" s="20" t="str"/>
      <x:c r="H316" s="23" t="str">
        <x:v>SPEAKER NEWLINE INSERT_B NEWLINE END</x:v>
      </x:c>
      <x:c r="I316" s="23" t="str">
        <x:v>EA:3856</x:v>
      </x:c>
      <x:c r="J316" s="23" t="str">
        <x:v>CC 49 73 6E 27 74 C8 CA C8 73 74 72 6F 6E 67 01 65 6E 6F 75 67 68 01 61 6C 72 65 61 64 79 3F C0</x:v>
      </x:c>
      <x:c r="K316" s="23" t="str">
        <x:v>1CC 1CA 029 001 032 012 1C8 084 01B 040 012 084 02B 03D 001 138 011 03D 084 01B 03F 024 011 015 1C0</x:v>
      </x:c>
    </x:row>
    <x:row r="317">
      <x:c r="A317" s="22" t="str">
        <x:f>"01"</x:f>
        <x:v>01</x:v>
      </x:c>
      <x:c r="B317" s="22" t="str">
        <x:f>"3B"</x:f>
        <x:v>3B</x:v>
      </x:c>
      <x:c r="C317" s="22" t="str">
        <x:f>"0x013B"</x:f>
        <x:v>0x013B</x:v>
      </x:c>
      <x:c r="D317" s="21" t="str">
        <x:v>&lt;SPEAKER&gt;「誰を 生きかえらせるんだ?</x:v>
      </x:c>
      <x:c r="E317" s="19" t="str">
        <x:v>&lt;SPEAKER&gt;Who do
you want revived?</x:v>
      </x:c>
      <x:c r="F317" s="20" t="str"/>
      <x:c r="G317" s="20" t="str"/>
      <x:c r="H317" s="23" t="str">
        <x:v>SPEAKER NEWLINE END</x:v>
      </x:c>
      <x:c r="I317" s="23" t="str">
        <x:v>EA:3876</x:v>
      </x:c>
      <x:c r="J317" s="23" t="str">
        <x:v>CC 57 68 6F 01 64 6F C8 79 6F 75 01 77 61 6E 74 01 72 65 76 69 76 65 64 3F C0</x:v>
      </x:c>
      <x:c r="K317" s="23" t="str">
        <x:v>1CC 0FA 03C 001 09B 016 015 013 036 01D 038 03D 084 01F 079 1C0</x:v>
      </x:c>
    </x:row>
    <x:row r="318">
      <x:c r="A318" s="22" t="str">
        <x:f>"01"</x:f>
        <x:v>01</x:v>
      </x:c>
      <x:c r="B318" s="22" t="str">
        <x:f>"3C"</x:f>
        <x:v>3C</x:v>
      </x:c>
      <x:c r="C318" s="22" t="str">
        <x:f>"0x013C"</x:f>
        <x:v>0x013C</x:v>
      </x:c>
      <x:c r="D318" s="21" t="str">
        <x:v>&lt;SPEAKER&gt;「ものは そうだんだが・・・
教会に &lt;NUMBER&gt;エンドルの寄付を
それが 感謝と いうものだ</x:v>
      </x:c>
      <x:c r="E318" s="19" t="str">
        <x:v>&lt;SPEAKER&gt;Let's talk terms... Donate
&lt;NUMBER&gt; Endol to the church.
That's what gratitude means.</x:v>
      </x:c>
      <x:c r="F318" s="20" t="str"/>
      <x:c r="G318" s="20" t="str"/>
      <x:c r="H318" s="23" t="str">
        <x:v>SPEAKER NEWLINE NUMBER NEWLINE END</x:v>
      </x:c>
      <x:c r="I318" s="23" t="str">
        <x:v>EA:3890</x:v>
      </x:c>
      <x:c r="J318" s="23" t="str">
        <x:v>CC 4C 65 74 27 73 01 74 61 6C 6B 01 74 65 72 6D 73 2E 2E 2E 01 44 6F 6E 61 74 65 C8 C2 01 45 6E 64 6F 6C 01 74 6F 01 74 68 65 01 63 68 75 72 63 68 2E C8 54 68 61 74 27 73 01 77 68 61 74 01 67 72 61 74 69 74 75 64 65 01 6D 65 61 6E 73 2E C0</x:v>
      </x:c>
      <x:c r="K318" s="23" t="str">
        <x:v>1CC 032 028 029 001 01E 012 084 01F 03D 084 01F 084 015 081 081 081 1C8 122 11E 025 001 1C2 045 06F 084 055 06A 028 11F 108 03C 1C8 01E 039 084 015 001 0FC 193 023 001 011 012 032 028 084 01F 1C0</x:v>
      </x:c>
    </x:row>
    <x:row r="319">
      <x:c r="A319" s="22" t="str">
        <x:f>"01"</x:f>
        <x:v>01</x:v>
      </x:c>
      <x:c r="B319" s="22" t="str">
        <x:f>"3D"</x:f>
        <x:v>3D</x:v>
      </x:c>
      <x:c r="C319" s="22" t="str">
        <x:f>"0x013D"</x:f>
        <x:v>0x013D</x:v>
      </x:c>
      <x:c r="D319" s="21" t="str">
        <x:v>&lt;CLEAR&gt;
&lt;INSERT_B&gt;は よみがえった!</x:v>
      </x:c>
      <x:c r="E319" s="19" t="str">
        <x:v>&lt;CLEAR&gt;&lt;INSERT_B&gt;
came back to life!</x:v>
      </x:c>
      <x:c r="F319" s="20" t="str"/>
      <x:c r="G319" s="20" t="str"/>
      <x:c r="H319" s="23" t="str">
        <x:v>CLEAR INSERT_B NEWLINE END</x:v>
      </x:c>
      <x:c r="I319" s="23" t="str">
        <x:v>EA:38E0</x:v>
      </x:c>
      <x:c r="J319" s="23" t="str">
        <x:v>D0 CA C8 63 61 6D 65 01 62 61 63 6B 01 74 6F 01 6C 69 66 65 21 C0</x:v>
      </x:c>
      <x:c r="K319" s="23" t="str">
        <x:v>1D0 1CA 029 001 035 02F 084 015 013 03E 01F 07A 1C0</x:v>
      </x:c>
    </x:row>
    <x:row r="320">
      <x:c r="A320" s="22" t="str">
        <x:f>"01"</x:f>
        <x:v>01</x:v>
      </x:c>
      <x:c r="B320" s="22" t="str">
        <x:f>"3E"</x:f>
        <x:v>3E</x:v>
      </x:c>
      <x:c r="C320" s="22" t="str">
        <x:f>"0x013E"</x:f>
        <x:v>0x013E</x:v>
      </x:c>
      <x:c r="D320" s="21" t="str">
        <x:v>&lt;SPEAKER&gt;「なんだ まだ 生きてるぞ!
おどかすな!</x:v>
      </x:c>
      <x:c r="E320" s="19" t="str">
        <x:v>&lt;SPEAKER&gt;Hey, they're still alive!
Don't scare me like that!</x:v>
      </x:c>
      <x:c r="F320" s="20" t="str"/>
      <x:c r="G320" s="20" t="str"/>
      <x:c r="H320" s="23" t="str">
        <x:v>SPEAKER NEWLINE END</x:v>
      </x:c>
      <x:c r="I320" s="23" t="str">
        <x:v>EA:38F6</x:v>
      </x:c>
      <x:c r="J320" s="23" t="str">
        <x:v>CC 48 65 79 2C 01 74 68 65 79 27 72 65 01 73 74 69 6C 6C 01 61 6C 69 76 65 21 C8 44 6F 6E 27 74 01 73 63 61 72 65 01 6D 65 01 6C 69 6B 65 01 74 68 61 74 21 C0</x:v>
      </x:c>
      <x:c r="K320" s="23" t="str">
        <x:v>1CC 024 03D 084 01F 001 02E 084 01F 001 09B 016 022 038 084 01E 07A 1C8 014 084 023 015 01C 024 07A 1C0</x:v>
      </x:c>
    </x:row>
    <x:row r="321">
      <x:c r="A321" s="22" t="str">
        <x:f>"01"</x:f>
        <x:v>01</x:v>
      </x:c>
      <x:c r="B321" s="22" t="str">
        <x:f>"3F"</x:f>
        <x:v>3F</x:v>
      </x:c>
      <x:c r="C321" s="22" t="str">
        <x:f>"0x013F"</x:f>
        <x:v>0x013F</x:v>
      </x:c>
      <x:c r="D321" s="21" t="str">
        <x:v>&lt;SPEAKER&gt;「え やめるの</x:v>
      </x:c>
      <x:c r="E321" s="19" t="str">
        <x:v>&lt;SPEAKER&gt;Huh? Never mind?</x:v>
      </x:c>
      <x:c r="F321" s="20" t="str"/>
      <x:c r="G321" s="20" t="str"/>
      <x:c r="H321" s="23" t="str">
        <x:v>SPEAKER END</x:v>
      </x:c>
      <x:c r="I321" s="23" t="str">
        <x:v>EA:392B</x:v>
      </x:c>
      <x:c r="J321" s="23" t="str">
        <x:v>CC 48 75 68 3F 01 4E 65 76 65 72 01 6D 69 6E 64 3F C0</x:v>
      </x:c>
      <x:c r="K321" s="23" t="str">
        <x:v>1CC 013 001 033 031 038 028 1C0</x:v>
      </x:c>
    </x:row>
    <x:row r="322">
      <x:c r="A322" s="22" t="str">
        <x:f>"01"</x:f>
        <x:v>01</x:v>
      </x:c>
      <x:c r="B322" s="22" t="str">
        <x:f>"40"</x:f>
        <x:v>40</x:v>
      </x:c>
      <x:c r="C322" s="22" t="str">
        <x:f>"0x0140"</x:f>
        <x:v>0x0140</x:v>
      </x:c>
      <x:c r="D322" s="21" t="str">
        <x:v>&lt;SPEAKER&gt;「そして これが
げんじつと いうものさ・・・</x:v>
      </x:c>
      <x:c r="E322" s="19" t="str">
        <x:v>&lt;SPEAKER&gt;And that, my friend,
is what we call reality...</x:v>
      </x:c>
      <x:c r="F322" s="20" t="str"/>
      <x:c r="G322" s="20" t="str"/>
      <x:c r="H322" s="23" t="str">
        <x:v>SPEAKER NEWLINE END</x:v>
      </x:c>
      <x:c r="I322" s="23" t="str">
        <x:v>EA:393D</x:v>
      </x:c>
      <x:c r="J322" s="23" t="str">
        <x:v>CC 41 6E 64 01 74 68 61 74 2C 01 6D 79 01 66 72 69 65 6E 64 2C C8 69 73 01 77 68 61 74 01 77 65 01 63 61 6C 6C 01 72 65 61 6C 69 74 79 2E 2E 2E C0</x:v>
      </x:c>
      <x:c r="K322" s="23" t="str">
        <x:v>1CC 01E 01B 022 001 019 039 084 015 1C8 084 018 03D 084 01B 021 023 001 011 012 032 028 01A 081 081 081 1C0</x:v>
      </x:c>
    </x:row>
    <x:row r="323">
      <x:c r="A323" s="22" t="str">
        <x:f>"01"</x:f>
        <x:v>01</x:v>
      </x:c>
      <x:c r="B323" s="22" t="str">
        <x:f>"41"</x:f>
        <x:v>41</x:v>
      </x:c>
      <x:c r="C323" s="22" t="str">
        <x:f>"0x0141"</x:f>
        <x:v>0x0141</x:v>
      </x:c>
      <x:c r="D323" s="21" t="str">
        <x:v>&lt;SPEAKER&gt;「あら 金が たりないのか・・・
そりゃ まいったねえ・・・</x:v>
      </x:c>
      <x:c r="E323" s="19" t="str">
        <x:v>&lt;SPEAKER&gt;Oh, not enough money...?
Well, that is a problem...</x:v>
      </x:c>
      <x:c r="F323" s="20" t="str"/>
      <x:c r="G323" s="20" t="str"/>
      <x:c r="H323" s="23" t="str">
        <x:v>SPEAKER NEWLINE END</x:v>
      </x:c>
      <x:c r="I323" s="23" t="str">
        <x:v>EA:396E</x:v>
      </x:c>
      <x:c r="J323" s="23" t="str">
        <x:v>CC 4F 68 2C 01 6E 6F 74 01 65 6E 6F 75 67 68 01 6D 6F 6E 65 79 2E 2E 2E 3F C8 57 65 6C 6C 2C 01 74 68 61 74 01 69 73 01 61 01 70 72 6F 62 6C 65 6D 2E 2E 2E C0</x:v>
      </x:c>
      <x:c r="K323" s="23" t="str">
        <x:v>1CC 010 036 001 094 084 015 001 01F 037 024 011 028 015 081 081 081 1C8 01E 037 03F 001 02E 011 03E 01F 027 013 081 081 081 1C0</x:v>
      </x:c>
    </x:row>
    <x:row r="324">
      <x:c r="A324" s="22" t="str">
        <x:f>"01"</x:f>
        <x:v>01</x:v>
      </x:c>
      <x:c r="B324" s="22" t="str">
        <x:f>"42"</x:f>
        <x:v>42</x:v>
      </x:c>
      <x:c r="C324" s="22" t="str">
        <x:f>"0x0142"</x:f>
        <x:v>0x0142</x:v>
      </x:c>
      <x:c r="D324" s="21" t="str">
        <x:v>&lt;SPEAKER&gt;「誰だ 魔物のくせに
毒にやられる ドジなやろうは?</x:v>
      </x:c>
      <x:c r="E324" s="19" t="str">
        <x:v>&lt;SPEAKER&gt;Which clumsy monster
managed to get poisoned?</x:v>
      </x:c>
      <x:c r="F324" s="20" t="str"/>
      <x:c r="G324" s="20" t="str"/>
      <x:c r="H324" s="23" t="str">
        <x:v>SPEAKER NEWLINE END</x:v>
      </x:c>
      <x:c r="I324" s="23" t="str">
        <x:v>EA:39A3</x:v>
      </x:c>
      <x:c r="J324" s="23" t="str">
        <x:v>CC 57 68 69 63 68 01 63 6C 75 6D 73 79 01 6D 6F 6E 73 74 65 72 C8 6D 61 6E 61 67 65 64 01 74 6F 01 67 65 74 01 70 6F 69 73 6F 6E 65 64 3F C0</x:v>
      </x:c>
      <x:c r="K324" s="23" t="str">
        <x:v>1CC 0FA 084 01F 001 09A 08B 028 017 01D 025 1C8 137 025 033 036 039 038 001 084 055 084 04D 024 033 03A 012 029 079 1C0</x:v>
      </x:c>
    </x:row>
    <x:row r="325">
      <x:c r="A325" s="22" t="str">
        <x:f>"01"</x:f>
        <x:v>01</x:v>
      </x:c>
      <x:c r="B325" s="22" t="str">
        <x:f>"43"</x:f>
        <x:v>43</x:v>
      </x:c>
      <x:c r="C325" s="22" t="str">
        <x:f>"0x0143"</x:f>
        <x:v>0x0143</x:v>
      </x:c>
      <x:c r="D325" s="21" t="str">
        <x:v>&lt;SPEAKER&gt;「じごくのさたも なんとやら
教会に &lt;NUMBER&gt;エンドルの寄付を
それが 感謝と いうものだ</x:v>
      </x:c>
      <x:c r="E325" s="19" t="str">
        <x:v>&lt;SPEAKER&gt;Even hell has a
price. Donate &lt;NUMBER&gt;
Endol. Show some gratitude.</x:v>
      </x:c>
      <x:c r="F325" s="20" t="str"/>
      <x:c r="G325" s="20" t="str"/>
      <x:c r="H325" s="23" t="str">
        <x:v>SPEAKER NEWLINE NUMBER NEWLINE END</x:v>
      </x:c>
      <x:c r="I325" s="23" t="str">
        <x:v>EA:39D2</x:v>
      </x:c>
      <x:c r="J325" s="23" t="str">
        <x:v>CC 45 76 65 6E 01 68 65 6C 6C 01 68 61 73 01 61 C8 70 72 69 63 65 2E 01 44 6F 6E 61 74 65 01 C2 C8 45 6E 64 6F 6C 2E 01 53 68 6F 77 01 73 6F 6D 65 01 67 72 61 74 69 74 75 64 65 2E C0</x:v>
      </x:c>
      <x:c r="K325" s="23" t="str">
        <x:v>1CC 084 01B 084 019 017 028 01A 01F 032 001 024 03D 023 033 036 1C8 122 11E 025 001 1C2 045 06F 084 055 06A 028 11F 108 03C 1C8 01E 039 084 015 001 0FC 193 023 001 011 012 032 028 084 01F 1C0</x:v>
      </x:c>
    </x:row>
    <x:row r="326">
      <x:c r="A326" s="22" t="str">
        <x:f>"01"</x:f>
        <x:v>01</x:v>
      </x:c>
      <x:c r="B326" s="22" t="str">
        <x:f>"44"</x:f>
        <x:v>44</x:v>
      </x:c>
      <x:c r="C326" s="22" t="str">
        <x:f>"0x0144"</x:f>
        <x:v>0x0144</x:v>
      </x:c>
      <x:c r="D326" s="21" t="str">
        <x:v>&lt;SPEAKER&gt;「うそつけ! そいつ
ぴんぴんしてるぞ!</x:v>
      </x:c>
      <x:c r="E326" s="19" t="str">
        <x:v>&lt;SPEAKER&gt;Don't lie! That
one looks perfectly fine!</x:v>
      </x:c>
      <x:c r="F326" s="20" t="str"/>
      <x:c r="G326" s="20" t="str"/>
      <x:c r="H326" s="23" t="str">
        <x:v>SPEAKER NEWLINE END</x:v>
      </x:c>
      <x:c r="I326" s="23" t="str">
        <x:v>EA:3A0F</x:v>
      </x:c>
      <x:c r="J326" s="23" t="str">
        <x:v>CC 44 6F 6E 27 74 01 6C 69 65 21 01 54 68 61 74 C8 6F 6E 65 01 6C 6F 6F 6B 73 01 70 65 72 66 65 63 74 6C 79 01 66 69 6E 65 21 C0</x:v>
      </x:c>
      <x:c r="K326" s="23" t="str">
        <x:v>1CC 012 01E 021 018 07A 001 01E 011 021 1C8 083 02A 03D 083 02A 03D 01B 022 038 084 01E 07A 1C0</x:v>
      </x:c>
    </x:row>
    <x:row r="327">
      <x:c r="A327" s="22" t="str">
        <x:f>"01"</x:f>
        <x:v>01</x:v>
      </x:c>
      <x:c r="B327" s="22" t="str">
        <x:f>"45"</x:f>
        <x:v>45</x:v>
      </x:c>
      <x:c r="C327" s="22" t="str">
        <x:f>"0x0145"</x:f>
        <x:v>0x0145</x:v>
      </x:c>
      <x:c r="D327" s="21" t="str">
        <x:v>&lt;SPEAKER&gt;「だめだね&lt;WAIT&gt;&lt;SPEAKER&gt;「わがはいは 呪いをとくのが
ぜんぜん にがてなんだ&lt;WAIT&gt;&lt;SPEAKER&gt;「かけるほうは
とくいなんだけどね</x:v>
      </x:c>
      <x:c r="E327" s="19" t="str">
        <x:v>&lt;SPEAKER&gt;No can do.&lt;WAIT&gt;&lt;SPEAKER&gt;I'm absolutely
terrible at breaking curses.&lt;WAIT&gt;&lt;SPEAKER&gt;Putting curses on people,
though? That's my specialty.</x:v>
      </x:c>
      <x:c r="F327" s="20" t="str"/>
      <x:c r="G327" s="20" t="str"/>
      <x:c r="H327" s="23" t="str">
        <x:v>SPEAKER WAIT SPEAKER NEWLINE WAIT SPEAKER NEWLINE END</x:v>
      </x:c>
      <x:c r="I327" s="23" t="str">
        <x:v>EA:3A3A</x:v>
      </x:c>
      <x:c r="J327" s="23" t="str">
        <x:v>CC 4E 6F 01 63 61 6E 01 64 6F 2E C5 CC 49 27 6D 01 61 62 73 6F 6C 75 74 65 6C 79 C8 74 65 72 72 69 62 6C 65 01 61 74 01 62 72 65 61 6B 69 6E 67 01 63 75 72 73 65 73 2E C5 CC 50 75 74 74 69 6E 67 01 63 75 72 73 65 73 01 6F 6E 01 70 65 6F 70 6C 65 2C C8 74 68 6F 75 67 68 3F 01 54 68 61 74 27 73 01 6D 79 01 73 70 65 63 69 61 6C 74 79 2E C0</x:v>
      </x:c>
      <x:c r="K327" s="23" t="str">
        <x:v>1CC 084 01F 031 084 01F 027 1C5 1CC 03B 084 015 029 011 029 001 12D 011 03C 023 017 028 084 015 1C8 084 01D 03D 084 01D 03D 001 025 084 015 022 024 03D 084 01F 1C5 1CC 015 018 038 02D 012 029 1C8 023 017 011 024 03D 084 01F 018 084 023 027 1C0</x:v>
      </x:c>
    </x:row>
    <x:row r="328">
      <x:c r="A328" s="22" t="str">
        <x:f>"01"</x:f>
        <x:v>01</x:v>
      </x:c>
      <x:c r="B328" s="22" t="str">
        <x:f>"46"</x:f>
        <x:v>46</x:v>
      </x:c>
      <x:c r="C328" s="22" t="str">
        <x:f>"0x0146"</x:f>
        <x:v>0x0146</x:v>
      </x:c>
      <x:c r="D328" s="21" t="str">
        <x:v>&lt;CLEAR&gt;
探険日記が あります
書きこみますか?</x:v>
      </x:c>
      <x:c r="E328" s="19" t="str">
        <x:v>&lt;CLEAR&gt;There's an Explorer's
Journal. Write in it?</x:v>
      </x:c>
      <x:c r="F328" s="20" t="str"/>
      <x:c r="G328" s="20" t="str"/>
      <x:c r="H328" s="23" t="str">
        <x:v>CLEAR NEWLINE END</x:v>
      </x:c>
      <x:c r="I328" s="23" t="str">
        <x:v>EA:3AAB</x:v>
      </x:c>
      <x:c r="J328" s="23" t="str">
        <x:v>D0 54 68 65 72 65 27 73 01 61 6E 01 45 78 70 6C 6F 72 65 72 27 73 C8 4A 6F 75 72 6E 61 6C 2E 01 57 72 69 74 65 01 69 6E 01 69 74 3F C0</x:v>
      </x:c>
      <x:c r="K328" s="23" t="str">
        <x:v>1D0 184 0BB 120 11B 084 015 001 010 037 02E 01C 1C8 098 016 019 02F 02E 01C 015 079 1C0</x:v>
      </x:c>
    </x:row>
    <x:row r="329">
      <x:c r="A329" s="22" t="str">
        <x:f>"01"</x:f>
        <x:v>01</x:v>
      </x:c>
      <x:c r="B329" s="22" t="str">
        <x:f>"47"</x:f>
        <x:v>47</x:v>
      </x:c>
      <x:c r="C329" s="22" t="str">
        <x:f>"0x0147"</x:f>
        <x:v>0x0147</x:v>
      </x:c>
      <x:c r="D329" s="21" t="str">
        <x:v>&lt;CLEAR&gt;
どの探険日記に書きこみますか?</x:v>
      </x:c>
      <x:c r="E329" s="19" t="str">
        <x:v>&lt;CLEAR&gt;Which Explorer's Journal
will you write in?</x:v>
      </x:c>
      <x:c r="F329" s="20" t="str"/>
      <x:c r="G329" s="20" t="str"/>
      <x:c r="H329" s="23" t="str">
        <x:v>CLEAR NEWLINE END</x:v>
      </x:c>
      <x:c r="I329" s="23" t="str">
        <x:v>EA:3AD8</x:v>
      </x:c>
      <x:c r="J329" s="23" t="str">
        <x:v>D0 57 68 69 63 68 01 45 78 70 6C 6F 72 65 72 27 73 01 4A 6F 75 72 6E 61 6C C8 77 69 6C 6C 01 79 6F 75 01 77 72 69 74 65 01 69 6E 3F C0</x:v>
      </x:c>
      <x:c r="K329" s="23" t="str">
        <x:v>1D0 084 023 028 184 0BB 120 11B 025 098 016 019 02F 02E 01C 015 079 1C0</x:v>
      </x:c>
    </x:row>
    <x:row r="330">
      <x:c r="A330" s="22" t="str">
        <x:f>"01"</x:f>
        <x:v>01</x:v>
      </x:c>
      <x:c r="B330" s="22" t="str">
        <x:f>"48"</x:f>
        <x:v>48</x:v>
      </x:c>
      <x:c r="C330" s="22" t="str">
        <x:f>"0x0148"</x:f>
        <x:v>0x0148</x:v>
      </x:c>
      <x:c r="D330" s="21" t="str">
        <x:v>&lt;CLEAR&gt;
書きこみました</x:v>
      </x:c>
      <x:c r="E330" s="19" t="str">
        <x:v>&lt;CLEAR&gt;Recorded.</x:v>
      </x:c>
      <x:c r="F330" s="20" t="str"/>
      <x:c r="G330" s="20" t="str"/>
      <x:c r="H330" s="23" t="str">
        <x:v>CLEAR END</x:v>
      </x:c>
      <x:c r="I330" s="23" t="str">
        <x:v>EA:3B05</x:v>
      </x:c>
      <x:c r="J330" s="23" t="str">
        <x:v>D0 52 65 63 6F 72 64 65 64 2E C0</x:v>
      </x:c>
      <x:c r="K330" s="23" t="str">
        <x:v>1D0 098 016 019 02F 02E 01B 01F 1C0</x:v>
      </x:c>
    </x:row>
    <x:row r="331">
      <x:c r="A331" s="22" t="str">
        <x:f>"01"</x:f>
        <x:v>01</x:v>
      </x:c>
      <x:c r="B331" s="22" t="str">
        <x:f>"49"</x:f>
        <x:v>49</x:v>
      </x:c>
      <x:c r="C331" s="22" t="str">
        <x:f>"0x0149"</x:f>
        <x:v>0x0149</x:v>
      </x:c>
      <x:c r="D331" s="21" t="str">
        <x:v>&lt;CLEAR&gt;
探険を つづけますか?</x:v>
      </x:c>
      <x:c r="E331" s="19" t="str">
        <x:v>&lt;CLEAR&gt;Continue the adventure?</x:v>
      </x:c>
      <x:c r="F331" s="20" t="str"/>
      <x:c r="G331" s="20" t="str"/>
      <x:c r="H331" s="23" t="str">
        <x:v>CLEAR END</x:v>
      </x:c>
      <x:c r="I331" s="23" t="str">
        <x:v>EA:3B10</x:v>
      </x:c>
      <x:c r="J331" s="23" t="str">
        <x:v>D0 43 6F 6E 74 69 6E 75 65 01 74 68 65 01 61 64 76 65 6E 74 75 72 65 3F C0</x:v>
      </x:c>
      <x:c r="K331" s="23" t="str">
        <x:v>1D0 184 0BB 03C 001 021 084 021 018 02E 01C 015 079 1C0</x:v>
      </x:c>
    </x:row>
    <x:row r="332">
      <x:c r="A332" s="22" t="str">
        <x:f>"01"</x:f>
        <x:v>01</x:v>
      </x:c>
      <x:c r="B332" s="22" t="str">
        <x:f>"4A"</x:f>
        <x:v>4A</x:v>
      </x:c>
      <x:c r="C332" s="22" t="str">
        <x:f>"0x014A"</x:f>
        <x:v>0x014A</x:v>
      </x:c>
      <x:c r="D332" s="21" t="str">
        <x:v>&lt;CLEAR&gt;
書きこまずに おわると お話が
ひとつ前まで もどってしまいます
よろしいですか?</x:v>
      </x:c>
      <x:c r="E332" s="19" t="str">
        <x:v>&lt;CLEAR&gt;If you quit without recording,
your story will roll back
one entry. Is that okay?</x:v>
      </x:c>
      <x:c r="F332" s="20" t="str"/>
      <x:c r="G332" s="20" t="str"/>
      <x:c r="H332" s="23" t="str">
        <x:v>CLEAR NEWLINE NEWLINE END</x:v>
      </x:c>
      <x:c r="I332" s="23" t="str">
        <x:v>EA:3B29</x:v>
      </x:c>
      <x:c r="J332" s="23" t="str">
        <x:v>D0 49 66 01 79 6F 75 01 71 75 69 74 01 77 69 74 68 6F 75 74 01 72 65 63 6F 72 64 69 6E 67 2C C8 79 6F 75 72 01 73 74 6F 72 79 01 77 69 6C 6C 01 72 6F 6C 6C 01 62 61 63 6B C8 6F 6E 65 01 65 6E 74 72 79 2E 01 49 73 01 74 68 61 74 01 6F 6B 61 79 3F C0</x:v>
      </x:c>
      <x:c r="K332" s="23" t="str">
        <x:v>1D0 098 016 019 02E 084 01C 025 001 014 03B 038 023 001 014 0A0 084 015 1C8 02A 023 021 0C3 02E 084 022 001 032 084 023 03E 022 01B 02E 011 02E 01C 1C8 035 03A 01B 011 084 022 01C 015 079 1C0</x:v>
      </x:c>
    </x:row>
    <x:row r="333">
      <x:c r="A333" s="22" t="str">
        <x:f>"01"</x:f>
        <x:v>01</x:v>
      </x:c>
      <x:c r="B333" s="22" t="str">
        <x:f>"4B"</x:f>
        <x:v>4B</x:v>
      </x:c>
      <x:c r="C333" s="22" t="str">
        <x:f>"0x014B"</x:f>
        <x:v>0x014B</x:v>
      </x:c>
      <x:c r="D333" s="21" t="str">
        <x:v>&lt;CLEAR&gt;
ではまた</x:v>
      </x:c>
      <x:c r="E333" s="19" t="str">
        <x:v>&lt;CLEAR&gt;Until next time.&lt;LINE&gt;&lt;LINE&gt;</x:v>
      </x:c>
      <x:c r="F333" s="20" t="str"/>
      <x:c r="G333" s="20" t="str"/>
      <x:c r="H333" s="23" t="str">
        <x:v>CLEAR LINE LINE END</x:v>
      </x:c>
      <x:c r="I333" s="23" t="str">
        <x:v>EA:3B7C</x:v>
      </x:c>
      <x:c r="J333" s="23" t="str">
        <x:v>D0 55 6E 74 69 6C 01 6E 65 78 74 01 74 69 6D 65 2E C3 C3 C0</x:v>
      </x:c>
      <x:c r="K333" s="23" t="str">
        <x:v>1D0 084 022 029 02E 01F 1C3 1C3 1C0</x:v>
      </x:c>
    </x:row>
    <x:row r="334">
      <x:c r="A334" s="22" t="str">
        <x:f>"01"</x:f>
        <x:v>01</x:v>
      </x:c>
      <x:c r="B334" s="22" t="str">
        <x:f>"4C"</x:f>
        <x:v>4C</x:v>
      </x:c>
      <x:c r="C334" s="22" t="str">
        <x:f>"0x014C"</x:f>
        <x:v>0x014C</x:v>
      </x:c>
      <x:c r="D334" s="21" t="str">
        <x:v>&lt;SPEAKER&gt;「サンキュー ベリマッチ!</x:v>
      </x:c>
      <x:c r="E334" s="19" t="str">
        <x:v>&lt;SPEAKER&gt;Thank you very much!</x:v>
      </x:c>
      <x:c r="F334" s="20" t="str"/>
      <x:c r="G334" s="20" t="str"/>
      <x:c r="H334" s="23" t="str">
        <x:v>SPEAKER END</x:v>
      </x:c>
      <x:c r="I334" s="23" t="str">
        <x:v>EA:3B90</x:v>
      </x:c>
      <x:c r="J334" s="23" t="str">
        <x:v>CC 54 68 61 6E 6B 01 79 6F 75 01 76 65 72 79 01 6D 75 63 68 21 C0</x:v>
      </x:c>
      <x:c r="K334" s="23" t="str">
        <x:v>1CC 04C 06F 048 072 078 001 084 05E 069 060 070 052 07A 1C0</x:v>
      </x:c>
    </x:row>
    <x:row r="335">
      <x:c r="A335" s="22" t="str">
        <x:f>"01"</x:f>
        <x:v>01</x:v>
      </x:c>
      <x:c r="B335" s="22" t="str">
        <x:f>"4D"</x:f>
        <x:v>4D</x:v>
      </x:c>
      <x:c r="C335" s="22" t="str">
        <x:f>"0x014D"</x:f>
        <x:v>0x014D</x:v>
      </x:c>
      <x:c r="D335" s="21" t="str">
        <x:v>&lt;SPEAKER&gt;「ほかには 用は ないですか?</x:v>
      </x:c>
      <x:c r="E335" s="19" t="str">
        <x:v>&lt;SPEAKER&gt;Anything else you need?</x:v>
      </x:c>
      <x:c r="F335" s="20" t="str"/>
      <x:c r="G335" s="20" t="str"/>
      <x:c r="H335" s="23" t="str">
        <x:v>SPEAKER END</x:v>
      </x:c>
      <x:c r="I335" s="23" t="str">
        <x:v>EA:3BA6</x:v>
      </x:c>
      <x:c r="J335" s="23" t="str">
        <x:v>CC 41 6E 79 74 68 69 6E 67 01 65 6C 73 65 01 79 6F 75 01 6E 65 65 64 3F C0</x:v>
      </x:c>
      <x:c r="K335" s="23" t="str">
        <x:v>1CC 02D 015 025 029 001 112 029 001 024 011 084 022 01C 015 079 1C0</x:v>
      </x:c>
    </x:row>
    <x:row r="336">
      <x:c r="A336" s="22" t="str">
        <x:f>"01"</x:f>
        <x:v>01</x:v>
      </x:c>
      <x:c r="B336" s="22" t="str">
        <x:f>"4E"</x:f>
        <x:v>4E</x:v>
      </x:c>
      <x:c r="C336" s="22" t="str">
        <x:f>"0x014E"</x:f>
        <x:v>0x014E</x:v>
      </x:c>
      <x:c r="D336" s="21" t="str">
        <x:v>&lt;SPEAKER&gt;「どのにもつを
しまいましょう?</x:v>
      </x:c>
      <x:c r="E336" s="19" t="str">
        <x:v>&lt;SPEAKER&gt;Which item shall I store?</x:v>
      </x:c>
      <x:c r="F336" s="20" t="str"/>
      <x:c r="G336" s="20" t="str"/>
      <x:c r="H336" s="23" t="str">
        <x:v>SPEAKER END</x:v>
      </x:c>
      <x:c r="I336" s="23" t="str">
        <x:v>EA:3BBF</x:v>
      </x:c>
      <x:c r="J336" s="23" t="str">
        <x:v>CC 57 68 69 63 68 01 69 74 65 6D 01 73 68 61 6C 6C 01 49 01 73 74 6F 72 65 3F C0</x:v>
      </x:c>
      <x:c r="K336" s="23" t="str">
        <x:v>1CC 084 023 028 025 032 021 03C 1C8 01B 02E 011 02E 01B 041 012 079 1C0</x:v>
      </x:c>
    </x:row>
    <x:row r="337">
      <x:c r="A337" s="22" t="str">
        <x:f>"01"</x:f>
        <x:v>01</x:v>
      </x:c>
      <x:c r="B337" s="22" t="str">
        <x:f>"4F"</x:f>
        <x:v>4F</x:v>
      </x:c>
      <x:c r="C337" s="22" t="str">
        <x:f>"0x014F"</x:f>
        <x:v>0x014F</x:v>
      </x:c>
      <x:c r="D337" s="21" t="str">
        <x:v>&lt;SPEAKER&gt;「では キチンと
しまっておきます</x:v>
      </x:c>
      <x:c r="E337" s="19" t="str">
        <x:v>&lt;SPEAKER&gt;All right. I
will store it safely.</x:v>
      </x:c>
      <x:c r="F337" s="20" t="str"/>
      <x:c r="G337" s="20" t="str"/>
      <x:c r="H337" s="23" t="str">
        <x:v>SPEAKER NEWLINE END</x:v>
      </x:c>
      <x:c r="I337" s="23" t="str">
        <x:v>EA:3BDA</x:v>
      </x:c>
      <x:c r="J337" s="23" t="str">
        <x:v>CC 41 6C 6C 01 72 69 67 68 74 2E 01 49 C8 77 69 6C 6C 01 73 74 6F 72 65 01 69 74 01 73 61 66 65 6C 79 2E C0</x:v>
      </x:c>
      <x:c r="K337" s="23" t="str">
        <x:v>1CC 084 022 029 001 048 052 06F 023 1C8 01B 02E 03E 022 014 016 02E 01C 1C0</x:v>
      </x:c>
    </x:row>
    <x:row r="338">
      <x:c r="A338" s="22" t="str">
        <x:f>"01"</x:f>
        <x:v>01</x:v>
      </x:c>
      <x:c r="B338" s="22" t="str">
        <x:f>"50"</x:f>
        <x:v>50</x:v>
      </x:c>
      <x:c r="C338" s="22" t="str">
        <x:f>"0x0150"</x:f>
        <x:v>0x0150</x:v>
      </x:c>
      <x:c r="D338" s="21" t="str">
        <x:v>&lt;SPEAKER&gt;「ほかに 何か
しまいましょうか?</x:v>
      </x:c>
      <x:c r="E338" s="19" t="str">
        <x:v>&lt;SPEAKER&gt;Anything else to store?</x:v>
      </x:c>
      <x:c r="F338" s="20" t="str"/>
      <x:c r="G338" s="20" t="str"/>
      <x:c r="H338" s="23" t="str">
        <x:v>SPEAKER END</x:v>
      </x:c>
      <x:c r="I338" s="23" t="str">
        <x:v>EA:3BFE</x:v>
      </x:c>
      <x:c r="J338" s="23" t="str">
        <x:v>CC 41 6E 79 74 68 69 6E 67 01 65 6C 73 65 01 74 6F 01 73 74 6F 72 65 3F C0</x:v>
      </x:c>
      <x:c r="K338" s="23" t="str">
        <x:v>1CC 02D 015 025 001 093 015 1C8 01B 02E 011 02E 01B 041 012 015 079 1C0</x:v>
      </x:c>
    </x:row>
    <x:row r="339">
      <x:c r="A339" s="22" t="str">
        <x:f>"01"</x:f>
        <x:v>01</x:v>
      </x:c>
      <x:c r="B339" s="22" t="str">
        <x:f>"51"</x:f>
        <x:v>51</x:v>
      </x:c>
      <x:c r="C339" s="22" t="str">
        <x:f>"0x0151"</x:f>
        <x:v>0x0151</x:v>
      </x:c>
      <x:c r="D339" s="21" t="str">
        <x:v>&lt;SPEAKER&gt;「でも 誰も
にもつを 持ってないですよ</x:v>
      </x:c>
      <x:c r="E339" s="19" t="str">
        <x:v>&lt;SPEAKER&gt;But nobody
is carrying any items.</x:v>
      </x:c>
      <x:c r="F339" s="20" t="str"/>
      <x:c r="G339" s="20" t="str"/>
      <x:c r="H339" s="23" t="str">
        <x:v>SPEAKER NEWLINE END</x:v>
      </x:c>
      <x:c r="I339" s="23" t="str">
        <x:v>EA:3C17</x:v>
      </x:c>
      <x:c r="J339" s="23" t="str">
        <x:v>CC 42 75 74 01 6E 6F 62 6F 64 79 C8 69 73 01 63 61 72 72 79 69 6E 67 01 61 6E 79 01 69 74 65 6D 73 2E C0</x:v>
      </x:c>
      <x:c r="K339" s="23" t="str">
        <x:v>1CC 084 022 032 001 0FA 032 1C8 025 032 021 03C 001 0D3 03E 022 024 011 084 022 01C 035 1C0</x:v>
      </x:c>
    </x:row>
    <x:row r="340">
      <x:c r="A340" s="22" t="str">
        <x:f>"01"</x:f>
        <x:v>01</x:v>
      </x:c>
      <x:c r="B340" s="22" t="str">
        <x:f>"52"</x:f>
        <x:v>52</x:v>
      </x:c>
      <x:c r="C340" s="22" t="str">
        <x:f>"0x0152"</x:f>
        <x:v>0x0152</x:v>
      </x:c>
      <x:c r="D340" s="21" t="str">
        <x:v>&lt;SPEAKER&gt;「でも 何ひとつ
にもつを 持ってないようですが</x:v>
      </x:c>
      <x:c r="E340" s="19" t="str">
        <x:v>&lt;SPEAKER&gt;It looks like you
are carrying nothing at all.</x:v>
      </x:c>
      <x:c r="F340" s="20" t="str"/>
      <x:c r="G340" s="20" t="str"/>
      <x:c r="H340" s="23" t="str">
        <x:v>SPEAKER NEWLINE END</x:v>
      </x:c>
      <x:c r="I340" s="23" t="str">
        <x:v>EA:3C3A</x:v>
      </x:c>
      <x:c r="J340" s="23" t="str">
        <x:v>CC 49 74 01 6C 6F 6F 6B 73 01 6C 69 6B 65 01 79 6F 75 C8 61 72 65 01 63 61 72 72 79 69 6E 67 01 6E 6F 74 68 69 6E 67 01 61 74 01 61 6C 6C 2E C0</x:v>
      </x:c>
      <x:c r="K340" s="23" t="str">
        <x:v>1CC 084 022 032 001 093 02A 023 021 1C8 025 032 021 03C 001 0D3 03E 022 024 011 035 012 084 022 01C 084 015 1C0</x:v>
      </x:c>
    </x:row>
    <x:row r="341">
      <x:c r="A341" s="22" t="str">
        <x:f>"01"</x:f>
        <x:v>01</x:v>
      </x:c>
      <x:c r="B341" s="22" t="str">
        <x:f>"53"</x:f>
        <x:v>53</x:v>
      </x:c>
      <x:c r="C341" s="22" t="str">
        <x:f>"0x0153"</x:f>
        <x:v>0x0153</x:v>
      </x:c>
      <x:c r="D341" s="21" t="str">
        <x:v>&lt;SPEAKER&gt;「&lt;INSERT_A&gt;の そうこが
ただいま いっぱいでして
これ以上 お入れできません</x:v>
      </x:c>
      <x:c r="E341" s="19" t="str">
        <x:v>&lt;SPEAKER&gt;Storage for
&lt;INSERT_A&gt; is full right
now. I cannot take any more.</x:v>
      </x:c>
      <x:c r="F341" s="20" t="str"/>
      <x:c r="G341" s="20" t="str"/>
      <x:c r="H341" s="23" t="str">
        <x:v>SPEAKER NEWLINE INSERT_A NEWLINE END</x:v>
      </x:c>
      <x:c r="I341" s="23" t="str">
        <x:v>EA:3C6A</x:v>
      </x:c>
      <x:c r="J341" s="23" t="str">
        <x:v>CC 53 74 6F 72 61 67 65 01 66 6F 72 C8 C4 01 69 73 01 66 75 6C 6C 01 72 69 67 68 74 C8 6E 6F 77 2E 01 49 01 63 61 6E 6E 6F 74 01 74 61 6B 65 01 61 6E 79 01 6D 6F 72 65 2E C0</x:v>
      </x:c>
      <x:c r="K341" s="23" t="str">
        <x:v>1CC 1C4 028 001 01E 012 019 084 015 1C8 01F 084 01F 011 02E 001 011 03E 083 029 011 084 022 01B 022 1C8 019 039 0F4 128 001 014 08E 039 084 022 016 02E 01D 03D 1C0</x:v>
      </x:c>
    </x:row>
    <x:row r="342">
      <x:c r="A342" s="22" t="str">
        <x:f>"01"</x:f>
        <x:v>01</x:v>
      </x:c>
      <x:c r="B342" s="22" t="str">
        <x:f>"54"</x:f>
        <x:v>54</x:v>
      </x:c>
      <x:c r="C342" s="22" t="str">
        <x:f>"0x0154"</x:f>
        <x:v>0x0154</x:v>
      </x:c>
      <x:c r="D342" s="21" t="str">
        <x:v>&lt;SPEAKER&gt;「では キチンと
しまって・・・あれっ?&lt;WAIT&gt;&lt;SPEAKER&gt;「これ 呪われてますね・・・
教会で おはらいしてから
また 来てくださいね</x:v>
      </x:c>
      <x:c r="E342" s="19" t="str">
        <x:v>&lt;SPEAKER&gt;I'll store it safely... Huh?&lt;WAIT&gt;&lt;SPEAKER&gt;This thing is cursed.
Have it exorcised at a
church, then bring it back.</x:v>
      </x:c>
      <x:c r="F342" s="20" t="str"/>
      <x:c r="G342" s="20" t="str"/>
      <x:c r="H342" s="23" t="str">
        <x:v>SPEAKER WAIT SPEAKER NEWLINE NEWLINE END</x:v>
      </x:c>
      <x:c r="I342" s="23" t="str">
        <x:v>EA:3CA4</x:v>
      </x:c>
      <x:c r="J342" s="23" t="str">
        <x:v>CC 49 27 6C 6C 01 73 74 6F 72 65 01 69 74 01 73 61 66 65 6C 79 2E 2E 2E 01 48 75 68 3F C5 CC 54 68 69 73 01 74 68 69 6E 67 01 69 73 01 63 75 72 73 65 64 2E C8 48 61 76 65 01 69 74 01 65 78 6F 72 63 69 73 65 64 01 61 74 01 61 C8 63 68 75 72 63 68 2C 01 74 68 65 6E 01 62 72 69 6E 67 01 69 74 01 62 61 63 6B 2E C0</x:v>
      </x:c>
      <x:c r="K342" s="23" t="str">
        <x:v>1CC 084 022 029 001 048 052 06F 023 1C8 01B 02E 03E 022 081 081 081 010 039 03E 079 1C5 1CC 019 039 001 12D 03B 039 022 02E 01C 027 081 081 081 1C8 122 11E 084 022 001 014 029 036 011 01B 022 015 036 1C8 02E 01F 001 097 022 017 084 01F 01A 011 027 1C0</x:v>
      </x:c>
    </x:row>
    <x:row r="343">
      <x:c r="A343" s="22" t="str">
        <x:f>"01"</x:f>
        <x:v>01</x:v>
      </x:c>
      <x:c r="B343" s="22" t="str">
        <x:f>"55"</x:f>
        <x:v>55</x:v>
      </x:c>
      <x:c r="C343" s="22" t="str">
        <x:f>"0x0155"</x:f>
        <x:v>0x0155</x:v>
      </x:c>
      <x:c r="D343" s="21" t="str">
        <x:v>&lt;SPEAKER&gt;「1000エンドル単位で
お預かりします
いくら お預かりしましょう?</x:v>
      </x:c>
      <x:c r="E343" s="19" t="str">
        <x:v>&lt;SPEAKER&gt;I accept deposits
in units of 1,000 Endol.
How much will you deposit?</x:v>
      </x:c>
      <x:c r="F343" s="20" t="str"/>
      <x:c r="G343" s="20" t="str"/>
      <x:c r="H343" s="23" t="str">
        <x:v>SPEAKER NEWLINE NEWLINE END</x:v>
      </x:c>
      <x:c r="I343" s="23" t="str">
        <x:v>EA:3D0C</x:v>
      </x:c>
      <x:c r="J343" s="23" t="str">
        <x:v>CC 49 01 61 63 63 65 70 74 01 64 65 70 6F 73 69 74 73 C8 69 6E 01 75 6E 69 74 73 01 6F 66 01 31 2C 30 30 30 01 45 6E 64 6F 6C 2E C8 48 6F 77 01 6D 75 63 68 01 77 69 6C 6C 01 79 6F 75 01 64 65 70 6F 73 69 74 3F C0</x:v>
      </x:c>
      <x:c r="K343" s="23" t="str">
        <x:v>1CC 003 002 002 002 045 06F 084 055 06A 18E 194 084 022 1C8 014 111 015 037 01B 02E 01C 1C8 011 017 036 001 014 111 015 037 01B 02E 01B 041 012 079 1C0</x:v>
      </x:c>
    </x:row>
    <x:row r="344">
      <x:c r="A344" s="22" t="str">
        <x:f>"01"</x:f>
        <x:v>01</x:v>
      </x:c>
      <x:c r="B344" s="22" t="str">
        <x:f>"56"</x:f>
        <x:v>56</x:v>
      </x:c>
      <x:c r="C344" s="22" t="str">
        <x:f>"0x0156"</x:f>
        <x:v>0x0156</x:v>
      </x:c>
      <x:c r="D344" s="21" t="str">
        <x:v>&lt;SPEAKER&gt;「&lt;NUMBER&gt;エンドルですね?
では キッチリと お預かりします</x:v>
      </x:c>
      <x:c r="E344" s="19" t="str">
        <x:v>&lt;SPEAKER&gt;&lt;NUMBER&gt; Endol,
correct? I will keep it safe.</x:v>
      </x:c>
      <x:c r="F344" s="20" t="str"/>
      <x:c r="G344" s="20" t="str"/>
      <x:c r="H344" s="23" t="str">
        <x:v>SPEAKER NUMBER NEWLINE END</x:v>
      </x:c>
      <x:c r="I344" s="23" t="str">
        <x:v>EA:3D53</x:v>
      </x:c>
      <x:c r="J344" s="23" t="str">
        <x:v>CC C2 01 45 6E 64 6F 6C 2C C8 63 6F 72 72 65 63 74 3F 01 49 01 77 69 6C 6C 01 6B 65 65 70 01 69 74 01 73 61 66 65 2E C0</x:v>
      </x:c>
      <x:c r="K344" s="23" t="str">
        <x:v>1CC 1C2 045 06F 084 055 06A 084 022 01C 027 079 1C8 084 022 029 001 048 070 052 069 023 001 014 111 015 037 01B 02E 01C 1C0</x:v>
      </x:c>
    </x:row>
    <x:row r="345">
      <x:c r="A345" s="22" t="str">
        <x:f>"01"</x:f>
        <x:v>01</x:v>
      </x:c>
      <x:c r="B345" s="22" t="str">
        <x:f>"57"</x:f>
        <x:v>57</x:v>
      </x:c>
      <x:c r="C345" s="22" t="str">
        <x:f>"0x0157"</x:f>
        <x:v>0x0157</x:v>
      </x:c>
      <x:c r="D345" s="21" t="str">
        <x:v>&lt;SPEAKER&gt;「&lt;NUMBER&gt;エンドルですか?&lt;WAIT&gt;&lt;SPEAKER&gt;「いいにくいのですが
お客様は そんなに
お持ちでは ないようですが・・・</x:v>
      </x:c>
      <x:c r="E345" s="19" t="str">
        <x:v>&lt;SPEAKER&gt;&lt;NUMBER&gt; Endol?&lt;WAIT&gt;&lt;SPEAKER&gt;I hate to say it,
but you do not appear to
have that much on you...</x:v>
      </x:c>
      <x:c r="F345" s="20" t="str"/>
      <x:c r="G345" s="20" t="str"/>
      <x:c r="H345" s="23" t="str">
        <x:v>SPEAKER NUMBER WAIT SPEAKER NEWLINE NEWLINE END</x:v>
      </x:c>
      <x:c r="I345" s="23" t="str">
        <x:v>EA:3D7B</x:v>
      </x:c>
      <x:c r="J345" s="23" t="str">
        <x:v>CC C2 01 45 6E 64 6F 6C 3F C5 CC 49 01 68 61 74 65 01 74 6F 01 73 61 79 01 69 74 2C C8 62 75 74 01 79 6F 75 01 64 6F 01 6E 6F 74 01 61 70 70 65 61 72 01 74 6F C8 68 61 76 65 01 74 68 61 74 01 6D 75 63 68 01 6F 6E 01 79 6F 75 2E 2E 2E C0</x:v>
      </x:c>
      <x:c r="K345" s="23" t="str">
        <x:v>1CC 1C2 045 06F 084 055 06A 084 022 01C 015 079 1C5 1CC 011 011 025 017 011 028 084 022 01C 084 015 1C8 014 0FD 0D9 029 001 01E 03D 024 025 1C8 014 0D3 020 084 022 029 001 024 011 035 012 084 022 01C 084 015 081 081 081 1C0</x:v>
      </x:c>
    </x:row>
    <x:row r="346">
      <x:c r="A346" s="22" t="str">
        <x:f>"01"</x:f>
        <x:v>01</x:v>
      </x:c>
      <x:c r="B346" s="22" t="str">
        <x:f>"58"</x:f>
        <x:v>58</x:v>
      </x:c>
      <x:c r="C346" s="22" t="str">
        <x:f>"0x0158"</x:f>
        <x:v>0x0158</x:v>
      </x:c>
      <x:c r="D346" s="21" t="str">
        <x:v>&lt;SPEAKER&gt;「どれを 返しましょうか?</x:v>
      </x:c>
      <x:c r="E346" s="19" t="str">
        <x:v>&lt;SPEAKER&gt;Which item shall I return?</x:v>
      </x:c>
      <x:c r="F346" s="20" t="str"/>
      <x:c r="G346" s="20" t="str"/>
      <x:c r="H346" s="23" t="str">
        <x:v>SPEAKER END</x:v>
      </x:c>
      <x:c r="I346" s="23" t="str">
        <x:v>EA:3DCA</x:v>
      </x:c>
      <x:c r="J346" s="23" t="str">
        <x:v>CC 57 68 69 63 68 01 69 74 65 6D 01 73 68 61 6C 6C 01 49 01 72 65 74 75 72 6E 3F C0</x:v>
      </x:c>
      <x:c r="K346" s="23" t="str">
        <x:v>1CC 084 023 039 03C 001 135 01B 02E 01B 041 012 015 079 1C0</x:v>
      </x:c>
    </x:row>
    <x:row r="347">
      <x:c r="A347" s="22" t="str">
        <x:f>"01"</x:f>
        <x:v>01</x:v>
      </x:c>
      <x:c r="B347" s="22" t="str">
        <x:f>"59"</x:f>
        <x:v>59</x:v>
      </x:c>
      <x:c r="C347" s="22" t="str">
        <x:f>"0x0159"</x:f>
        <x:v>0x0159</x:v>
      </x:c>
      <x:c r="D347" s="21" t="str">
        <x:v>&lt;SPEAKER&gt;「誰が 持っていきます?</x:v>
      </x:c>
      <x:c r="E347" s="19" t="str">
        <x:v>&lt;SPEAKER&gt;Who will take it?</x:v>
      </x:c>
      <x:c r="F347" s="20" t="str"/>
      <x:c r="G347" s="20" t="str"/>
      <x:c r="H347" s="23" t="str">
        <x:v>SPEAKER END</x:v>
      </x:c>
      <x:c r="I347" s="23" t="str">
        <x:v>EA:3DE6</x:v>
      </x:c>
      <x:c r="J347" s="23" t="str">
        <x:v>CC 57 68 6F 01 77 69 6C 6C 01 74 61 6B 65 01 69 74 3F C0</x:v>
      </x:c>
      <x:c r="K347" s="23" t="str">
        <x:v>1CC 0FA 084 015 001 0D3 03E 022 011 016 02E 01C 079 1C0</x:v>
      </x:c>
    </x:row>
    <x:row r="348">
      <x:c r="A348" s="22" t="str">
        <x:f>"01"</x:f>
        <x:v>01</x:v>
      </x:c>
      <x:c r="B348" s="22" t="str">
        <x:f>"5A"</x:f>
        <x:v>5A</x:v>
      </x:c>
      <x:c r="C348" s="22" t="str">
        <x:f>"0x015A"</x:f>
        <x:v>0x015A</x:v>
      </x:c>
      <x:c r="D348" s="21" t="str">
        <x:v>&lt;SPEAKER&gt;「ここで 装備していきますか?</x:v>
      </x:c>
      <x:c r="E348" s="19" t="str">
        <x:v>&lt;SPEAKER&gt;Equip it
here before you go?</x:v>
      </x:c>
      <x:c r="F348" s="20" t="str"/>
      <x:c r="G348" s="20" t="str"/>
      <x:c r="H348" s="23" t="str">
        <x:v>SPEAKER NEWLINE END</x:v>
      </x:c>
      <x:c r="I348" s="23" t="str">
        <x:v>EA:3DF9</x:v>
      </x:c>
      <x:c r="J348" s="23" t="str">
        <x:v>CC 45 71 75 69 70 01 69 74 C8 68 65 72 65 01 62 65 66 6F 72 65 01 79 6F 75 01 67 6F 3F C0</x:v>
      </x:c>
      <x:c r="K348" s="23" t="str">
        <x:v>1CC 019 019 084 022 001 0C2 0C4 01B 022 011 016 02E 01C 015 079 1C0</x:v>
      </x:c>
    </x:row>
    <x:row r="349">
      <x:c r="A349" s="22" t="str">
        <x:f>"01"</x:f>
        <x:v>01</x:v>
      </x:c>
      <x:c r="B349" s="22" t="str">
        <x:f>"5B"</x:f>
        <x:v>5B</x:v>
      </x:c>
      <x:c r="C349" s="22" t="str">
        <x:f>"0x015B"</x:f>
        <x:v>0x015B</x:v>
      </x:c>
      <x:c r="D349" s="21" t="str">
        <x:v>&lt;SPEAKER&gt;「なかなか さまになりますよ
きっと</x:v>
      </x:c>
      <x:c r="E349" s="19" t="str">
        <x:v>&lt;SPEAKER&gt;It looks rather
good on you. Really.</x:v>
      </x:c>
      <x:c r="F349" s="20" t="str"/>
      <x:c r="G349" s="20" t="str"/>
      <x:c r="H349" s="23" t="str">
        <x:v>SPEAKER NEWLINE END</x:v>
      </x:c>
      <x:c r="I349" s="23" t="str">
        <x:v>EA:3E17</x:v>
      </x:c>
      <x:c r="J349" s="23" t="str">
        <x:v>CC 49 74 01 6C 6F 6F 6B 73 01 72 61 74 68 65 72 C8 67 6F 6F 64 01 6F 6E 01 79 6F 75 2E 01 52 65 61 6C 6C 79 2E C0</x:v>
      </x:c>
      <x:c r="K349" s="23" t="str">
        <x:v>1CC 024 015 024 015 001 01A 02E 025 024 037 02E 01C 035 1C8 016 03E 023 1C0</x:v>
      </x:c>
    </x:row>
    <x:row r="350">
      <x:c r="A350" s="22" t="str">
        <x:f>"01"</x:f>
        <x:v>01</x:v>
      </x:c>
      <x:c r="B350" s="22" t="str">
        <x:f>"5C"</x:f>
        <x:v>5C</x:v>
      </x:c>
      <x:c r="C350" s="22" t="str">
        <x:f>"0x015C"</x:f>
        <x:v>0x015C</x:v>
      </x:c>
      <x:c r="D350" s="21" t="str">
        <x:v>&lt;SPEAKER&gt;「はい どうぞ!</x:v>
      </x:c>
      <x:c r="E350" s="19" t="str">
        <x:v>&lt;SPEAKER&gt;Here you are!</x:v>
      </x:c>
      <x:c r="F350" s="20" t="str"/>
      <x:c r="G350" s="20" t="str"/>
      <x:c r="H350" s="23" t="str">
        <x:v>SPEAKER END</x:v>
      </x:c>
      <x:c r="I350" s="23" t="str">
        <x:v>EA:3E3D</x:v>
      </x:c>
      <x:c r="J350" s="23" t="str">
        <x:v>CC 48 65 72 65 01 79 6F 75 01 61 72 65 21 C0</x:v>
      </x:c>
      <x:c r="K350" s="23" t="str">
        <x:v>1CC 029 011 001 084 023 012 084 01E 07A 1C0</x:v>
      </x:c>
    </x:row>
    <x:row r="351">
      <x:c r="A351" s="22" t="str">
        <x:f>"01"</x:f>
        <x:v>01</x:v>
      </x:c>
      <x:c r="B351" s="22" t="str">
        <x:f>"5D"</x:f>
        <x:v>5D</x:v>
      </x:c>
      <x:c r="C351" s="22" t="str">
        <x:f>"0x015D"</x:f>
        <x:v>0x015D</x:v>
      </x:c>
      <x:c r="D351" s="21" t="str">
        <x:v>&lt;SPEAKER&gt;「では &lt;INSERT_C&gt;の
ひつぎに いれておきますよ</x:v>
      </x:c>
      <x:c r="E351" s="19" t="str">
        <x:v>&lt;SPEAKER&gt;I'll put it
in &lt;INSERT_C&gt;'s coffin.</x:v>
      </x:c>
      <x:c r="F351" s="20" t="str"/>
      <x:c r="G351" s="20" t="str"/>
      <x:c r="H351" s="23" t="str">
        <x:v>SPEAKER NEWLINE INSERT_C END</x:v>
      </x:c>
      <x:c r="I351" s="23" t="str">
        <x:v>EA:3E4C</x:v>
      </x:c>
      <x:c r="J351" s="23" t="str">
        <x:v>CC 49 27 6C 6C 01 70 75 74 01 69 74 C8 69 6E 01 CE 27 73 01 63 6F 66 66 69 6E 2E C0</x:v>
      </x:c>
      <x:c r="K351" s="23" t="str">
        <x:v>1CC 084 022 029 001 1CE 028 1C8 02A 021 084 016 025 001 011 039 022 014 016 02E 01C 035 1C0</x:v>
      </x:c>
    </x:row>
    <x:row r="352">
      <x:c r="A352" s="22" t="str">
        <x:f>"01"</x:f>
        <x:v>01</x:v>
      </x:c>
      <x:c r="B352" s="22" t="str">
        <x:f>"5E"</x:f>
        <x:v>5E</x:v>
      </x:c>
      <x:c r="C352" s="22" t="str">
        <x:f>"0x015E"</x:f>
        <x:v>0x015E</x:v>
      </x:c>
      <x:c r="D352" s="21" t="str">
        <x:v>&lt;SPEAKER&gt;「ほかの物も
返しましょうか?</x:v>
      </x:c>
      <x:c r="E352" s="19" t="str">
        <x:v>&lt;SPEAKER&gt;Shall I
return anything else?</x:v>
      </x:c>
      <x:c r="F352" s="20" t="str"/>
      <x:c r="G352" s="20" t="str"/>
      <x:c r="H352" s="23" t="str">
        <x:v>SPEAKER NEWLINE END</x:v>
      </x:c>
      <x:c r="I352" s="23" t="str">
        <x:v>EA:3E68</x:v>
      </x:c>
      <x:c r="J352" s="23" t="str">
        <x:v>CC 53 68 61 6C 6C 01 49 C8 72 65 74 75 72 6E 01 61 6E 79 74 68 69 6E 67 01 65 6C 73 65 3F C0</x:v>
      </x:c>
      <x:c r="K352" s="23" t="str">
        <x:v>1CC 02D 015 028 08B 032 1C8 135 01B 02E 01B 041 012 015 079 1C0</x:v>
      </x:c>
    </x:row>
    <x:row r="353">
      <x:c r="A353" s="22" t="str">
        <x:f>"01"</x:f>
        <x:v>01</x:v>
      </x:c>
      <x:c r="B353" s="22" t="str">
        <x:f>"5F"</x:f>
        <x:v>5F</x:v>
      </x:c>
      <x:c r="C353" s="22" t="str">
        <x:f>"0x015F"</x:f>
        <x:v>0x015F</x:v>
      </x:c>
      <x:c r="D353" s="21" t="str">
        <x:v>&lt;SPEAKER&gt;「&lt;INSERT_C&gt;は これを
装備できませんけど
かまいませんか?</x:v>
      </x:c>
      <x:c r="E353" s="19" t="str">
        <x:v>&lt;SPEAKER&gt;&lt;INSERT_C&gt; can't
equip this. Is that all right?</x:v>
      </x:c>
      <x:c r="F353" s="20" t="str"/>
      <x:c r="G353" s="20" t="str"/>
      <x:c r="H353" s="23" t="str">
        <x:v>SPEAKER INSERT_C NEWLINE END</x:v>
      </x:c>
      <x:c r="I353" s="23" t="str">
        <x:v>EA:3E87</x:v>
      </x:c>
      <x:c r="J353" s="23" t="str">
        <x:v>CC CE 01 63 61 6E 27 74 C8 65 71 75 69 70 01 74 68 69 73 2E 01 49 73 01 74 68 61 74 01 61 6C 6C 01 72 69 67 68 74 3F C0</x:v>
      </x:c>
      <x:c r="K353" s="23" t="str">
        <x:v>1CC 1CE 029 001 019 039 03C 1C8 0C2 0C4 084 022 016 02E 01D 03D 018 084 023 1C8 015 02E 011 02E 01D 03D 015 079 1C0</x:v>
      </x:c>
    </x:row>
    <x:row r="354">
      <x:c r="A354" s="22" t="str">
        <x:f>"01"</x:f>
        <x:v>01</x:v>
      </x:c>
      <x:c r="B354" s="22" t="str">
        <x:f>"60"</x:f>
        <x:v>60</x:v>
      </x:c>
      <x:c r="C354" s="22" t="str">
        <x:f>"0x0160"</x:f>
        <x:v>0x0160</x:v>
      </x:c>
      <x:c r="D354" s="21" t="str">
        <x:v>&lt;SPEAKER&gt;「誰か ほかの人が 持ちますか?</x:v>
      </x:c>
      <x:c r="E354" s="19" t="str">
        <x:v>&lt;SPEAKER&gt;Should
someone else carry it?</x:v>
      </x:c>
      <x:c r="F354" s="20" t="str"/>
      <x:c r="G354" s="20" t="str"/>
      <x:c r="H354" s="23" t="str">
        <x:v>SPEAKER NEWLINE END</x:v>
      </x:c>
      <x:c r="I354" s="23" t="str">
        <x:v>EA:3EAF</x:v>
      </x:c>
      <x:c r="J354" s="23" t="str">
        <x:v>CC 53 68 6F 75 6C 64 C8 73 6F 6D 65 6F 6E 65 01 65 6C 73 65 01 63 61 72 72 79 01 69 74 3F C0</x:v>
      </x:c>
      <x:c r="K354" s="23" t="str">
        <x:v>1CC 0FA 015 001 02D 015 028 091 084 015 001 0D3 020 02E 01C 015 079 1C0</x:v>
      </x:c>
    </x:row>
    <x:row r="355">
      <x:c r="A355" s="22" t="str">
        <x:f>"01"</x:f>
        <x:v>01</x:v>
      </x:c>
      <x:c r="B355" s="22" t="str">
        <x:f>"61"</x:f>
        <x:v>61</x:v>
      </x:c>
      <x:c r="C355" s="22" t="str">
        <x:f>"0x0161"</x:f>
        <x:v>0x0161</x:v>
      </x:c>
      <x:c r="D355" s="21" t="str">
        <x:v>&lt;SPEAKER&gt;「&lt;INSERT_C&gt;は それ以上
物を 持てないようですよ</x:v>
      </x:c>
      <x:c r="E355" s="19" t="str">
        <x:v>&lt;SPEAKER&gt;&lt;INSERT_C&gt; can't carry
anything else right now.</x:v>
      </x:c>
      <x:c r="F355" s="20" t="str"/>
      <x:c r="G355" s="20" t="str"/>
      <x:c r="H355" s="23" t="str">
        <x:v>SPEAKER INSERT_C NEWLINE END</x:v>
      </x:c>
      <x:c r="I355" s="23" t="str">
        <x:v>EA:3ECE</x:v>
      </x:c>
      <x:c r="J355" s="23" t="str">
        <x:v>CC CE 01 63 61 6E 27 74 01 63 61 72 72 79 C8 61 6E 79 74 68 69 6E 67 01 65 6C 73 65 01 72 69 67 68 74 01 6E 6F 77 2E C0</x:v>
      </x:c>
      <x:c r="K355" s="23" t="str">
        <x:v>1CC 1CE 029 001 01E 039 0F4 128 1C8 08B 03C 001 0D3 022 024 011 035 012 084 022 01C 035 1C0</x:v>
      </x:c>
    </x:row>
    <x:row r="356">
      <x:c r="A356" s="22" t="str">
        <x:f>"01"</x:f>
        <x:v>01</x:v>
      </x:c>
      <x:c r="B356" s="22" t="str">
        <x:f>"62"</x:f>
        <x:v>62</x:v>
      </x:c>
      <x:c r="C356" s="22" t="str">
        <x:f>"0x0162"</x:f>
        <x:v>0x0162</x:v>
      </x:c>
      <x:c r="D356" s="21" t="str">
        <x:v>&lt;SPEAKER&gt;「やめるのですね</x:v>
      </x:c>
      <x:c r="E356" s="19" t="str">
        <x:v>&lt;SPEAKER&gt;You are stopping, then.</x:v>
      </x:c>
      <x:c r="F356" s="20" t="str"/>
      <x:c r="G356" s="20" t="str"/>
      <x:c r="H356" s="23" t="str">
        <x:v>SPEAKER END</x:v>
      </x:c>
      <x:c r="I356" s="23" t="str">
        <x:v>EA:3EF6</x:v>
      </x:c>
      <x:c r="J356" s="23" t="str">
        <x:v>CC 59 6F 75 01 61 72 65 01 73 74 6F 70 70 69 6E 67 2C 01 74 68 65 6E 2E C0</x:v>
      </x:c>
      <x:c r="K356" s="23" t="str">
        <x:v>1CC 033 031 038 028 084 022 01C 027 1C0</x:v>
      </x:c>
    </x:row>
    <x:row r="357">
      <x:c r="A357" s="22" t="str">
        <x:f>"01"</x:f>
        <x:v>01</x:v>
      </x:c>
      <x:c r="B357" s="22" t="str">
        <x:f>"63"</x:f>
        <x:v>63</x:v>
      </x:c>
      <x:c r="C357" s="22" t="str">
        <x:f>"0x0163"</x:f>
        <x:v>0x0163</x:v>
      </x:c>
      <x:c r="D357" s="21" t="str">
        <x:v>&lt;SPEAKER&gt;「ほかの物を
返しましょうか?</x:v>
      </x:c>
      <x:c r="E357" s="19" t="str">
        <x:v>&lt;SPEAKER&gt;Shall I return
something else?</x:v>
      </x:c>
      <x:c r="F357" s="20" t="str"/>
      <x:c r="G357" s="20" t="str"/>
      <x:c r="H357" s="23" t="str">
        <x:v>SPEAKER NEWLINE END</x:v>
      </x:c>
      <x:c r="I357" s="23" t="str">
        <x:v>EA:3F0F</x:v>
      </x:c>
      <x:c r="J357" s="23" t="str">
        <x:v>CC 53 68 61 6C 6C 01 49 01 72 65 74 75 72 6E C8 73 6F 6D 65 74 68 69 6E 67 01 65 6C 73 65 3F C0</x:v>
      </x:c>
      <x:c r="K357" s="23" t="str">
        <x:v>1CC 02D 015 028 08B 03C 1C8 135 01B 02E 01B 041 012 015 079 1C0</x:v>
      </x:c>
    </x:row>
    <x:row r="358">
      <x:c r="A358" s="22" t="str">
        <x:f>"01"</x:f>
        <x:v>01</x:v>
      </x:c>
      <x:c r="B358" s="22" t="str">
        <x:f>"64"</x:f>
        <x:v>64</x:v>
      </x:c>
      <x:c r="C358" s="22" t="str">
        <x:f>"0x0164"</x:f>
        <x:v>0x0164</x:v>
      </x:c>
      <x:c r="D358" s="21" t="str">
        <x:v>&lt;SPEAKER&gt;「みなさん それ以上
物を 持てないようですよ</x:v>
      </x:c>
      <x:c r="E358" s="19" t="str">
        <x:v>&lt;SPEAKER&gt;No one can carry
anything else right now.</x:v>
      </x:c>
      <x:c r="F358" s="20" t="str"/>
      <x:c r="G358" s="20" t="str"/>
      <x:c r="H358" s="23" t="str">
        <x:v>SPEAKER NEWLINE END</x:v>
      </x:c>
      <x:c r="I358" s="23" t="str">
        <x:v>EA:3F2F</x:v>
      </x:c>
      <x:c r="J358" s="23" t="str">
        <x:v>CC 4E 6F 01 6F 6E 65 01 63 61 6E 01 63 61 72 72 79 C8 61 6E 79 74 68 69 6E 67 01 65 6C 73 65 01 72 69 67 68 74 01 6E 6F 77 2E C0</x:v>
      </x:c>
      <x:c r="K358" s="23" t="str">
        <x:v>1CC 02F 024 01A 03D 001 01E 039 0F4 128 1C8 08B 03C 001 0D3 022 024 011 035 012 084 022 01C 035 1C0</x:v>
      </x:c>
    </x:row>
    <x:row r="359">
      <x:c r="A359" s="22" t="str">
        <x:f>"01"</x:f>
        <x:v>01</x:v>
      </x:c>
      <x:c r="B359" s="22" t="str">
        <x:f>"65"</x:f>
        <x:v>65</x:v>
      </x:c>
      <x:c r="C359" s="22" t="str">
        <x:f>"0x0165"</x:f>
        <x:v>0x0165</x:v>
      </x:c>
      <x:c r="D359" s="21" t="str">
        <x:v>&lt;SPEAKER&gt;「あれ あなたのにもつは
ありませんよ</x:v>
      </x:c>
      <x:c r="E359" s="19" t="str">
        <x:v>&lt;SPEAKER&gt;Huh? You don't
have anything stored here.</x:v>
      </x:c>
      <x:c r="F359" s="20" t="str"/>
      <x:c r="G359" s="20" t="str"/>
      <x:c r="H359" s="23" t="str">
        <x:v>SPEAKER NEWLINE END</x:v>
      </x:c>
      <x:c r="I359" s="23" t="str">
        <x:v>EA:3F5A</x:v>
      </x:c>
      <x:c r="J359" s="23" t="str">
        <x:v>CC 48 75 68 3F 01 59 6F 75 01 64 6F 6E 27 74 C8 68 61 76 65 01 61 6E 79 74 68 69 6E 67 01 73 74 6F 72 65 64 01 68 65 72 65 2E C0</x:v>
      </x:c>
      <x:c r="K359" s="23" t="str">
        <x:v>1CC 010 039 001 010 024 01F 028 025 032 021 029 1C8 010 037 02E 01D 03D 035 1C0</x:v>
      </x:c>
    </x:row>
    <x:row r="360">
      <x:c r="A360" s="22" t="str">
        <x:f>"01"</x:f>
        <x:v>01</x:v>
      </x:c>
      <x:c r="B360" s="22" t="str">
        <x:f>"66"</x:f>
        <x:v>66</x:v>
      </x:c>
      <x:c r="C360" s="22" t="str">
        <x:f>"0x0166"</x:f>
        <x:v>0x0166</x:v>
      </x:c>
      <x:c r="D360" s="21" t="str">
        <x:v>&lt;SPEAKER&gt;「げんざい &lt;NUMBER&gt;エンドル
お預かりしています
いくら お返ししましょう?</x:v>
      </x:c>
      <x:c r="E360" s="19" t="str">
        <x:v>&lt;SPEAKER&gt;I currently hold &lt;NUMBER&gt;
Endol. How much shall I return?</x:v>
      </x:c>
      <x:c r="F360" s="20" t="str"/>
      <x:c r="G360" s="20" t="str"/>
      <x:c r="H360" s="23" t="str">
        <x:v>SPEAKER NUMBER NEWLINE END</x:v>
      </x:c>
      <x:c r="I360" s="23" t="str">
        <x:v>EA:3F85</x:v>
      </x:c>
      <x:c r="J360" s="23" t="str">
        <x:v>CC 49 01 63 75 72 72 65 6E 74 6C 79 01 68 6F 6C 64 01 C2 C8 45 6E 64 6F 6C 2E 01 48 6F 77 01 6D 75 63 68 01 73 68 61 6C 6C 01 49 01 72 65 74 75 72 6E 3F C0</x:v>
      </x:c>
      <x:c r="K360" s="23" t="str">
        <x:v>1CC 084 018 03D 084 01A 011 001 1C2 045 06F 084 055 06A 1C8 014 111 015 037 01B 022 011 02E 01C 1C8 011 017 036 001 014 135 01B 01B 02E 01B 041 012 079 1C0</x:v>
      </x:c>
    </x:row>
    <x:row r="361">
      <x:c r="A361" s="22" t="str">
        <x:f>"01"</x:f>
        <x:v>01</x:v>
      </x:c>
      <x:c r="B361" s="22" t="str">
        <x:f>"67"</x:f>
        <x:v>67</x:v>
      </x:c>
      <x:c r="C361" s="22" t="str">
        <x:f>"0x0167"</x:f>
        <x:v>0x0167</x:v>
      </x:c>
      <x:c r="D361" s="21" t="str">
        <x:v>&lt;SPEAKER&gt;「&lt;NUMBER&gt;エンドルですね?&lt;WAIT&gt;&lt;SPEAKER&gt;「わかりました
では どうぞ</x:v>
      </x:c>
      <x:c r="E361" s="19" t="str">
        <x:v>&lt;SPEAKER&gt;&lt;NUMBER&gt; Endol, correct?&lt;WAIT&gt;&lt;SPEAKER&gt;Understood. Here you are.</x:v>
      </x:c>
      <x:c r="F361" s="20" t="str"/>
      <x:c r="G361" s="20" t="str"/>
      <x:c r="H361" s="23" t="str">
        <x:v>SPEAKER NUMBER WAIT SPEAKER END</x:v>
      </x:c>
      <x:c r="I361" s="23" t="str">
        <x:v>EA:3FB9</x:v>
      </x:c>
      <x:c r="J361" s="23" t="str">
        <x:v>CC C2 01 45 6E 64 6F 6C 2C 01 63 6F 72 72 65 63 74 3F C5 CC 55 6E 64 65 72 73 74 6F 6F 64 2E 01 48 65 72 65 01 79 6F 75 01 61 72 65 2E C0</x:v>
      </x:c>
      <x:c r="K361" s="23" t="str">
        <x:v>1CC 1C2 045 06F 084 055 06A 084 022 01C 027 079 1C5 1CC 03B 015 037 02E 01B 01F 1C8 084 022 029 001 084 023 012 084 01E 1C0</x:v>
      </x:c>
    </x:row>
    <x:row r="362">
      <x:c r="A362" s="22" t="str">
        <x:f>"01"</x:f>
        <x:v>01</x:v>
      </x:c>
      <x:c r="B362" s="22" t="str">
        <x:f>"68"</x:f>
        <x:v>68</x:v>
      </x:c>
      <x:c r="C362" s="22" t="str">
        <x:f>"0x0168"</x:f>
        <x:v>0x0168</x:v>
      </x:c>
      <x:c r="D362" s="21" t="str">
        <x:v>&lt;SPEAKER&gt;「えっ? お金?
1エンドルも
お預かりしていませんけど・・・</x:v>
      </x:c>
      <x:c r="E362" s="19" t="str">
        <x:v>&lt;SPEAKER&gt;Huh? Money? I
don't have a single Endol
of yours on deposit...</x:v>
      </x:c>
      <x:c r="F362" s="20" t="str"/>
      <x:c r="G362" s="20" t="str"/>
      <x:c r="H362" s="23" t="str">
        <x:v>SPEAKER NEWLINE NEWLINE END</x:v>
      </x:c>
      <x:c r="I362" s="23" t="str">
        <x:v>EA:3FE7</x:v>
      </x:c>
      <x:c r="J362" s="23" t="str">
        <x:v>CC 48 75 68 3F 01 4D 6F 6E 65 79 3F 01 49 C8 64 6F 6E 27 74 01 68 61 76 65 01 61 01 73 69 6E 67 6C 65 01 45 6E 64 6F 6C C8 6F 66 01 79 6F 75 72 73 01 6F 6E 01 64 65 70 6F 73 69 74 2E 2E 2E C0</x:v>
      </x:c>
      <x:c r="K362" s="23" t="str">
        <x:v>1CC 013 03E 079 001 014 094 079 1C8 003 045 06F 084 055 06A 032 1C8 014 111 015 037 01B 022 011 02E 01D 03D 018 084 023 081 081 081 1C0</x:v>
      </x:c>
    </x:row>
    <x:row r="363">
      <x:c r="A363" s="22" t="str">
        <x:f>"01"</x:f>
        <x:v>01</x:v>
      </x:c>
      <x:c r="B363" s="22" t="str">
        <x:f>"69"</x:f>
        <x:v>69</x:v>
      </x:c>
      <x:c r="C363" s="22" t="str">
        <x:f>"0x0169"</x:f>
        <x:v>0x0169</x:v>
      </x:c>
      <x:c r="D363" s="21" t="str">
        <x:v>&lt;SPEAKER&gt;「&lt;NUMBER&gt;エンドルですか?&lt;WAIT&gt;&lt;SPEAKER&gt;「そんなに たくさん
お預かりしていませんが</x:v>
      </x:c>
      <x:c r="E363" s="19" t="str">
        <x:v>&lt;SPEAKER&gt;&lt;NUMBER&gt; Endol?&lt;WAIT&gt;&lt;SPEAKER&gt;I don't have that much
of your money on deposit.</x:v>
      </x:c>
      <x:c r="F363" s="20" t="str"/>
      <x:c r="G363" s="20" t="str"/>
      <x:c r="H363" s="23" t="str">
        <x:v>SPEAKER NUMBER WAIT SPEAKER NEWLINE END</x:v>
      </x:c>
      <x:c r="I363" s="23" t="str">
        <x:v>EA:4027</x:v>
      </x:c>
      <x:c r="J363" s="23" t="str">
        <x:v>CC C2 01 45 6E 64 6F 6C 3F C5 CC 49 01 64 6F 6E 27 74 01 68 61 76 65 01 74 68 61 74 01 6D 75 63 68 C8 6F 66 01 79 6F 75 72 01 6D 6F 6E 65 79 01 6F 6E 01 64 65 70 6F 73 69 74 2E C0</x:v>
      </x:c>
      <x:c r="K363" s="23" t="str">
        <x:v>1CC 1C2 045 06F 084 055 06A 084 022 01C 015 079 1C5 1CC 01E 03D 024 025 001 01F 017 01A 03D 1C8 014 111 015 037 01B 022 011 02E 01D 03D 084 015 1C0</x:v>
      </x:c>
    </x:row>
    <x:row r="364">
      <x:c r="A364" s="22" t="str">
        <x:f>"01"</x:f>
        <x:v>01</x:v>
      </x:c>
      <x:c r="B364" s="22" t="str">
        <x:f>"6A"</x:f>
        <x:v>6A</x:v>
      </x:c>
      <x:c r="C364" s="22" t="str">
        <x:f>"0x016A"</x:f>
        <x:v>0x016A</x:v>
      </x:c>
      <x:c r="D364" s="21" t="str">
        <x:v>&lt;SPEAKER&gt;「&lt;NUMBER&gt;エンドルですか?&lt;WAIT&gt;&lt;SPEAKER&gt;「そんなに たくさん
お持ちになれないようですが</x:v>
      </x:c>
      <x:c r="E364" s="19" t="str">
        <x:v>&lt;SPEAKER&gt;&lt;NUMBER&gt; Endol?&lt;WAIT&gt;&lt;SPEAKER&gt;It doesn't look like you
can carry that much at once.</x:v>
      </x:c>
      <x:c r="F364" s="20" t="str"/>
      <x:c r="G364" s="20" t="str"/>
      <x:c r="H364" s="23" t="str">
        <x:v>SPEAKER NUMBER WAIT SPEAKER NEWLINE END</x:v>
      </x:c>
      <x:c r="I364" s="23" t="str">
        <x:v>EA:4063</x:v>
      </x:c>
      <x:c r="J364" s="23" t="str">
        <x:v>CC C2 01 45 6E 64 6F 6C 3F C5 CC 49 74 01 64 6F 65 73 6E 27 74 01 6C 6F 6F 6B 01 6C 69 6B 65 01 79 6F 75 C8 63 61 6E 01 63 61 72 72 79 01 74 68 61 74 01 6D 75 63 68 01 61 74 01 6F 6E 63 65 2E C0</x:v>
      </x:c>
      <x:c r="K364" s="23" t="str">
        <x:v>1CC 1C2 045 06F 084 055 06A 084 022 01C 015 079 1C5 1CC 01E 03D 024 025 001 01F 017 01A 03D 1C8 014 0D3 020 025 024 039 024 011 035 012 084 022 01C 084 015 1C0</x:v>
      </x:c>
    </x:row>
    <x:row r="365">
      <x:c r="A365" s="22" t="str">
        <x:f>"01"</x:f>
        <x:v>01</x:v>
      </x:c>
      <x:c r="B365" s="22" t="str">
        <x:f>"6B"</x:f>
        <x:v>6B</x:v>
      </x:c>
      <x:c r="C365" s="22" t="str">
        <x:f>"0x016B"</x:f>
        <x:v>0x016B</x:v>
      </x:c>
      <x:c r="D365" s="21" t="str">
        <x:v>&lt;CLEAR&gt;
「ポスト
と かいてある&lt;WAIT&gt;
&lt;CLEAR&gt;
とつぜん ポストが 話しかけてきた!</x:v>
      </x:c>
      <x:c r="E365" s="19" t="str">
        <x:v>&lt;CLEAR&gt;It says "POST."&lt;WAIT&gt;&lt;CLEAR&gt;Suddenly, the post spoke!</x:v>
      </x:c>
      <x:c r="F365" s="20" t="str"/>
      <x:c r="G365" s="20" t="str"/>
      <x:c r="H365" s="23" t="str">
        <x:v>CLEAR WAIT CLEAR END</x:v>
      </x:c>
      <x:c r="I365" s="23" t="str">
        <x:v>EA:40A4</x:v>
      </x:c>
      <x:c r="J365" s="23" t="str">
        <x:v>D0 49 74 01 73 61 79 73 01 22 50 4F 53 54 2E 22 C5 D0 53 75 64 64 65 6E 6C 79 2C 01 74 68 65 01 70 6F 73 74 01 73 70 6F 6B 65 21 C0</x:v>
      </x:c>
      <x:c r="K365" s="23" t="str">
        <x:v>1D0 07D 083 05F 04E 055 1C8 023 001 015 011 022 010 038 1C5 1D0 023 021 084 01D 03D 001 083 05F 04E 055 084 015 001 0A0 01B 015 018 022 016 01F 07A 1C0</x:v>
      </x:c>
    </x:row>
    <x:row r="366">
      <x:c r="A366" s="22" t="str">
        <x:f>"01"</x:f>
        <x:v>01</x:v>
      </x:c>
      <x:c r="B366" s="22" t="str">
        <x:f>"6C"</x:f>
        <x:v>6C</x:v>
      </x:c>
      <x:c r="C366" s="22" t="str">
        <x:f>"0x016C"</x:f>
        <x:v>0x016C</x:v>
      </x:c>
      <x:c r="D366" s="21" t="str">
        <x:v>&lt;SPEAKER&gt;「ぼくは ポストです&lt;WAIT&gt;&lt;SPEAKER&gt;「お金と にもつを
そうこに おくります
さて どちらの ご用でしょう?</x:v>
      </x:c>
      <x:c r="E366" s="19" t="str">
        <x:v>&lt;SPEAKER&gt;I'm a post.&lt;WAIT&gt;&lt;SPEAKER&gt;I can send money
and items to storage.
Which service do you need?</x:v>
      </x:c>
      <x:c r="F366" s="20" t="str"/>
      <x:c r="G366" s="20" t="str"/>
      <x:c r="H366" s="23" t="str">
        <x:v>SPEAKER WAIT SPEAKER NEWLINE NEWLINE END</x:v>
      </x:c>
      <x:c r="I366" s="23" t="str">
        <x:v>EA:40D0</x:v>
      </x:c>
      <x:c r="J366" s="23" t="str">
        <x:v>CC 49 27 6D 01 61 01 70 6F 73 74 2E C5 CC 49 01 63 61 6E 01 73 65 6E 64 01 6D 6F 6E 65 79 C8 61 6E 64 01 69 74 65 6D 73 01 74 6F 01 73 74 6F 72 61 67 65 2E C8 57 68 69 63 68 01 73 65 72 76 69 63 65 01 64 6F 01 79 6F 75 01 6E 65 65 64 3F C0</x:v>
      </x:c>
      <x:c r="K366" s="23" t="str">
        <x:v>1CC 084 02D 017 029 001 083 05F 04E 055 084 022 01C 1C5 1CC 014 094 023 001 025 032 021 03C 1C8 01E 012 019 025 001 014 017 037 02E 01C 1C8 01A 022 001 084 023 020 036 028 001 084 019 112 084 022 01B 041 012 079 1C0</x:v>
      </x:c>
    </x:row>
    <x:row r="367">
      <x:c r="A367" s="22" t="str">
        <x:f>"01"</x:f>
        <x:v>01</x:v>
      </x:c>
      <x:c r="B367" s="22" t="str">
        <x:f>"6D"</x:f>
        <x:v>6D</x:v>
      </x:c>
      <x:c r="C367" s="22" t="str">
        <x:f>"0x016D"</x:f>
        <x:v>0x016D</x:v>
      </x:c>
      <x:c r="D367" s="21" t="str">
        <x:v>&lt;SPEAKER&gt;「カジノで あそぶなら
ここで コインを買っとくらい</x:v>
      </x:c>
      <x:c r="E367" s="19" t="str">
        <x:v>&lt;SPEAKER&gt;If you plan to gamble,
buy your coins here first.</x:v>
      </x:c>
      <x:c r="F367" s="20" t="str"/>
      <x:c r="G367" s="20" t="str"/>
      <x:c r="H367" s="23" t="str">
        <x:v>SPEAKER NEWLINE END</x:v>
      </x:c>
      <x:c r="I367" s="23" t="str">
        <x:v>EA:4120</x:v>
      </x:c>
      <x:c r="J367" s="23" t="str">
        <x:v>CC 49 66 01 79 6F 75 01 70 6C 61 6E 01 74 6F 01 67 61 6D 62 6C 65 2C C8 62 75 79 01 79 6F 75 72 01 63 6F 69 6E 73 01 68 65 72 65 01 66 69 72 73 74 2E C0</x:v>
      </x:c>
      <x:c r="K367" s="23" t="str">
        <x:v>1CC 047 084 04D 05A 084 022 001 010 01E 084 02B 024 036 1C8 019 019 084 022 001 04B 043 06F 03C 0A8 03E 023 017 036 011 1C0</x:v>
      </x:c>
    </x:row>
    <x:row r="368">
      <x:c r="A368" s="22" t="str">
        <x:f>"01"</x:f>
        <x:v>01</x:v>
      </x:c>
      <x:c r="B368" s="22" t="str">
        <x:f>"6E"</x:f>
        <x:v>6E</x:v>
      </x:c>
      <x:c r="C368" s="22" t="str">
        <x:f>"0x016E"</x:f>
        <x:v>0x016E</x:v>
      </x:c>
      <x:c r="D368" s="21" t="str">
        <x:v>&lt;SPEAKER&gt;「おや コインを持ってなさるね?
こちらで お預りしやしょう</x:v>
      </x:c>
      <x:c r="E368" s="19" t="str">
        <x:v>&lt;SPEAKER&gt;Oh, you have
coins already? I can
hold those for you.</x:v>
      </x:c>
      <x:c r="F368" s="20" t="str"/>
      <x:c r="G368" s="20" t="str"/>
      <x:c r="H368" s="23" t="str">
        <x:v>SPEAKER NEWLINE NEWLINE END</x:v>
      </x:c>
      <x:c r="I368" s="23" t="str">
        <x:v>EA:4153</x:v>
      </x:c>
      <x:c r="J368" s="23" t="str">
        <x:v>CC 4F 68 2C 01 79 6F 75 01 68 61 76 65 C8 63 6F 69 6E 73 01 61 6C 72 65 61 64 79 3F 01 49 01 63 61 6E C8 68 6F 6C 64 01 74 68 6F 73 65 01 66 6F 72 01 79 6F 75 2E C0</x:v>
      </x:c>
      <x:c r="K368" s="23" t="str">
        <x:v>1CC 014 033 001 04B 043 06F 03C 0D3 03E 022 024 01A 038 027 079 1C8 019 020 036 084 022 001 014 111 037 01B 033 01B 041 012 1C0</x:v>
      </x:c>
    </x:row>
    <x:row r="369">
      <x:c r="A369" s="22" t="str">
        <x:f>"01"</x:f>
        <x:v>01</x:v>
      </x:c>
      <x:c r="B369" s="22" t="str">
        <x:f>"6F"</x:f>
        <x:v>6F</x:v>
      </x:c>
      <x:c r="C369" s="22" t="str">
        <x:f>"0x016F"</x:f>
        <x:v>0x016F</x:v>
      </x:c>
      <x:c r="D369" s="21" t="str">
        <x:v>&lt;SPEAKER&gt;「お嬢ちゃんからは コインを
&lt;NUMBER&gt;枚 預かってやすね</x:v>
      </x:c>
      <x:c r="E369" s="19" t="str">
        <x:v>&lt;SPEAKER&gt;I'm holding &lt;NUMBER&gt;
coins for you, missy.</x:v>
      </x:c>
      <x:c r="F369" s="20" t="str"/>
      <x:c r="G369" s="20" t="str"/>
      <x:c r="H369" s="23" t="str">
        <x:v>SPEAKER NUMBER NEWLINE END</x:v>
      </x:c>
      <x:c r="I369" s="23" t="str">
        <x:v>EA:418A</x:v>
      </x:c>
      <x:c r="J369" s="23" t="str">
        <x:v>CC 49 27 6D 01 68 6F 6C 64 69 6E 67 01 C2 C8 63 6F 69 6E 73 01 66 6F 72 01 79 6F 75 2C 01 6D 69 73 73 79 2E C0</x:v>
      </x:c>
      <x:c r="K369" s="23" t="str">
        <x:v>1CC 014 0D8 020 03F 03D 015 036 029 001 04B 043 06F 03C 1C8 1C2 115 001 111 015 03E 022 033 01C 027 1C0</x:v>
      </x:c>
    </x:row>
    <x:row r="370">
      <x:c r="A370" s="22" t="str">
        <x:f>"01"</x:f>
        <x:v>01</x:v>
      </x:c>
      <x:c r="B370" s="22" t="str">
        <x:f>"70"</x:f>
        <x:v>70</x:v>
      </x:c>
      <x:c r="C370" s="22" t="str">
        <x:f>"0x0170"</x:f>
        <x:v>0x0170</x:v>
      </x:c>
      <x:c r="D370" s="21" t="str">
        <x:v>&lt;SPEAKER&gt;「お嬢ちゃんからは コインを
1枚も 預かってやせんね</x:v>
      </x:c>
      <x:c r="E370" s="19" t="str">
        <x:v>&lt;SPEAKER&gt;I'm not holding a
single coin for you, missy.</x:v>
      </x:c>
      <x:c r="F370" s="20" t="str"/>
      <x:c r="G370" s="20" t="str"/>
      <x:c r="H370" s="23" t="str">
        <x:v>SPEAKER NEWLINE END</x:v>
      </x:c>
      <x:c r="I370" s="23" t="str">
        <x:v>EA:41AF</x:v>
      </x:c>
      <x:c r="J370" s="23" t="str">
        <x:v>CC 49 27 6D 01 6E 6F 74 01 68 6F 6C 64 69 6E 67 01 61 C8 73 69 6E 67 6C 65 01 63 6F 69 6E 01 66 6F 72 01 79 6F 75 2C 01 6D 69 73 73 79 2E C0</x:v>
      </x:c>
      <x:c r="K370" s="23" t="str">
        <x:v>1CC 014 0D8 020 03F 03D 015 036 029 001 04B 043 06F 03C 1C8 003 115 032 001 111 015 03E 022 033 01D 03D 027 1C0</x:v>
      </x:c>
    </x:row>
    <x:row r="371">
      <x:c r="A371" s="22" t="str">
        <x:f>"01"</x:f>
        <x:v>01</x:v>
      </x:c>
      <x:c r="B371" s="22" t="str">
        <x:f>"71"</x:f>
        <x:v>71</x:v>
      </x:c>
      <x:c r="C371" s="22" t="str">
        <x:f>"0x0171"</x:f>
        <x:v>0x0171</x:v>
      </x:c>
      <x:c r="D371" s="21" t="str">
        <x:v>&lt;SPEAKER&gt;「コインは 1枚 20エンドルだから
&lt;NUMBER&gt;枚まで 買えるけど
何枚 買ってくれなさる?</x:v>
      </x:c>
      <x:c r="E371" s="19" t="str">
        <x:v>&lt;SPEAKER&gt;Coins are 20 Endol each.
You can buy up to &lt;NUMBER&gt;.
How many do you want?</x:v>
      </x:c>
      <x:c r="F371" s="20" t="str"/>
      <x:c r="G371" s="20" t="str"/>
      <x:c r="H371" s="23" t="str">
        <x:v>SPEAKER NEWLINE NUMBER NEWLINE END</x:v>
      </x:c>
      <x:c r="I371" s="23" t="str">
        <x:v>EA:41DE</x:v>
      </x:c>
      <x:c r="J371" s="23" t="str">
        <x:v>CC 43 6F 69 6E 73 01 61 72 65 01 32 30 01 45 6E 64 6F 6C 01 65 61 63 68 2E C8 59 6F 75 01 63 61 6E 01 62 75 79 01 75 70 01 74 6F 01 C2 2E C8 48 6F 77 01 6D 61 6E 79 01 64 6F 01 79 6F 75 01 77 61 6E 74 3F C0</x:v>
      </x:c>
      <x:c r="K371" s="23" t="str">
        <x:v>1CC 04B 043 06F 029 001 003 115 001 004 002 045 06F 084 055 06A 084 01F 015 036 1C8 1C2 115 02E 084 022 001 0A8 013 038 018 084 023 1C8 093 115 001 0A8 03E 022 017 039 024 01A 038 079 1C0</x:v>
      </x:c>
    </x:row>
    <x:row r="372">
      <x:c r="A372" s="22" t="str">
        <x:f>"01"</x:f>
        <x:v>01</x:v>
      </x:c>
      <x:c r="B372" s="22" t="str">
        <x:f>"72"</x:f>
        <x:v>72</x:v>
      </x:c>
      <x:c r="C372" s="22" t="str">
        <x:f>"0x0172"</x:f>
        <x:v>0x0172</x:v>
      </x:c>
      <x:c r="D372" s="21" t="str">
        <x:v>&lt;SPEAKER&gt;「&lt;NUMBER&gt;枚だね</x:v>
      </x:c>
      <x:c r="E372" s="19" t="str">
        <x:v>&lt;SPEAKER&gt;&lt;NUMBER&gt; coins, right?</x:v>
      </x:c>
      <x:c r="F372" s="20" t="str"/>
      <x:c r="G372" s="20" t="str"/>
      <x:c r="H372" s="23" t="str">
        <x:v>SPEAKER NUMBER END</x:v>
      </x:c>
      <x:c r="I372" s="23" t="str">
        <x:v>EA:4223</x:v>
      </x:c>
      <x:c r="J372" s="23" t="str">
        <x:v>CC C2 01 63 6F 69 6E 73 2C 01 72 69 67 68 74 3F C0</x:v>
      </x:c>
      <x:c r="K372" s="23" t="str">
        <x:v>1CC 1C2 115 084 01F 027 1C0</x:v>
      </x:c>
    </x:row>
    <x:row r="373">
      <x:c r="A373" s="22" t="str">
        <x:f>"01"</x:f>
        <x:v>01</x:v>
      </x:c>
      <x:c r="B373" s="22" t="str">
        <x:f>"73"</x:f>
        <x:v>73</x:v>
      </x:c>
      <x:c r="C373" s="22" t="str">
        <x:f>"0x0173"</x:f>
        <x:v>0x0173</x:v>
      </x:c>
      <x:c r="D373" s="21" t="str">
        <x:v>&lt;SPEAKER&gt;「&lt;NUMBER&gt;エンドルに
なりやすよ! いいですかい?</x:v>
      </x:c>
      <x:c r="E373" s="19" t="str">
        <x:v>&lt;SPEAKER&gt;That comes to
&lt;NUMBER&gt; Endol. Sound good?</x:v>
      </x:c>
      <x:c r="F373" s="20" t="str"/>
      <x:c r="G373" s="20" t="str"/>
      <x:c r="H373" s="23" t="str">
        <x:v>SPEAKER NEWLINE NUMBER END</x:v>
      </x:c>
      <x:c r="I373" s="23" t="str">
        <x:v>EA:4234</x:v>
      </x:c>
      <x:c r="J373" s="23" t="str">
        <x:v>CC 54 68 61 74 01 63 6F 6D 65 73 01 74 6F C8 C2 01 45 6E 64 6F 6C 2E 01 53 6F 75 6E 64 01 67 6F 6F 64 3F C0</x:v>
      </x:c>
      <x:c r="K373" s="23" t="str">
        <x:v>1CC 1C2 045 06F 084 055 06A 025 1C8 024 037 033 01C 035 07A 001 011 011 084 022 01C 015 011 079 1C0</x:v>
      </x:c>
    </x:row>
    <x:row r="374">
      <x:c r="A374" s="22" t="str">
        <x:f>"01"</x:f>
        <x:v>01</x:v>
      </x:c>
      <x:c r="B374" s="22" t="str">
        <x:f>"74"</x:f>
        <x:v>74</x:v>
      </x:c>
      <x:c r="C374" s="22" t="str">
        <x:f>"0x0174"</x:f>
        <x:v>0x0174</x:v>
      </x:c>
      <x:c r="D374" s="21" t="str">
        <x:v>&lt;SPEAKER&gt;「どうも ありがとう!
たのしんでっとくらい!</x:v>
      </x:c>
      <x:c r="E374" s="19" t="str">
        <x:v>&lt;SPEAKER&gt;Thanks a lot!
Have fun in there!</x:v>
      </x:c>
      <x:c r="F374" s="20" t="str"/>
      <x:c r="G374" s="20" t="str"/>
      <x:c r="H374" s="23" t="str">
        <x:v>SPEAKER NEWLINE END</x:v>
      </x:c>
      <x:c r="I374" s="23" t="str">
        <x:v>EA:4258</x:v>
      </x:c>
      <x:c r="J374" s="23" t="str">
        <x:v>CC 54 68 61 6E 6B 73 01 61 01 6C 6F 74 21 C8 48 61 76 65 01 66 75 6E 01 69 6E 01 74 68 65 72 65 21 C0</x:v>
      </x:c>
      <x:c r="K374" s="23" t="str">
        <x:v>1CC 084 023 012 032 001 010 037 084 015 023 012 07A 1C8 01F 028 01B 03D 084 022 03E 023 017 036 011 07A 1C0</x:v>
      </x:c>
    </x:row>
    <x:row r="375">
      <x:c r="A375" s="22" t="str">
        <x:f>"01"</x:f>
        <x:v>01</x:v>
      </x:c>
      <x:c r="B375" s="22" t="str">
        <x:f>"75"</x:f>
        <x:v>75</x:v>
      </x:c>
      <x:c r="C375" s="22" t="str">
        <x:f>"0x0175"</x:f>
        <x:v>0x0175</x:v>
      </x:c>
      <x:c r="D375" s="21" t="str">
        <x:v>&lt;SPEAKER&gt;「コインは 1枚 20エンドルだから
ざんねんだけど お嬢ちゃんには
売ってあげられないねえ</x:v>
      </x:c>
      <x:c r="E375" s="19" t="str">
        <x:v>&lt;SPEAKER&gt;Coins are 20 Endol each.
Sorry, missy, but you can't
afford even one right now.</x:v>
      </x:c>
      <x:c r="F375" s="20" t="str"/>
      <x:c r="G375" s="20" t="str"/>
      <x:c r="H375" s="23" t="str">
        <x:v>SPEAKER NEWLINE NEWLINE END</x:v>
      </x:c>
      <x:c r="I375" s="23" t="str">
        <x:v>EA:427A</x:v>
      </x:c>
      <x:c r="J375" s="23" t="str">
        <x:v>CC 43 6F 69 6E 73 01 61 72 65 01 32 30 01 45 6E 64 6F 6C 01 65 61 63 68 2E C8 53 6F 72 72 79 2C 01 6D 69 73 73 79 2C 01 62 75 74 01 79 6F 75 01 63 61 6E 27 74 C8 61 66 66 6F 72 64 01 65 76 65 6E 01 6F 6E 65 01 72 69 67 68 74 01 6E 6F 77 2E C0</x:v>
      </x:c>
      <x:c r="K375" s="23" t="str">
        <x:v>1CC 04B 043 06F 029 001 003 115 001 004 002 045 06F 084 055 06A 084 01F 015 036 1C8 084 01A 03D 027 03D 084 01F 018 084 023 001 014 0D8 020 03F 03D 025 029 1C8 0A2 03E 022 010 084 018 036 039 024 011 027 013 1C0</x:v>
      </x:c>
    </x:row>
    <x:row r="376">
      <x:c r="A376" s="22" t="str">
        <x:f>"01"</x:f>
        <x:v>01</x:v>
      </x:c>
      <x:c r="B376" s="22" t="str">
        <x:f>"76"</x:f>
        <x:v>76</x:v>
      </x:c>
      <x:c r="C376" s="22" t="str">
        <x:f>"0x0176"</x:f>
        <x:v>0x0176</x:v>
      </x:c>
      <x:c r="D376" s="21" t="str">
        <x:v>&lt;SPEAKER&gt;「おこづかいが あまったら
また来とくらい! 待ってるよ!</x:v>
      </x:c>
      <x:c r="E376" s="19" t="str">
        <x:v>&lt;SPEAKER&gt;Come back when
you have some spending
money! I will be waiting!</x:v>
      </x:c>
      <x:c r="F376" s="20" t="str"/>
      <x:c r="G376" s="20" t="str"/>
      <x:c r="H376" s="23" t="str">
        <x:v>SPEAKER NEWLINE NEWLINE END</x:v>
      </x:c>
      <x:c r="I376" s="23" t="str">
        <x:v>EA:42CB</x:v>
      </x:c>
      <x:c r="J376" s="23" t="str">
        <x:v>CC 43 6F 6D 65 01 62 61 63 6B 01 77 68 65 6E C8 79 6F 75 01 68 61 76 65 01 73 6F 6D 65 01 73 70 65 6E 64 69 6E 67 C8 6D 6F 6E 65 79 21 01 49 01 77 69 6C 6C 01 62 65 01 77 61 69 74 69 6E 67 21 C0</x:v>
      </x:c>
      <x:c r="K376" s="23" t="str">
        <x:v>1CC 014 019 084 021 015 011 084 015 001 010 02E 03E 01F 036 1C8 02E 01F 097 023 017 036 011 07A 001 16B 03E 022 038 035 07A 1C0</x:v>
      </x:c>
    </x:row>
    <x:row r="377">
      <x:c r="A377" s="22" t="str">
        <x:f>"01"</x:f>
        <x:v>01</x:v>
      </x:c>
      <x:c r="B377" s="22" t="str">
        <x:f>"77"</x:f>
        <x:v>77</x:v>
      </x:c>
      <x:c r="C377" s="22" t="str">
        <x:f>"0x0177"</x:f>
        <x:v>0x0177</x:v>
      </x:c>
      <x:c r="D377" s="21" t="str">
        <x:v>&lt;SPEAKER&gt;「&lt;NUMBER&gt;エンドルに
なりますよ・・・
あれ お金が たりねえようだね</x:v>
      </x:c>
      <x:c r="E377" s="19" t="str">
        <x:v>&lt;SPEAKER&gt;That comes to
&lt;NUMBER&gt; Endol... Oh.
Looks like you are short.</x:v>
      </x:c>
      <x:c r="F377" s="20" t="str"/>
      <x:c r="G377" s="20" t="str"/>
      <x:c r="H377" s="23" t="str">
        <x:v>SPEAKER NEWLINE NUMBER NEWLINE END</x:v>
      </x:c>
      <x:c r="I377" s="23" t="str">
        <x:v>EA:430C</x:v>
      </x:c>
      <x:c r="J377" s="23" t="str">
        <x:v>CC 54 68 61 74 01 63 6F 6D 65 73 01 74 6F C8 C2 01 45 6E 64 6F 6C 2E 2E 2E 01 4F 68 2E C8 4C 6F 6F 6B 73 01 6C 69 6B 65 01 79 6F 75 01 61 72 65 01 73 68 6F 72 74 2E C0</x:v>
      </x:c>
      <x:c r="K377" s="23" t="str">
        <x:v>1CC 1C2 045 06F 084 055 06A 025 1C8 024 037 02E 01C 035 081 081 081 1C8 010 039 001 014 094 084 015 001 01F 037 027 013 035 012 084 01F 027 1C0</x:v>
      </x:c>
    </x:row>
    <x:row r="378">
      <x:c r="A378" s="22" t="str">
        <x:f>"01"</x:f>
        <x:v>01</x:v>
      </x:c>
      <x:c r="B378" s="22" t="str">
        <x:f>"78"</x:f>
        <x:v>78</x:v>
      </x:c>
      <x:c r="C378" s="22" t="str">
        <x:f>"0x0178"</x:f>
        <x:v>0x0178</x:v>
      </x:c>
      <x:c r="D378" s="21" t="str">
        <x:v>&lt;SPEAKER&gt;「ここは コインを
品物にかえる 交換所だよ</x:v>
      </x:c>
      <x:c r="E378" s="19" t="str">
        <x:v>&lt;SPEAKER&gt;This counter
trades coins for prizes.</x:v>
      </x:c>
      <x:c r="F378" s="20" t="str"/>
      <x:c r="G378" s="20" t="str"/>
      <x:c r="H378" s="23" t="str">
        <x:v>SPEAKER NEWLINE END</x:v>
      </x:c>
      <x:c r="I378" s="23" t="str">
        <x:v>EA:4344</x:v>
      </x:c>
      <x:c r="J378" s="23" t="str">
        <x:v>CC 54 68 69 73 01 63 6F 75 6E 74 65 72 C8 74 72 61 64 65 73 01 63 6F 69 6E 73 01 66 6F 72 01 70 72 69 7A 65 73 2E C0</x:v>
      </x:c>
      <x:c r="K378" s="23" t="str">
        <x:v>1CC 019 019 029 001 04B 043 06F 03C 1C8 12B 08B 025 015 013 038 001 114 116 12F 084 01F 035 1C0</x:v>
      </x:c>
    </x:row>
    <x:row r="379">
      <x:c r="A379" s="22" t="str">
        <x:f>"01"</x:f>
        <x:v>01</x:v>
      </x:c>
      <x:c r="B379" s="22" t="str">
        <x:f>"79"</x:f>
        <x:v>79</x:v>
      </x:c>
      <x:c r="C379" s="22" t="str">
        <x:f>"0x0179"</x:f>
        <x:v>0x0179</x:v>
      </x:c>
      <x:c r="D379" s="21" t="str">
        <x:v>&lt;SPEAKER&gt;「おや コインを持ってるのかい?
それも お預りしますね</x:v>
      </x:c>
      <x:c r="E379" s="19" t="str">
        <x:v>&lt;SPEAKER&gt;Oh, you have coins?
I can hold those too.</x:v>
      </x:c>
      <x:c r="F379" s="20" t="str"/>
      <x:c r="G379" s="20" t="str"/>
      <x:c r="H379" s="23" t="str">
        <x:v>SPEAKER NEWLINE END</x:v>
      </x:c>
      <x:c r="I379" s="23" t="str">
        <x:v>EA:436B</x:v>
      </x:c>
      <x:c r="J379" s="23" t="str">
        <x:v>CC 4F 68 2C 01 79 6F 75 01 68 61 76 65 01 63 6F 69 6E 73 3F C8 49 01 63 61 6E 01 68 6F 6C 64 01 74 68 6F 73 65 01 74 6F 6F 2E C0</x:v>
      </x:c>
      <x:c r="K379" s="23" t="str">
        <x:v>1CC 014 033 001 04B 043 06F 03C 0D3 03E 022 038 028 015 011 079 1C8 01E 039 032 001 014 111 037 01B 02E 01C 027 1C0</x:v>
      </x:c>
    </x:row>
    <x:row r="380">
      <x:c r="A380" s="22" t="str">
        <x:f>"01"</x:f>
        <x:v>01</x:v>
      </x:c>
      <x:c r="B380" s="22" t="str">
        <x:f>"7A"</x:f>
        <x:v>7A</x:v>
      </x:c>
      <x:c r="C380" s="22" t="str">
        <x:f>"0x017A"</x:f>
        <x:v>0x017A</x:v>
      </x:c>
      <x:c r="D380" s="21" t="str">
        <x:v>&lt;SPEAKER&gt;「&lt;INSERT_C&gt;からは コインを
&lt;NUMBER&gt;枚 預かってるね
品物と 交換するかい?</x:v>
      </x:c>
      <x:c r="E380" s="19" t="str">
        <x:v>&lt;SPEAKER&gt;I'm holding &lt;NUMBER&gt;
coins for &lt;INSERT_C&gt;. Want
to trade for a prize?</x:v>
      </x:c>
      <x:c r="F380" s="20" t="str"/>
      <x:c r="G380" s="20" t="str"/>
      <x:c r="H380" s="23" t="str">
        <x:v>SPEAKER NUMBER NEWLINE INSERT_C NEWLINE END</x:v>
      </x:c>
      <x:c r="I380" s="23" t="str">
        <x:v>EA:4396</x:v>
      </x:c>
      <x:c r="J380" s="23" t="str">
        <x:v>CC 49 27 6D 01 68 6F 6C 64 69 6E 67 01 C2 C8 63 6F 69 6E 73 01 66 6F 72 01 CE 2E 01 57 61 6E 74 C8 74 6F 01 74 72 61 64 65 01 66 6F 72 01 61 01 70 72 69 7A 65 3F C0</x:v>
      </x:c>
      <x:c r="K380" s="23" t="str">
        <x:v>1CC 1CE 015 036 029 001 04B 043 06F 03C 1C8 1C2 115 001 111 015 03E 022 038 027 1C8 12B 08B 023 001 114 116 01C 038 015 011 079 1C0</x:v>
      </x:c>
    </x:row>
    <x:row r="381">
      <x:c r="A381" s="22" t="str">
        <x:f>"01"</x:f>
        <x:v>01</x:v>
      </x:c>
      <x:c r="B381" s="22" t="str">
        <x:f>"7B"</x:f>
        <x:v>7B</x:v>
      </x:c>
      <x:c r="C381" s="22" t="str">
        <x:f>"0x017B"</x:f>
        <x:v>0x017B</x:v>
      </x:c>
      <x:c r="D381" s="21" t="str">
        <x:v>&lt;SPEAKER&gt;「じゃ またな!</x:v>
      </x:c>
      <x:c r="E381" s="19" t="str">
        <x:v>&lt;SPEAKER&gt;See you next time!</x:v>
      </x:c>
      <x:c r="F381" s="20" t="str"/>
      <x:c r="G381" s="20" t="str"/>
      <x:c r="H381" s="23" t="str">
        <x:v>SPEAKER END</x:v>
      </x:c>
      <x:c r="I381" s="23" t="str">
        <x:v>EA:43CD</x:v>
      </x:c>
      <x:c r="J381" s="23" t="str">
        <x:v>CC 53 65 65 01 79 6F 75 01 6E 65 78 74 01 74 69 6D 65 21 C0</x:v>
      </x:c>
      <x:c r="K381" s="23" t="str">
        <x:v>1CC 084 01B 03F 001 02E 01F 024 07A 1C0</x:v>
      </x:c>
    </x:row>
    <x:row r="382">
      <x:c r="A382" s="22" t="str">
        <x:f>"01"</x:f>
        <x:v>01</x:v>
      </x:c>
      <x:c r="B382" s="22" t="str">
        <x:f>"7C"</x:f>
        <x:v>7C</x:v>
      </x:c>
      <x:c r="C382" s="22" t="str">
        <x:f>"0x017C"</x:f>
        <x:v>0x017C</x:v>
      </x:c>
      <x:c r="D382" s="21" t="str">
        <x:v>&lt;SPEAKER&gt;「&lt;INSERT_C&gt;は コインを・・・・
あ 一枚もねえのかい&lt;WAIT&gt;&lt;SPEAKER&gt;「コインを ためて
また来てくれよ! 待ってるぜ!</x:v>
      </x:c>
      <x:c r="E382" s="19" t="str">
        <x:v>&lt;SPEAKER&gt;&lt;INSERT_C&gt; has...
not even one coin, huh?&lt;WAIT&gt;&lt;SPEAKER&gt;Save up some coins
and come back! I'll be here!</x:v>
      </x:c>
      <x:c r="F382" s="20" t="str"/>
      <x:c r="G382" s="20" t="str"/>
      <x:c r="H382" s="23" t="str">
        <x:v>SPEAKER INSERT_C NEWLINE WAIT SPEAKER NEWLINE END</x:v>
      </x:c>
      <x:c r="I382" s="23" t="str">
        <x:v>EA:43E1</x:v>
      </x:c>
      <x:c r="J382" s="23" t="str">
        <x:v>CC CE 01 68 61 73 2E 2E 2E C8 6E 6F 74 01 65 76 65 6E 01 6F 6E 65 01 63 6F 69 6E 2C 01 68 75 68 3F C5 CC 53 61 76 65 01 75 70 01 73 6F 6D 65 01 63 6F 69 6E 73 C8 61 6E 64 01 63 6F 6D 65 01 62 61 63 6B 21 01 49 27 6C 6C 01 62 65 01 68 65 72 65 21 C0</x:v>
      </x:c>
      <x:c r="K382" s="23" t="str">
        <x:v>1CC 1CE 029 001 04B 043 06F 03C 081 081 081 081 1C8 010 001 0AF 115 032 027 013 028 015 011 1C5 1CC 04B 043 06F 03C 001 01F 031 022 1C8 02E 01F 097 022 017 039 035 07A 001 16B 03E 022 038 084 01D 07A 1C0</x:v>
      </x:c>
    </x:row>
    <x:row r="383">
      <x:c r="A383" s="22" t="str">
        <x:f>"01"</x:f>
        <x:v>01</x:v>
      </x:c>
      <x:c r="B383" s="22" t="str">
        <x:f>"7D"</x:f>
        <x:v>7D</x:v>
      </x:c>
      <x:c r="C383" s="22" t="str">
        <x:f>"0x017D"</x:f>
        <x:v>0x017D</x:v>
      </x:c>
      <x:c r="D383" s="21" t="str">
        <x:v>&lt;SPEAKER&gt;「どれと 交換したい?</x:v>
      </x:c>
      <x:c r="E383" s="19" t="str">
        <x:v>&lt;SPEAKER&gt;What do you
want to trade for?</x:v>
      </x:c>
      <x:c r="F383" s="20" t="str"/>
      <x:c r="G383" s="20" t="str"/>
      <x:c r="H383" s="23" t="str">
        <x:v>SPEAKER NEWLINE END</x:v>
      </x:c>
      <x:c r="I383" s="23" t="str">
        <x:v>EA:4434</x:v>
      </x:c>
      <x:c r="J383" s="23" t="str">
        <x:v>CC 57 68 61 74 01 64 6F 01 79 6F 75 C8 77 61 6E 74 01 74 6F 01 74 72 61 64 65 01 66 6F 72 3F C0</x:v>
      </x:c>
      <x:c r="K383" s="23" t="str">
        <x:v>1CC 084 023 039 023 001 114 116 01B 01F 011 079 1C0</x:v>
      </x:c>
    </x:row>
    <x:row r="384">
      <x:c r="A384" s="22" t="str">
        <x:f>"01"</x:f>
        <x:v>01</x:v>
      </x:c>
      <x:c r="B384" s="22" t="str">
        <x:f>"7E"</x:f>
        <x:v>7E</x:v>
      </x:c>
      <x:c r="C384" s="22" t="str">
        <x:f>"0x017E"</x:f>
        <x:v>0x017E</x:v>
      </x:c>
      <x:c r="D384" s="21" t="str">
        <x:v>&lt;SPEAKER&gt;「&lt;INSERT_A&gt;だね?</x:v>
      </x:c>
      <x:c r="E384" s="19" t="str">
        <x:v>&lt;SPEAKER&gt;&lt;INSERT_A&gt;, right?</x:v>
      </x:c>
      <x:c r="F384" s="20" t="str"/>
      <x:c r="G384" s="20" t="str"/>
      <x:c r="H384" s="23" t="str">
        <x:v>SPEAKER INSERT_A END</x:v>
      </x:c>
      <x:c r="I384" s="23" t="str">
        <x:v>EA:4454</x:v>
      </x:c>
      <x:c r="J384" s="23" t="str">
        <x:v>CC C4 2C 01 72 69 67 68 74 3F C0</x:v>
      </x:c>
      <x:c r="K384" s="23" t="str">
        <x:v>1CC 1C4 084 01F 027 079 1C0</x:v>
      </x:c>
    </x:row>
    <x:row r="385">
      <x:c r="A385" s="22" t="str">
        <x:f>"01"</x:f>
        <x:v>01</x:v>
      </x:c>
      <x:c r="B385" s="22" t="str">
        <x:f>"7F"</x:f>
        <x:v>7F</x:v>
      </x:c>
      <x:c r="C385" s="22" t="str">
        <x:f>"0x017F"</x:f>
        <x:v>0x017F</x:v>
      </x:c>
      <x:c r="D385" s="21" t="str">
        <x:v>&lt;SPEAKER&gt;「誰に わたそうか?</x:v>
      </x:c>
      <x:c r="E385" s="19" t="str">
        <x:v>&lt;SPEAKER&gt;Who should get it?</x:v>
      </x:c>
      <x:c r="F385" s="20" t="str"/>
      <x:c r="G385" s="20" t="str"/>
      <x:c r="H385" s="23" t="str">
        <x:v>SPEAKER END</x:v>
      </x:c>
      <x:c r="I385" s="23" t="str">
        <x:v>EA:445F</x:v>
      </x:c>
      <x:c r="J385" s="23" t="str">
        <x:v>CC 57 68 6F 01 73 68 6F 75 6C 64 01 67 65 74 01 69 74 3F C0</x:v>
      </x:c>
      <x:c r="K385" s="23" t="str">
        <x:v>1CC 0FA 025 001 03B 01F 01E 012 015 079 1C0</x:v>
      </x:c>
    </x:row>
    <x:row r="386">
      <x:c r="A386" s="22" t="str">
        <x:f>"01"</x:f>
        <x:v>01</x:v>
      </x:c>
      <x:c r="B386" s="22" t="str">
        <x:f>"80"</x:f>
        <x:v>80</x:v>
      </x:c>
      <x:c r="C386" s="22" t="str">
        <x:f>"0x0180"</x:f>
        <x:v>0x0180</x:v>
      </x:c>
      <x:c r="D386" s="21" t="str">
        <x:v>&lt;SPEAKER&gt;「さっそく 装備するかい?</x:v>
      </x:c>
      <x:c r="E386" s="19" t="str">
        <x:v>&lt;SPEAKER&gt;Equip it right away?</x:v>
      </x:c>
      <x:c r="F386" s="20" t="str"/>
      <x:c r="G386" s="20" t="str"/>
      <x:c r="H386" s="23" t="str">
        <x:v>SPEAKER END</x:v>
      </x:c>
      <x:c r="I386" s="23" t="str">
        <x:v>EA:4473</x:v>
      </x:c>
      <x:c r="J386" s="23" t="str">
        <x:v>CC 45 71 75 69 70 01 69 74 01 72 69 67 68 74 01 61 77 61 79 3F C0</x:v>
      </x:c>
      <x:c r="K386" s="23" t="str">
        <x:v>1CC 01A 03E 01E 017 001 0C2 0C4 01C 038 015 011 079 1C0</x:v>
      </x:c>
    </x:row>
    <x:row r="387">
      <x:c r="A387" s="22" t="str">
        <x:f>"01"</x:f>
        <x:v>01</x:v>
      </x:c>
      <x:c r="B387" s="22" t="str">
        <x:f>"81"</x:f>
        <x:v>81</x:v>
      </x:c>
      <x:c r="C387" s="22" t="str">
        <x:f>"0x0181"</x:f>
        <x:v>0x0181</x:v>
      </x:c>
      <x:c r="D387" s="21" t="str">
        <x:v>&lt;SPEAKER&gt;「よしきた!</x:v>
      </x:c>
      <x:c r="E387" s="19" t="str">
        <x:v>&lt;SPEAKER&gt;You got it!</x:v>
      </x:c>
      <x:c r="F387" s="20" t="str"/>
      <x:c r="G387" s="20" t="str"/>
      <x:c r="H387" s="23" t="str">
        <x:v>SPEAKER END</x:v>
      </x:c>
      <x:c r="I387" s="23" t="str">
        <x:v>EA:4489</x:v>
      </x:c>
      <x:c r="J387" s="23" t="str">
        <x:v>CC 59 6F 75 01 67 6F 74 01 69 74 21 C0</x:v>
      </x:c>
      <x:c r="K387" s="23" t="str">
        <x:v>1CC 035 01B 016 01F 07A 1C0</x:v>
      </x:c>
    </x:row>
    <x:row r="388">
      <x:c r="A388" s="22" t="str">
        <x:f>"01"</x:f>
        <x:v>01</x:v>
      </x:c>
      <x:c r="B388" s="22" t="str">
        <x:f>"82"</x:f>
        <x:v>82</x:v>
      </x:c>
      <x:c r="C388" s="22" t="str">
        <x:f>"0x0182"</x:f>
        <x:v>0x0182</x:v>
      </x:c>
      <x:c r="D388" s="21" t="str">
        <x:v>&lt;SPEAKER&gt;「ほい &lt;INSERT_C&gt;!</x:v>
      </x:c>
      <x:c r="E388" s="19" t="str">
        <x:v>&lt;SPEAKER&gt;Here, &lt;INSERT_C&gt;!</x:v>
      </x:c>
      <x:c r="F388" s="20" t="str"/>
      <x:c r="G388" s="20" t="str"/>
      <x:c r="H388" s="23" t="str">
        <x:v>SPEAKER INSERT_C END</x:v>
      </x:c>
      <x:c r="I388" s="23" t="str">
        <x:v>EA:4496</x:v>
      </x:c>
      <x:c r="J388" s="23" t="str">
        <x:v>CC 48 65 72 65 2C 01 CE 21 C0</x:v>
      </x:c>
      <x:c r="K388" s="23" t="str">
        <x:v>1CC 02D 011 001 1CE 07A 1C0</x:v>
      </x:c>
    </x:row>
    <x:row r="389">
      <x:c r="A389" s="22" t="str">
        <x:f>"01"</x:f>
        <x:v>01</x:v>
      </x:c>
      <x:c r="B389" s="22" t="str">
        <x:f>"83"</x:f>
        <x:v>83</x:v>
      </x:c>
      <x:c r="C389" s="22" t="str">
        <x:f>"0x0183"</x:f>
        <x:v>0x0183</x:v>
      </x:c>
      <x:c r="D389" s="21" t="str">
        <x:v>&lt;SPEAKER&gt;「ほい &lt;INSERT_C&gt;
ひつぎの中に いれといて
やるからな</x:v>
      </x:c>
      <x:c r="E389" s="19" t="str">
        <x:v>&lt;SPEAKER&gt;Here, &lt;INSERT_C&gt;. I'll
put it in the coffin for you.</x:v>
      </x:c>
      <x:c r="F389" s="20" t="str"/>
      <x:c r="G389" s="20" t="str"/>
      <x:c r="H389" s="23" t="str">
        <x:v>SPEAKER INSERT_C NEWLINE END</x:v>
      </x:c>
      <x:c r="I389" s="23" t="str">
        <x:v>EA:44A0</x:v>
      </x:c>
      <x:c r="J389" s="23" t="str">
        <x:v>CC 48 65 72 65 2C 01 CE 2E 01 49 27 6C 6C C8 70 75 74 01 69 74 01 69 6E 01 74 68 65 01 63 6F 66 66 69 6E 01 66 6F 72 01 79 6F 75 2E C0</x:v>
      </x:c>
      <x:c r="K389" s="23" t="str">
        <x:v>1CC 02D 011 001 1CE 1C8 02A 021 084 016 028 0A1 025 001 011 039 023 011 022 1C8 033 038 015 036 024 1C0</x:v>
      </x:c>
    </x:row>
    <x:row r="390">
      <x:c r="A390" s="22" t="str">
        <x:f>"01"</x:f>
        <x:v>01</x:v>
      </x:c>
      <x:c r="B390" s="22" t="str">
        <x:f>"84"</x:f>
        <x:v>84</x:v>
      </x:c>
      <x:c r="C390" s="22" t="str">
        <x:f>"0x0184"</x:f>
        <x:v>0x0184</x:v>
      </x:c>
      <x:c r="D390" s="21" t="str">
        <x:v>&lt;SPEAKER&gt;「ほかの品物を 交換するかい?</x:v>
      </x:c>
      <x:c r="E390" s="19" t="str">
        <x:v>&lt;SPEAKER&gt;Trade for another prize?</x:v>
      </x:c>
      <x:c r="F390" s="20" t="str"/>
      <x:c r="G390" s="20" t="str"/>
      <x:c r="H390" s="23" t="str">
        <x:v>SPEAKER END</x:v>
      </x:c>
      <x:c r="I390" s="23" t="str">
        <x:v>EA:44CD</x:v>
      </x:c>
      <x:c r="J390" s="23" t="str">
        <x:v>CC 54 72 61 64 65 01 66 6F 72 01 61 6E 6F 74 68 65 72 01 70 72 69 7A 65 3F C0</x:v>
      </x:c>
      <x:c r="K390" s="23" t="str">
        <x:v>1CC 02D 015 028 12B 08B 03C 001 114 116 01C 038 015 011 079 1C0</x:v>
      </x:c>
    </x:row>
    <x:row r="391">
      <x:c r="A391" s="22" t="str">
        <x:f>"01"</x:f>
        <x:v>01</x:v>
      </x:c>
      <x:c r="B391" s="22" t="str">
        <x:f>"85"</x:f>
        <x:v>85</x:v>
      </x:c>
      <x:c r="C391" s="22" t="str">
        <x:f>"0x0185"</x:f>
        <x:v>0x0185</x:v>
      </x:c>
      <x:c r="D391" s="21" t="str">
        <x:v>&lt;SPEAKER&gt;「じゃ コインの残りは 預かっとこう
また来てくれよ! 待ってるからね!</x:v>
      </x:c>
      <x:c r="E391" s="19" t="str">
        <x:v>&lt;SPEAKER&gt;I'll hold the rest
of your coins. Come back
again! I'll be waiting!</x:v>
      </x:c>
      <x:c r="F391" s="20" t="str"/>
      <x:c r="G391" s="20" t="str"/>
      <x:c r="H391" s="23" t="str">
        <x:v>SPEAKER NEWLINE NEWLINE END</x:v>
      </x:c>
      <x:c r="I391" s="23" t="str">
        <x:v>EA:44E7</x:v>
      </x:c>
      <x:c r="J391" s="23" t="str">
        <x:v>CC 49 27 6C 6C 01 68 6F 6C 64 01 74 68 65 01 72 65 73 74 C8 6F 66 01 79 6F 75 72 01 63 6F 69 6E 73 2E 01 43 6F 6D 65 01 62 61 63 6B C8 61 67 61 69 6E 21 01 49 27 6C 6C 01 62 65 01 77 61 69 74 69 6E 67 21 C0</x:v>
      </x:c>
      <x:c r="K391" s="23" t="str">
        <x:v>1CC 084 01B 03F 001 04B 043 06F 028 142 037 029 001 111 015 03E 023 019 012 1C8 02E 01F 097 022 017 039 035 07A 001 16B 03E 022 038 015 036 027 07A 1C0</x:v>
      </x:c>
    </x:row>
    <x:row r="392">
      <x:c r="A392" s="22" t="str">
        <x:f>"01"</x:f>
        <x:v>01</x:v>
      </x:c>
      <x:c r="B392" s="22" t="str">
        <x:f>"86"</x:f>
        <x:v>86</x:v>
      </x:c>
      <x:c r="C392" s="22" t="str">
        <x:f>"0x0186"</x:f>
        <x:v>0x0186</x:v>
      </x:c>
      <x:c r="D392" s="21" t="str">
        <x:v>&lt;SPEAKER&gt;「&lt;INSERT_C&gt;は
これを装備できないけど
それでも いいのかい?</x:v>
      </x:c>
      <x:c r="E392" s="19" t="str">
        <x:v>&lt;SPEAKER&gt;&lt;INSERT_C&gt; can't
equip this. Still want it?</x:v>
      </x:c>
      <x:c r="F392" s="20" t="str"/>
      <x:c r="G392" s="20" t="str"/>
      <x:c r="H392" s="23" t="str">
        <x:v>SPEAKER INSERT_C NEWLINE END</x:v>
      </x:c>
      <x:c r="I392" s="23" t="str">
        <x:v>EA:452C</x:v>
      </x:c>
      <x:c r="J392" s="23" t="str">
        <x:v>CC CE 01 63 61 6E 27 74 C8 65 71 75 69 70 01 74 68 69 73 2E 01 53 74 69 6C 6C 01 77 61 6E 74 01 69 74 3F C0</x:v>
      </x:c>
      <x:c r="K392" s="23" t="str">
        <x:v>1CC 1CE 029 1C8 019 039 03C 0C2 0C4 084 022 016 024 011 018 084 023 1C8 01E 039 084 022 032 001 011 011 028 015 011 079 1C0</x:v>
      </x:c>
    </x:row>
    <x:row r="393">
      <x:c r="A393" s="22" t="str">
        <x:f>"01"</x:f>
        <x:v>01</x:v>
      </x:c>
      <x:c r="B393" s="22" t="str">
        <x:f>"87"</x:f>
        <x:v>87</x:v>
      </x:c>
      <x:c r="C393" s="22" t="str">
        <x:f>"0x0187"</x:f>
        <x:v>0x0187</x:v>
      </x:c>
      <x:c r="D393" s="21" t="str">
        <x:v>&lt;SPEAKER&gt;「でも &lt;INSERT_C&gt;は
もう これは
持てないみたいだぜ</x:v>
      </x:c>
      <x:c r="E393" s="19" t="str">
        <x:v>&lt;SPEAKER&gt;But &lt;INSERT_C&gt;
can't carry this right now.</x:v>
      </x:c>
      <x:c r="F393" s="20" t="str"/>
      <x:c r="G393" s="20" t="str"/>
      <x:c r="H393" s="23" t="str">
        <x:v>SPEAKER INSERT_C NEWLINE END</x:v>
      </x:c>
      <x:c r="I393" s="23" t="str">
        <x:v>EA:4550</x:v>
      </x:c>
      <x:c r="J393" s="23" t="str">
        <x:v>CC 42 75 74 01 CE C8 63 61 6E 27 74 01 63 61 72 72 79 01 74 68 69 73 01 72 69 67 68 74 01 6E 6F 77 2E C0</x:v>
      </x:c>
      <x:c r="K393" s="23" t="str">
        <x:v>1CC 084 022 032 001 1CE 029 1C8 032 012 001 019 039 029 1C8 0D3 022 024 011 02F 01F 011 084 01F 084 01D 1C0</x:v>
      </x:c>
    </x:row>
    <x:row r="394">
      <x:c r="A394" s="22" t="str">
        <x:f>"01"</x:f>
        <x:v>01</x:v>
      </x:c>
      <x:c r="B394" s="22" t="str">
        <x:f>"88"</x:f>
        <x:v>88</x:v>
      </x:c>
      <x:c r="C394" s="22" t="str">
        <x:f>"0x0188"</x:f>
        <x:v>0x0188</x:v>
      </x:c>
      <x:c r="D394" s="21" t="str">
        <x:v>&lt;SPEAKER&gt;「ほかの人に わたそうか?</x:v>
      </x:c>
      <x:c r="E394" s="19" t="str">
        <x:v>&lt;SPEAKER&gt;Give it to someone else?</x:v>
      </x:c>
      <x:c r="F394" s="20" t="str"/>
      <x:c r="G394" s="20" t="str"/>
      <x:c r="H394" s="23" t="str">
        <x:v>SPEAKER END</x:v>
      </x:c>
      <x:c r="I394" s="23" t="str">
        <x:v>EA:4573</x:v>
      </x:c>
      <x:c r="J394" s="23" t="str">
        <x:v>CC 47 69 76 65 01 69 74 01 74 6F 01 73 6F 6D 65 6F 6E 65 01 65 6C 73 65 3F C0</x:v>
      </x:c>
      <x:c r="K394" s="23" t="str">
        <x:v>1CC 02D 015 028 091 025 001 03B 01F 01E 012 015 079 1C0</x:v>
      </x:c>
    </x:row>
    <x:row r="395">
      <x:c r="A395" s="22" t="str">
        <x:f>"01"</x:f>
        <x:v>01</x:v>
      </x:c>
      <x:c r="B395" s="22" t="str">
        <x:f>"89"</x:f>
        <x:v>89</x:v>
      </x:c>
      <x:c r="C395" s="22" t="str">
        <x:f>"0x0189"</x:f>
        <x:v>0x0189</x:v>
      </x:c>
      <x:c r="D395" s="21" t="str">
        <x:v>&lt;SPEAKER&gt;「&lt;INSERT_A&gt;と 交換するには
コインが たりないみたいだな</x:v>
      </x:c>
      <x:c r="E395" s="19" t="str">
        <x:v>&lt;SPEAKER&gt;You don't have
enough coins to trade
for &lt;INSERT_A&gt;.</x:v>
      </x:c>
      <x:c r="F395" s="20" t="str"/>
      <x:c r="G395" s="20" t="str"/>
      <x:c r="H395" s="23" t="str">
        <x:v>SPEAKER NEWLINE NEWLINE INSERT_A END</x:v>
      </x:c>
      <x:c r="I395" s="23" t="str">
        <x:v>EA:458D</x:v>
      </x:c>
      <x:c r="J395" s="23" t="str">
        <x:v>CC 59 6F 75 01 64 6F 6E 27 74 01 68 61 76 65 C8 65 6E 6F 75 67 68 01 63 6F 69 6E 73 01 74 6F 01 74 72 61 64 65 C8 66 6F 72 01 C4 2E C0</x:v>
      </x:c>
      <x:c r="K395" s="23" t="str">
        <x:v>1CC 1C4 023 001 114 116 01C 038 025 029 1C8 04B 043 06F 084 015 001 01F 037 024 011 02F 01F 011 084 01F 024 1C0</x:v>
      </x:c>
    </x:row>
    <x:row r="396">
      <x:c r="A396" s="22" t="str">
        <x:f>"01"</x:f>
        <x:v>01</x:v>
      </x:c>
      <x:c r="B396" s="22" t="str">
        <x:f>"8A"</x:f>
        <x:v>8A</x:v>
      </x:c>
      <x:c r="C396" s="22" t="str">
        <x:f>"0x018A"</x:f>
        <x:v>0x018A</x:v>
      </x:c>
      <x:c r="D396" s="21" t="str">
        <x:v>&lt;SPEAKER&gt;「でも みなさん
もう これは
持てないみたいだぜ</x:v>
      </x:c>
      <x:c r="E396" s="19" t="str">
        <x:v>&lt;SPEAKER&gt;But nobody can
carry this right now.</x:v>
      </x:c>
      <x:c r="F396" s="20" t="str"/>
      <x:c r="G396" s="20" t="str"/>
      <x:c r="H396" s="23" t="str">
        <x:v>SPEAKER NEWLINE END</x:v>
      </x:c>
      <x:c r="I396" s="23" t="str">
        <x:v>EA:45BA</x:v>
      </x:c>
      <x:c r="J396" s="23" t="str">
        <x:v>CC 42 75 74 01 6E 6F 62 6F 64 79 01 63 61 6E C8 63 61 72 72 79 01 74 68 69 73 01 72 69 67 68 74 01 6E 6F 77 2E C0</x:v>
      </x:c>
      <x:c r="K396" s="23" t="str">
        <x:v>1CC 084 022 032 001 02F 024 01A 03D 1C8 032 012 001 019 039 029 1C8 0D3 022 024 011 02F 01F 011 084 01F 084 01D 1C0</x:v>
      </x:c>
    </x:row>
    <x:row r="397">
      <x:c r="A397" s="22" t="str">
        <x:f>"01"</x:f>
        <x:v>01</x:v>
      </x:c>
      <x:c r="B397" s="22" t="str">
        <x:f>"8B"</x:f>
        <x:v>8B</x:v>
      </x:c>
      <x:c r="C397" s="22" t="str">
        <x:f>"0x018B"</x:f>
        <x:v>0x018B</x:v>
      </x:c>
      <x:c r="D397" s="21" t="str">
        <x:v>&lt;SPEAKER&gt;「おれは 世界中の
ひかるビーダマを あつめてるんだ</x:v>
      </x:c>
      <x:c r="E397" s="19" t="str">
        <x:v>&lt;SPEAKER&gt;I collect Shining Marbles
from all over the world.</x:v>
      </x:c>
      <x:c r="F397" s="20" t="str"/>
      <x:c r="G397" s="20" t="str"/>
      <x:c r="H397" s="23" t="str">
        <x:v>SPEAKER NEWLINE END</x:v>
      </x:c>
      <x:c r="I397" s="23" t="str">
        <x:v>EA:45E0</x:v>
      </x:c>
      <x:c r="J397" s="23" t="str">
        <x:v>CC 49 01 63 6F 6C 6C 65 63 74 01 53 68 69 6E 69 6E 67 01 4D 61 72 62 6C 65 73 C8 66 72 6F 6D 01 61 6C 6C 01 6F 76 65 72 01 74 68 65 01 77 6F 72 6C 64 2E C0</x:v>
      </x:c>
      <x:c r="K397" s="23" t="str">
        <x:v>1CC 014 039 029 001 0A9 103 0A1 028 1C8 02A 015 038 084 05C 078 084 051 060 03C 001 010 021 031 022 038 03D 084 01F 1C0</x:v>
      </x:c>
    </x:row>
    <x:row r="398">
      <x:c r="A398" s="22" t="str">
        <x:f>"01"</x:f>
        <x:v>01</x:v>
      </x:c>
      <x:c r="B398" s="22" t="str">
        <x:f>"8C"</x:f>
        <x:v>8C</x:v>
      </x:c>
      <x:c r="C398" s="22" t="str">
        <x:f>"0x018C"</x:f>
        <x:v>0x018C</x:v>
      </x:c>
      <x:c r="D398" s="21" t="str">
        <x:v>&lt;SPEAKER&gt;「おっ ビーダマを
持ってるじゃないか!
それ おれが もらった!</x:v>
      </x:c>
      <x:c r="E398" s="19" t="str">
        <x:v>&lt;SPEAKER&gt;Hey, you've got a
marble! I'll take that, thank you!</x:v>
      </x:c>
      <x:c r="F398" s="20" t="str"/>
      <x:c r="G398" s="20" t="str"/>
      <x:c r="H398" s="23" t="str">
        <x:v>SPEAKER NEWLINE END</x:v>
      </x:c>
      <x:c r="I398" s="23" t="str">
        <x:v>EA:4614</x:v>
      </x:c>
      <x:c r="J398" s="23" t="str">
        <x:v>CC 48 65 79 2C 01 79 6F 75 27 76 65 01 67 6F 74 01 61 C8 6D 61 72 62 6C 65 21 01 49 27 6C 6C 01 74 61 6B 65 01 74 68 61 74 2C 01 74 68 61 6E 6B 01 79 6F 75 21 C0</x:v>
      </x:c>
      <x:c r="K398" s="23" t="str">
        <x:v>1CC 014 03E 001 084 05C 078 084 051 060 03C 1C8 0D3 03E 022 038 084 01B 03F 024 011 015 07A 1C8 01E 039 001 014 039 084 015 001 032 036 03E 01F 07A 1C0</x:v>
      </x:c>
    </x:row>
    <x:row r="399">
      <x:c r="A399" s="22" t="str">
        <x:f>"01"</x:f>
        <x:v>01</x:v>
      </x:c>
      <x:c r="B399" s="22" t="str">
        <x:f>"8D"</x:f>
        <x:v>8D</x:v>
      </x:c>
      <x:c r="C399" s="22" t="str">
        <x:f>"0x018D"</x:f>
        <x:v>0x018D</x:v>
      </x:c>
      <x:c r="D399" s="21" t="str">
        <x:v>&lt;SPEAKER&gt;「&lt;INSERT_D&gt;からは &lt;NUMBER&gt;コの
ビーダマを もらってるけど
何かと 交換しようか?</x:v>
      </x:c>
      <x:c r="E399" s="19" t="str">
        <x:v>&lt;SPEAKER&gt;I've received &lt;NUMBER&gt;
marbles from &lt;INSERT_D&gt; so far.
Want to trade for something?</x:v>
      </x:c>
      <x:c r="F399" s="20" t="str"/>
      <x:c r="G399" s="20" t="str"/>
      <x:c r="H399" s="23" t="str">
        <x:v>SPEAKER NUMBER NEWLINE INSERT_D NEWLINE END</x:v>
      </x:c>
      <x:c r="I399" s="23" t="str">
        <x:v>EA:464A</x:v>
      </x:c>
      <x:c r="J399" s="23" t="str">
        <x:v>CC 49 27 76 65 01 72 65 63 65 69 76 65 64 01 C2 C8 6D 61 72 62 6C 65 73 01 66 72 6F 6D 01 CF 01 73 6F 01 66 61 72 2E C8 57 61 6E 74 01 74 6F 01 74 72 61 64 65 01 66 6F 72 01 73 6F 6D 65 74 68 69 6E 67 3F C0</x:v>
      </x:c>
      <x:c r="K399" s="23" t="str">
        <x:v>1CC 1CF 015 036 029 001 1C2 04B 028 1C8 084 05C 078 084 051 060 03C 001 032 036 03E 022 038 018 084 023 1C8 093 015 023 001 114 116 01B 035 012 015 079 1C0</x:v>
      </x:c>
    </x:row>
    <x:row r="400">
      <x:c r="A400" s="22" t="str">
        <x:f>"01"</x:f>
        <x:v>01</x:v>
      </x:c>
      <x:c r="B400" s="22" t="str">
        <x:f>"8E"</x:f>
        <x:v>8E</x:v>
      </x:c>
      <x:c r="C400" s="22" t="str">
        <x:f>"0x018E"</x:f>
        <x:v>0x018E</x:v>
      </x:c>
      <x:c r="D400" s="21" t="str">
        <x:v>&lt;SPEAKER&gt;「また 来ておくれよ!</x:v>
      </x:c>
      <x:c r="E400" s="19" t="str">
        <x:v>&lt;SPEAKER&gt;Come back again!</x:v>
      </x:c>
      <x:c r="F400" s="20" t="str"/>
      <x:c r="G400" s="20" t="str"/>
      <x:c r="H400" s="23" t="str">
        <x:v>SPEAKER END</x:v>
      </x:c>
      <x:c r="I400" s="23" t="str">
        <x:v>EA:468F</x:v>
      </x:c>
      <x:c r="J400" s="23" t="str">
        <x:v>CC 43 6F 6D 65 01 62 61 63 6B 01 61 67 61 69 6E 21 C0</x:v>
      </x:c>
      <x:c r="K400" s="23" t="str">
        <x:v>1CC 02E 01F 001 097 022 014 017 039 035 07A 1C0</x:v>
      </x:c>
    </x:row>
    <x:row r="401">
      <x:c r="A401" s="22" t="str">
        <x:f>"01"</x:f>
        <x:v>01</x:v>
      </x:c>
      <x:c r="B401" s="22" t="str">
        <x:f>"8F"</x:f>
        <x:v>8F</x:v>
      </x:c>
      <x:c r="C401" s="22" t="str">
        <x:f>"0x018F"</x:f>
        <x:v>0x018F</x:v>
      </x:c>
      <x:c r="D401" s="21" t="str">
        <x:v>&lt;SPEAKER&gt;「ビーダマと交換に あちこちで
集めた すてきなアイテムを
プレゼントするよ!</x:v>
      </x:c>
      <x:c r="E401" s="19" t="str">
        <x:v>&lt;SPEAKER&gt;In exchange for marbles,
I give away wonderful items
I have collected everywhere!</x:v>
      </x:c>
      <x:c r="F401" s="20" t="str"/>
      <x:c r="G401" s="20" t="str"/>
      <x:c r="H401" s="23" t="str">
        <x:v>SPEAKER NEWLINE NEWLINE END</x:v>
      </x:c>
      <x:c r="I401" s="23" t="str">
        <x:v>EA:46A1</x:v>
      </x:c>
      <x:c r="J401" s="23" t="str">
        <x:v>CC 49 6E 01 65 78 63 68 61 6E 67 65 01 66 6F 72 01 6D 61 72 62 6C 65 73 2C C8 49 01 67 69 76 65 01 61 77 61 79 01 77 6F 6E 64 65 72 66 75 6C 01 69 74 65 6D 73 C8 49 01 68 61 76 65 01 63 6F 6C 6C 65 63 74 65 64 01 65 76 65 72 79 77 68 65 72 65 21 C0</x:v>
      </x:c>
      <x:c r="K401" s="23" t="str">
        <x:v>1CC 084 05C 078 084 051 060 023 114 116 025 001 010 020 019 020 084 022 1C8 1AC 031 01F 001 01C 022 016 024 042 043 054 062 03C 1C8 083 05D 06B 084 04F 06F 055 01C 038 035 07A 1C0</x:v>
      </x:c>
    </x:row>
    <x:row r="402">
      <x:c r="A402" s="22" t="str">
        <x:f>"01"</x:f>
        <x:v>01</x:v>
      </x:c>
      <x:c r="B402" s="22" t="str">
        <x:f>"90"</x:f>
        <x:v>90</x:v>
      </x:c>
      <x:c r="C402" s="22" t="str">
        <x:f>"0x0190"</x:f>
        <x:v>0x0190</x:v>
      </x:c>
      <x:c r="D402" s="21" t="str">
        <x:v>&lt;SPEAKER&gt;「さっそく 装備してみるかい?</x:v>
      </x:c>
      <x:c r="E402" s="19" t="str">
        <x:v>&lt;SPEAKER&gt;Want to
equip it right away?</x:v>
      </x:c>
      <x:c r="F402" s="20" t="str"/>
      <x:c r="G402" s="20" t="str"/>
      <x:c r="H402" s="23" t="str">
        <x:v>SPEAKER NEWLINE END</x:v>
      </x:c>
      <x:c r="I402" s="23" t="str">
        <x:v>EA:46F4</x:v>
      </x:c>
      <x:c r="J402" s="23" t="str">
        <x:v>CC 57 61 6E 74 01 74 6F C8 65 71 75 69 70 01 69 74 01 72 69 67 68 74 01 61 77 61 79 3F C0</x:v>
      </x:c>
      <x:c r="K402" s="23" t="str">
        <x:v>1CC 01A 03E 01E 017 001 0C2 0C4 01B 022 02F 038 015 011 079 1C0</x:v>
      </x:c>
    </x:row>
    <x:row r="403">
      <x:c r="A403" s="22" t="str">
        <x:f>"01"</x:f>
        <x:v>01</x:v>
      </x:c>
      <x:c r="B403" s="22" t="str">
        <x:f>"91"</x:f>
        <x:v>91</x:v>
      </x:c>
      <x:c r="C403" s="22" t="str">
        <x:f>"0x0191"</x:f>
        <x:v>0x0191</x:v>
      </x:c>
      <x:c r="D403" s="21" t="str">
        <x:v>&lt;SPEAKER&gt;「はい これ!
だいじにしてよ!</x:v>
      </x:c>
      <x:c r="E403" s="19" t="str">
        <x:v>&lt;SPEAKER&gt;Here you go!
Take good care of it!</x:v>
      </x:c>
      <x:c r="F403" s="20" t="str"/>
      <x:c r="G403" s="20" t="str"/>
      <x:c r="H403" s="23" t="str">
        <x:v>SPEAKER NEWLINE END</x:v>
      </x:c>
      <x:c r="I403" s="23" t="str">
        <x:v>EA:4712</x:v>
      </x:c>
      <x:c r="J403" s="23" t="str">
        <x:v>CC 48 65 72 65 01 79 6F 75 01 67 6F 21 C8 54 61 6B 65 01 67 6F 6F 64 01 63 61 72 65 01 6F 66 01 69 74 21 C0</x:v>
      </x:c>
      <x:c r="K403" s="23" t="str">
        <x:v>1CC 029 011 001 019 039 07A 1C8 084 01F 011 084 01B 025 01B 022 035 07A 1C0</x:v>
      </x:c>
    </x:row>
    <x:row r="404">
      <x:c r="A404" s="22" t="str">
        <x:f>"01"</x:f>
        <x:v>01</x:v>
      </x:c>
      <x:c r="B404" s="22" t="str">
        <x:f>"92"</x:f>
        <x:v>92</x:v>
      </x:c>
      <x:c r="C404" s="22" t="str">
        <x:f>"0x0192"</x:f>
        <x:v>0x0192</x:v>
      </x:c>
      <x:c r="D404" s="21" t="str">
        <x:v>&lt;SPEAKER&gt;「はい これ・・・
&lt;INSERT_C&gt;の かんおけに
いれとくね</x:v>
      </x:c>
      <x:c r="E404" s="19" t="str">
        <x:v>&lt;SPEAKER&gt;Here you go... I'll put
it in &lt;INSERT_C&gt;'s coffin for now.</x:v>
      </x:c>
      <x:c r="F404" s="20" t="str"/>
      <x:c r="G404" s="20" t="str"/>
      <x:c r="H404" s="23" t="str">
        <x:v>SPEAKER NEWLINE INSERT_C END</x:v>
      </x:c>
      <x:c r="I404" s="23" t="str">
        <x:v>EA:4736</x:v>
      </x:c>
      <x:c r="J404" s="23" t="str">
        <x:v>CC 48 65 72 65 01 79 6F 75 01 67 6F 2E 2E 2E 01 49 27 6C 6C 01 70 75 74 C8 69 74 01 69 6E 01 CE 27 73 01 63 6F 66 66 69 6E 01 66 6F 72 01 6E 6F 77 2E C0</x:v>
      </x:c>
      <x:c r="K404" s="23" t="str">
        <x:v>1CC 029 011 001 019 039 081 081 081 1C8 1CE 028 001 015 03D 014 018 025 1C8 011 039 023 017 027 1C0</x:v>
      </x:c>
    </x:row>
    <x:row r="405">
      <x:c r="A405" s="22" t="str">
        <x:f>"01"</x:f>
        <x:v>01</x:v>
      </x:c>
      <x:c r="B405" s="22" t="str">
        <x:f>"93"</x:f>
        <x:v>93</x:v>
      </x:c>
      <x:c r="C405" s="22" t="str">
        <x:f>"0x0193"</x:f>
        <x:v>0x0193</x:v>
      </x:c>
      <x:c r="D405" s="21" t="str">
        <x:v>&lt;SPEAKER&gt;「ほかに ほしい物は あるかい?</x:v>
      </x:c>
      <x:c r="E405" s="19" t="str">
        <x:v>&lt;SPEAKER&gt;Want anything else?</x:v>
      </x:c>
      <x:c r="F405" s="20" t="str"/>
      <x:c r="G405" s="20" t="str"/>
      <x:c r="H405" s="23" t="str">
        <x:v>SPEAKER END</x:v>
      </x:c>
      <x:c r="I405" s="23" t="str">
        <x:v>EA:4769</x:v>
      </x:c>
      <x:c r="J405" s="23" t="str">
        <x:v>CC 57 61 6E 74 01 61 6E 79 74 68 69 6E 67 01 65 6C 73 65 3F C0</x:v>
      </x:c>
      <x:c r="K405" s="23" t="str">
        <x:v>1CC 02D 015 025 001 02D 01B 011 08B 029 001 010 038 015 011 079 1C0</x:v>
      </x:c>
    </x:row>
    <x:row r="406">
      <x:c r="A406" s="22" t="str">
        <x:f>"01"</x:f>
        <x:v>01</x:v>
      </x:c>
      <x:c r="B406" s="22" t="str">
        <x:f>"94"</x:f>
        <x:v>94</x:v>
      </x:c>
      <x:c r="C406" s="22" t="str">
        <x:f>"0x0194"</x:f>
        <x:v>0x0194</x:v>
      </x:c>
      <x:c r="D406" s="21" t="str">
        <x:v>&lt;SPEAKER&gt;「うーん・・・ もっと
ビーダマを あつめなくちゃ
それは あげられないなー</x:v>
      </x:c>
      <x:c r="E406" s="19" t="str">
        <x:v>&lt;SPEAKER&gt;Hmm... You'll need to
collect more marbles before
I can give you that one.</x:v>
      </x:c>
      <x:c r="F406" s="20" t="str"/>
      <x:c r="G406" s="20" t="str"/>
      <x:c r="H406" s="23" t="str">
        <x:v>SPEAKER NEWLINE NEWLINE END</x:v>
      </x:c>
      <x:c r="I406" s="23" t="str">
        <x:v>EA:477E</x:v>
      </x:c>
      <x:c r="J406" s="23" t="str">
        <x:v>CC 48 6D 6D 2E 2E 2E 01 59 6F 75 27 6C 6C 01 6E 65 65 64 01 74 6F C8 63 6F 6C 6C 65 63 74 01 6D 6F 72 65 01 6D 61 72 62 6C 65 73 01 62 65 66 6F 72 65 C8 49 01 63 61 6E 01 67 69 76 65 01 79 6F 75 01 74 68 61 74 01 6F 6E 65 2E C0</x:v>
      </x:c>
      <x:c r="K406" s="23" t="str">
        <x:v>1CC 012 078 03D 081 081 081 001 032 03E 023 1C8 084 05C 078 084 051 060 03C 001 010 021 031 024 017 020 03F 1C8 01E 039 029 001 010 084 018 036 039 024 011 024 078 1C0</x:v>
      </x:c>
    </x:row>
    <x:row r="407">
      <x:c r="A407" s="22" t="str">
        <x:f>"01"</x:f>
        <x:v>01</x:v>
      </x:c>
      <x:c r="B407" s="22" t="str">
        <x:f>"95"</x:f>
        <x:v>95</x:v>
      </x:c>
      <x:c r="C407" s="22" t="str">
        <x:f>"0x0195"</x:f>
        <x:v>0x0195</x:v>
      </x:c>
      <x:c r="D407" s="21" t="str">
        <x:v>&lt;SPEAKER&gt;「入島ビザを 見せてください
ビザがないと ここから先は
行くことが できません</x:v>
      </x:c>
      <x:c r="E407" s="19" t="str">
        <x:v>&lt;SPEAKER&gt;Please show me your
island Visa. Without one, you
cannot go beyond this point.</x:v>
      </x:c>
      <x:c r="F407" s="20" t="str"/>
      <x:c r="G407" s="20" t="str"/>
      <x:c r="H407" s="23" t="str">
        <x:v>SPEAKER NEWLINE NEWLINE END</x:v>
      </x:c>
      <x:c r="I407" s="23" t="str">
        <x:v>EA:47CA</x:v>
      </x:c>
      <x:c r="J407" s="23" t="str">
        <x:v>CC 50 6C 65 61 73 65 01 73 68 6F 77 01 6D 65 01 79 6F 75 72 C8 69 73 6C 61 6E 64 01 56 69 73 61 2E 01 57 69 74 68 6F 75 74 01 6F 6E 65 2C 01 79 6F 75 C8 63 61 6E 6E 6F 74 01 67 6F 01 62 65 79 6F 6E 64 01 74 68 69 73 01 70 6F 69 6E 74 2E C0</x:v>
      </x:c>
      <x:c r="K407" s="23" t="str">
        <x:v>1CC 08E 08A 084 05C 084 04C 03C 001 090 01D 022 017 084 01F 01A 011 1C8 084 05C 084 04C 084 015 024 011 023 001 019 019 015 036 0F8 029 1C8 08D 017 019 023 084 015 001 084 022 016 02E 01D 03D 1C0</x:v>
      </x:c>
    </x:row>
    <x:row r="408">
      <x:c r="A408" s="22" t="str">
        <x:f>"01"</x:f>
        <x:v>01</x:v>
      </x:c>
      <x:c r="B408" s="22" t="str">
        <x:f>"96"</x:f>
        <x:v>96</x:v>
      </x:c>
      <x:c r="C408" s="22" t="str">
        <x:f>"0x0196"</x:f>
        <x:v>0x0196</x:v>
      </x:c>
      <x:c r="D408" s="21" t="str">
        <x:v>&lt;CLEAR&gt;
&lt;INSERT_B&gt;は &lt;INSERT_A&gt;を
てわたした</x:v>
      </x:c>
      <x:c r="E408" s="19" t="str">
        <x:v>&lt;CLEAR&gt;&lt;INSERT_B&gt;
handed over &lt;INSERT_A&gt;.</x:v>
      </x:c>
      <x:c r="F408" s="20" t="str"/>
      <x:c r="G408" s="20" t="str"/>
      <x:c r="H408" s="23" t="str">
        <x:v>CLEAR INSERT_B NEWLINE INSERT_A END</x:v>
      </x:c>
      <x:c r="I408" s="23" t="str">
        <x:v>EA:481A</x:v>
      </x:c>
      <x:c r="J408" s="23" t="str">
        <x:v>D0 CA C8 68 61 6E 64 65 64 01 6F 76 65 72 01 C4 2E C0</x:v>
      </x:c>
      <x:c r="K408" s="23" t="str">
        <x:v>1D0 1CA 029 001 1C4 03C 1C8 022 03B 01F 01B 01F 1C0</x:v>
      </x:c>
    </x:row>
    <x:row r="409">
      <x:c r="A409" s="22" t="str">
        <x:f>"01"</x:f>
        <x:v>01</x:v>
      </x:c>
      <x:c r="B409" s="22" t="str">
        <x:f>"97"</x:f>
        <x:v>97</x:v>
      </x:c>
      <x:c r="C409" s="22" t="str">
        <x:f>"0x0197"</x:f>
        <x:v>0x0197</x:v>
      </x:c>
      <x:c r="D409" s="21" t="str">
        <x:v>&lt;SPEAKER&gt;「はい お嬢さん
たしかに ビザを
はいけん しました&lt;WAIT&gt;&lt;SPEAKER&gt;「もう とうろく したから
いつでも ここは 通れるよ</x:v>
      </x:c>
      <x:c r="E409" s="19" t="str">
        <x:v>&lt;SPEAKER&gt;All right, miss.
I've confirmed your Visa.&lt;WAIT&gt;&lt;SPEAKER&gt;You're registered now,
so you may pass here anytime.</x:v>
      </x:c>
      <x:c r="F409" s="20" t="str"/>
      <x:c r="G409" s="20" t="str"/>
      <x:c r="H409" s="23" t="str">
        <x:v>SPEAKER NEWLINE WAIT SPEAKER NEWLINE END</x:v>
      </x:c>
      <x:c r="I409" s="23" t="str">
        <x:v>EA:482C</x:v>
      </x:c>
      <x:c r="J409" s="23" t="str">
        <x:v>CC 41 6C 6C 01 72 69 67 68 74 2C 01 6D 69 73 73 2E C8 49 27 76 65 01 63 6F 6E 66 69 72 6D 65 64 01 79 6F 75 72 01 56 69 73 61 2E C5 CC 59 6F 75 27 72 65 01 72 65 67 69 73 74 65 72 65 64 01 6E 6F 77 2C C8 73 6F 01 79 6F 75 01 6D 61 79 01 70 61 73 73 01 68 65 72 65 01 61 6E 79 74 69 6D 65 2E C0</x:v>
      </x:c>
      <x:c r="K409" s="23" t="str">
        <x:v>1CC 029 011 001 014 0D8 01A 03D 1C8 01F 01B 015 025 001 084 05C 084 04C 03C 1C8 029 011 018 03D 001 01B 02E 01B 01F 1C5 1CC 032 012 001 023 012 03A 017 001 01B 01F 015 036 1C8 011 021 084 022 032 001 019 019 029 001 12E 039 038 035 1C0</x:v>
      </x:c>
    </x:row>
    <x:row r="410">
      <x:c r="A410" s="22" t="str">
        <x:f>"01"</x:f>
        <x:v>01</x:v>
      </x:c>
      <x:c r="B410" s="22" t="str">
        <x:f>"98"</x:f>
        <x:v>98</x:v>
      </x:c>
      <x:c r="C410" s="22" t="str">
        <x:f>"0x0198"</x:f>
        <x:v>0x0198</x:v>
      </x:c>
      <x:c r="D410" s="21" t="str">
        <x:v>&lt;SPEAKER&gt;「北に あるけば やがて
リバータウンの 町につくけど&lt;WAIT&gt;&lt;SPEAKER&gt;「けっこう 遠いから
教会で おいのりを してから
でかけた方が いいよ</x:v>
      </x:c>
      <x:c r="E410" s="19" t="str">
        <x:v>&lt;SPEAKER&gt;Head north and you
will eventually reach Rivertown.&lt;WAIT&gt;&lt;SPEAKER&gt;It is a long walk,
though. Say a prayer at the
church before you set out.</x:v>
      </x:c>
      <x:c r="F410" s="20" t="str"/>
      <x:c r="G410" s="20" t="str"/>
      <x:c r="H410" s="23" t="str">
        <x:v>SPEAKER NEWLINE WAIT SPEAKER NEWLINE NEWLINE END</x:v>
      </x:c>
      <x:c r="I410" s="23" t="str">
        <x:v>EA:488E</x:v>
      </x:c>
      <x:c r="J410" s="23" t="str">
        <x:v>CC 48 65 61 64 01 6E 6F 72 74 68 01 61 6E 64 01 79 6F 75 C8 77 69 6C 6C 01 65 76 65 6E 74 75 61 6C 6C 79 01 72 65 61 63 68 01 52 69 76 65 72 74 6F 77 6E 2E C5 CC 49 74 01 69 73 01 61 01 6C 6F 6E 67 01 77 61 6C 6B 2C C8 74 68 6F 75 67 68 2E 01 53 61 79 01 61 01 70 72 61 79 65 72 01 61 74 01 74 68 65 C8 63 68 75 72 63 68 01 62 65 66 6F 72 65 01 79 6F 75 01 73 65 74 01 6F 75 74 2E C0</x:v>
      </x:c>
      <x:c r="K410" s="23" t="str">
        <x:v>1CC 09C 025 001 010 038 018 084 029 001 033 084 015 022 1C8 069 084 05B 078 051 044 06F 028 001 0C9 025 021 017 018 084 023 1C5 1CC 018 03E 019 012 001 0F2 011 015 036 1C8 122 11E 084 022 001 014 011 028 037 03C 001 01B 022 015 036 1C8 084 022 015 018 01F 0B9 084 015 001 011 011 035 1C0</x:v>
      </x:c>
    </x:row>
    <x:row r="411">
      <x:c r="A411" s="22" t="str">
        <x:f>"01"</x:f>
        <x:v>01</x:v>
      </x:c>
      <x:c r="B411" s="22" t="str">
        <x:f>"99"</x:f>
        <x:v>99</x:v>
      </x:c>
      <x:c r="C411" s="22" t="str">
        <x:f>"0x0199"</x:f>
        <x:v>0x0199</x:v>
      </x:c>
      <x:c r="D411" s="21" t="str">
        <x:v>&lt;SPEAKER&gt;「伝説と神秘の島
デスランド島へ ようこそ!</x:v>
      </x:c>
      <x:c r="E411" s="19" t="str">
        <x:v>&lt;SPEAKER&gt;Welcome to
Deathland Island, land
of legend and mystery!</x:v>
      </x:c>
      <x:c r="F411" s="20" t="str"/>
      <x:c r="G411" s="20" t="str"/>
      <x:c r="H411" s="23" t="str">
        <x:v>SPEAKER NEWLINE NEWLINE END</x:v>
      </x:c>
      <x:c r="I411" s="23" t="str">
        <x:v>EA:490E</x:v>
      </x:c>
      <x:c r="J411" s="23" t="str">
        <x:v>CC 57 65 6C 63 6F 6D 65 01 74 6F C8 44 65 61 74 68 6C 61 6E 64 01 49 73 6C 61 6E 64 2C 01 6C 61 6E 64 C8 6F 66 01 6C 65 67 65 6E 64 01 61 6E 64 01 6D 79 73 74 65 72 79 21 C0</x:v>
      </x:c>
      <x:c r="K411" s="23" t="str">
        <x:v>1CC 092 08F 023 0DC 0EF 028 08A 1C8 084 054 04E 068 06F 084 055 08A 02C 001 035 012 019 01E 07A 1C0</x:v>
      </x:c>
    </x:row>
    <x:row r="412">
      <x:c r="A412" s="22" t="str">
        <x:f>"01"</x:f>
        <x:v>01</x:v>
      </x:c>
      <x:c r="B412" s="22" t="str">
        <x:f>"9A"</x:f>
        <x:v>9A</x:v>
      </x:c>
      <x:c r="C412" s="22" t="str">
        <x:f>"0x019A"</x:f>
        <x:v>0x019A</x:v>
      </x:c>
      <x:c r="D412" s="21" t="str">
        <x:v>&lt;SPEAKER&gt;「人のうわさって けっこう
いいかげんなのよねえ!&lt;WAIT&gt;&lt;SPEAKER&gt;「この島には 財宝なんて ないのに
みんな 目の色 かえちゃってさ
けっきょく よくばりなのよねえ</x:v>
      </x:c>
      <x:c r="E412" s="19" t="str">
        <x:v>&lt;SPEAKER&gt;Rumors are pretty
unreliable, aren't they?&lt;WAIT&gt;&lt;SPEAKER&gt;There isn't any treasure
here, yet everyone gets wild-eyed
over it. People really are greedy.</x:v>
      </x:c>
      <x:c r="F412" s="20" t="str"/>
      <x:c r="G412" s="20" t="str"/>
      <x:c r="H412" s="23" t="str">
        <x:v>SPEAKER NEWLINE WAIT SPEAKER NEWLINE NEWLINE END</x:v>
      </x:c>
      <x:c r="I412" s="23" t="str">
        <x:v>EA:4948</x:v>
      </x:c>
      <x:c r="J412" s="23" t="str">
        <x:v>CC 52 75 6D 6F 72 73 01 61 72 65 01 70 72 65 74 74 79 C8 75 6E 72 65 6C 69 61 62 6C 65 2C 01 61 72 65 6E 27 74 01 74 68 65 79 3F C5 CC 54 68 65 72 65 01 69 73 6E 27 74 01 61 6E 79 01 74 72 65 61 73 75 72 65 C8 68 65 72 65 2C 01 79 65 74 01 65 76 65 72 79 6F 6E 65 01 67 65 74 73 01 77 69 6C 64 2D 65 79 65 64 C8 6F 76 65 72 01 69 74 2E 01 50 65 6F 70 6C 65 01 72 65 61 6C 6C 79 01 61 72 65 01 67 72 65 65 64 79 2E C0</x:v>
      </x:c>
      <x:c r="K412" s="23" t="str">
        <x:v>1CC 091 028 012 03B 01A 03E 022 001 018 03E 019 012 1C8 011 011 015 084 018 03D 024 028 035 027 013 07A 1C5 1CC 019 028 08A 025 029 001 0E8 095 024 03D 022 001 024 011 028 025 1C8 02F 03D 024 001 0B6 028 19E 001 015 013 020 03F 03E 022 01A 1C8 018 03E 016 041 017 001 035 017 084 029 037 024 028 035 027 013 1C0</x:v>
      </x:c>
    </x:row>
    <x:row r="413">
      <x:c r="A413" s="22" t="str">
        <x:f>"01"</x:f>
        <x:v>01</x:v>
      </x:c>
      <x:c r="B413" s="22" t="str">
        <x:f>"9B"</x:f>
        <x:v>9B</x:v>
      </x:c>
      <x:c r="C413" s="22" t="str">
        <x:f>"0x019B"</x:f>
        <x:v>0x019B</x:v>
      </x:c>
      <x:c r="D413" s="21" t="str">
        <x:v>&lt;SPEAKER&gt;「くそっ まいっちゃったよ!&lt;WAIT&gt;&lt;SPEAKER&gt;「島を探険しようと 気がるに来たけど
武芸のたしなみが ないから
入島ビザを もらえなかったよ&lt;WAIT&gt;&lt;SPEAKER&gt;「もうちょっと 剣の けいこを
まじめに やっとけば よかったなー!</x:v>
      </x:c>
      <x:c r="E413" s="19" t="str">
        <x:v>&lt;SPEAKER&gt;Damn, what a mess!&lt;WAIT&gt;&lt;SPEAKER&gt;I came to explore
the island, but without combat
training, I couldn't get a Visa.&lt;WAIT&gt;&lt;SPEAKER&gt;I should've taken my
sword lessons more seriously!</x:v>
      </x:c>
      <x:c r="F413" s="20" t="str"/>
      <x:c r="G413" s="20" t="str"/>
      <x:c r="H413" s="23" t="str">
        <x:v>SPEAKER WAIT SPEAKER NEWLINE NEWLINE WAIT SPEAKER NEWLINE END</x:v>
      </x:c>
      <x:c r="I413" s="23" t="str">
        <x:v>EA:49D3</x:v>
      </x:c>
      <x:c r="J413" s="23" t="str">
        <x:v>CC 44 61 6D 6E 2C 01 77 68 61 74 01 61 01 6D 65 73 73 21 C5 CC 49 01 63 61 6D 65 01 74 6F 01 65 78 70 6C 6F 72 65 C8 74 68 65 01 69 73 6C 61 6E 64 2C 01 62 75 74 01 77 69 74 68 6F 75 74 01 63 6F 6D 62 61 74 C8 74 72 61 69 6E 69 6E 67 2C 01 49 01 63 6F 75 6C 64 6E 27 74 01 67 65 74 01 61 01 56 69 73 61 2E C5 CC 49 01 73 68 6F 75 6C 64 27 76 65 01 74 61 6B 65 6E 01 6D 79 C8 73 77 6F 72 64 01 6C 65 73 73 6F 6E 73 01 6D 6F 72 65 01 73 65 72 69 6F 75 73 6C 79 21 C0</x:v>
      </x:c>
      <x:c r="K413" s="23" t="str">
        <x:v>1CC 017 01E 03E 001 02E 011 03E 020 03F 03E 01F 035 07A 1C5 1CC 08A 03C 184 0BB 01B 035 012 023 001 099 084 015 038 025 097 01F 018 084 023 1C8 0CB 0DE 028 01F 01B 024 02F 084 015 001 024 011 015 036 1C8 08E 08A 084 05C 084 04C 03C 001 032 036 013 024 015 03E 01F 035 1C5 1CC 032 012 020 041 03E 023 001 16D 028 001 018 011 019 03C 1C8 02E 084 01B 031 025 001 033 03E 023 018 084 029 001 035 015 03E 01F 024 078 07A 1C0</x:v>
      </x:c>
    </x:row>
    <x:row r="414">
      <x:c r="A414" s="22" t="str">
        <x:f>"01"</x:f>
        <x:v>01</x:v>
      </x:c>
      <x:c r="B414" s="22" t="str">
        <x:f>"9C"</x:f>
        <x:v>9C</x:v>
      </x:c>
      <x:c r="C414" s="22" t="str">
        <x:f>"0x019C"</x:f>
        <x:v>0x019C</x:v>
      </x:c>
      <x:c r="D414" s="21" t="str">
        <x:v>&lt;SPEAKER&gt;「え? 入島ビザを もらっただと?
おんなのくせに すごいやつだな</x:v>
      </x:c>
      <x:c r="E414" s="19" t="str">
        <x:v>&lt;SPEAKER&gt;What? You got
a Visa? For a woman,
you're pretty amazing.</x:v>
      </x:c>
      <x:c r="F414" s="20" t="str"/>
      <x:c r="G414" s="20" t="str"/>
      <x:c r="H414" s="23" t="str">
        <x:v>SPEAKER NEWLINE NEWLINE END</x:v>
      </x:c>
      <x:c r="I414" s="23" t="str">
        <x:v>EA:4A6E</x:v>
      </x:c>
      <x:c r="J414" s="23" t="str">
        <x:v>CC 57 68 61 74 3F 01 59 6F 75 01 67 6F 74 C8 61 01 56 69 73 61 3F 01 46 6F 72 01 61 01 77 6F 6D 61 6E 2C C8 79 6F 75 27 72 65 01 70 72 65 74 74 79 01 61 6D 61 7A 69 6E 67 2E C0</x:v>
      </x:c>
      <x:c r="K414" s="23" t="str">
        <x:v>1CC 013 079 001 08E 08A 084 05C 084 04C 03C 001 032 036 03E 01F 084 01F 023 079 1C8 014 03D 024 028 017 01D 025 001 01C 084 019 011 033 021 084 01F 024 1C0</x:v>
      </x:c>
    </x:row>
    <x:row r="415">
      <x:c r="A415" s="22" t="str">
        <x:f>"01"</x:f>
        <x:v>01</x:v>
      </x:c>
      <x:c r="B415" s="22" t="str">
        <x:f>"9D"</x:f>
        <x:v>9D</x:v>
      </x:c>
      <x:c r="C415" s="22" t="str">
        <x:f>"0x019D"</x:f>
        <x:v>0x019D</x:v>
      </x:c>
      <x:c r="D415" s="21" t="str">
        <x:v>&lt;SPEAKER&gt;「わしは 伝説の 物知りじいさんじゃ
どうじゃ デスランド島にまつわる
伝説の話を 聞きたいかの?</x:v>
      </x:c>
      <x:c r="E415" s="19" t="str">
        <x:v>&lt;SPEAKER&gt;I'm the old sage of
legends. Would you like to hear
a tale about Deathland Island?</x:v>
      </x:c>
      <x:c r="F415" s="20" t="str"/>
      <x:c r="G415" s="20" t="str"/>
      <x:c r="H415" s="23" t="str">
        <x:v>SPEAKER NEWLINE NEWLINE END</x:v>
      </x:c>
      <x:c r="I415" s="23" t="str">
        <x:v>EA:4AA9</x:v>
      </x:c>
      <x:c r="J415" s="23" t="str">
        <x:v>CC 49 27 6D 01 74 68 65 01 6F 6C 64 01 73 61 67 65 01 6F 66 C8 6C 65 67 65 6E 64 73 2E 01 57 6F 75 6C 64 01 79 6F 75 01 6C 69 6B 65 01 74 6F 01 68 65 61 72 C8 61 01 74 61 6C 65 01 61 62 6F 75 74 01 44 65 61 74 68 6C 61 6E 64 01 49 73 6C 61 6E 64 3F C0</x:v>
      </x:c>
      <x:c r="K415" s="23" t="str">
        <x:v>1CC 03B 01B 029 001 092 08F 028 001 08B 15C 037 084 01B 011 01A 03D 084 01B 03F 1C8 084 023 012 084 01B 03F 001 084 054 04E 068 06F 084 055 08A 025 02E 021 03B 038 1C8 092 08F 028 0A0 03C 001 0A6 016 01F 011 015 028 079 1C0</x:v>
      </x:c>
    </x:row>
    <x:row r="416">
      <x:c r="A416" s="22" t="str">
        <x:f>"01"</x:f>
        <x:v>01</x:v>
      </x:c>
      <x:c r="B416" s="22" t="str">
        <x:f>"9E"</x:f>
        <x:v>9E</x:v>
      </x:c>
      <x:c r="C416" s="22" t="str">
        <x:f>"0x019E"</x:f>
        <x:v>0x019E</x:v>
      </x:c>
      <x:c r="D416" s="21" t="str">
        <x:v>&lt;SPEAKER&gt;「この デスランド島に はるか昔
キングバロンという 魔物が
おったのじゃ・・・&lt;WAIT&gt;&lt;SPEAKER&gt;「キングバロンは まあ いわば
天才でな さまざまな研究を
熱心に やっておったらしい&lt;WAIT&gt;&lt;SPEAKER&gt;「わなや仕掛けは もちろんのこと
魔物どもの生体実験までも
やっておったそうなのじゃ&lt;WAIT&gt;&lt;SPEAKER&gt;「そのキングバロンが 研究のすえ
とうとう とんでもないものを
発明してしもうたのじゃ!&lt;WAIT&gt;&lt;SPEAKER&gt;「・・・どうじゃ 娘さん?
この話の続きを 聞きたいかの?</x:v>
      </x:c>
      <x:c r="E416" s="19" t="str">
        <x:v>&lt;SPEAKER&gt;Long ago on
Deathland, there lived a
monster called King Baron...&lt;WAIT&gt;&lt;SPEAKER&gt;King Baron was a
genius. He devoted himself
to all kinds of research.&lt;WAIT&gt;&lt;SPEAKER&gt;Traps, mechanisms,
even experiments on living
monsters... he did it all.&lt;WAIT&gt;&lt;SPEAKER&gt;At last, King Baron
invented something truly incredible!&lt;WAIT&gt;&lt;SPEAKER&gt;Well, young lady?
Want to hear the rest?</x:v>
      </x:c>
      <x:c r="F416" s="20" t="str"/>
      <x:c r="G416" s="20" t="str"/>
      <x:c r="H416" s="23" t="str">
        <x:v>SPEAKER NEWLINE NEWLINE WAIT SPEAKER NEWLINE NEWLINE WAIT SPEAKER NEWLINE NEWLINE WAIT SPEAKER NEWLINE WAIT SPEAKER NEWLINE END</x:v>
      </x:c>
      <x:c r="I416" s="23" t="str">
        <x:v>EA:4AFD</x:v>
      </x:c>
      <x:c r="J416" s="23" t="str">
        <x:v>CC 4C 6F 6E 67 01 61 67 6F 01 6F 6E C8 44 65 61 74 68 6C 61 6E 64 2C 01 74 68 65 72 65 01 6C 69 76 65 64 01 61 C8 6D 6F 6E 73 74 65 72 01 63 61 6C 6C 65 64 01 4B 69 6E 67 01 42 61 72 6F 6E 2E 2E 2E C5 CC 4B 69 6E 67 01 42 61 72 6F 6E 01 77 61 73 01 61 C8 67 65 6E 69 75 73 2E 01 48 65 01 64 65 76 6F 74 65 64 01 68 69 6D 73 65 6C 66 C8 74 6F 01 61 6C 6C 01 6B 69 6E 64 73 01 6F 66 01 72 65 73 65 61 72 63 68 2E C5 CC 54 72 61 70 73 2C 01 6D 65 63 68 61 6E 69 73 6D 73 2C C8 65 76 65 6E 01 65 78 70 65 72 69 6D 65 6E 74 73 01 6F 6E 01 6C 69 76 69 6E 67 C8 6D 6F 6E 73 74 65 72 73 2E 2E 2E 01 68 65 01 64 69 64 01 69 74 01 61 6C 6C 2E C5 CC 41 74 01 6C 61 73 74 2C 01 4B 69 6E 67 01 42 61 72 6F 6E C8 69 6E 76 65 6E 74 65 64 01 73 6F 6D 65 74 68 69 6E 67 01 74 72 75 6C 79 01 69 6E 63 72 65 64 69 62 6C 65 21 C5 CC 57 65 6C 6C 2C 01 79 6F 75 6E 67 01 6C 61 64 79 3F C8 57 61 6E 74 01 74 6F 01 68 65 61 72 01 74 68 65 01 72 65 73 74 3F C0</x:v>
      </x:c>
      <x:c r="K416" s="23" t="str">
        <x:v>1CC 019 028 001 084 054 04E 068 06F 084 055 08A 025 001 029 038 015 104 1C8 048 06F 084 049 084 05B 06C 06F 023 011 012 001 09A 08B 084 015 1C8 014 03E 01F 028 084 01B 03F 081 081 081 1C5 1CC 048 06F 084 049 084 05B 06C 06F 029 001 02E 010 001 011 03B 084 029 1C8 0C5 10A 084 022 024 001 01A 02E 084 01A 02E 024 0E5 0E7 03C 1C8 185 0D4 025 001 033 03E 022 014 03E 01F 036 01B 011 1C5 1CC 03B 024 033 18F 195 018 029 001 032 020 03A 03D 028 019 023 1C8 09A 08B 084 023 032 028 09B 0F0 0DD 0F3 02E 084 022 032 1C8 033 03E 022 014 03E 01F 01E 012 024 028 084 01B 03F 1C5 1CC 01E 028 048 06F 084 049 084 05B 06C 06F 084 015 001 0E5 0E7 028 01C 013 1C8 023 012 023 012 001 023 03D 084 022 032 024 011 032 028 03C 1C8 0C8 0BF 01B 022 01B 032 012 01F 028 084 01B 03F 07A 1C5 1CC 081 081 081 084 023 012 084 01B 03F 001 0C0 01A 03D 079 1C8 019 028 0A0 028 0F9 016 03C 001 0A6 016 01F 011 015 028 079 1C0</x:v>
      </x:c>
    </x:row>
    <x:row r="417">
      <x:c r="A417" s="22" t="str">
        <x:f>"01"</x:f>
        <x:v>01</x:v>
      </x:c>
      <x:c r="B417" s="22" t="str">
        <x:f>"9F"</x:f>
        <x:v>9F</x:v>
      </x:c>
      <x:c r="C417" s="22" t="str">
        <x:f>"0x019F"</x:f>
        <x:v>0x019F</x:v>
      </x:c>
      <x:c r="D417" s="21" t="str">
        <x:v>&lt;SPEAKER&gt;「ふおっふおっふおっ 娘さん!
ざんねんじゃが 話の続きは
博物館で 聞いてくだされ&lt;WAIT&gt;&lt;SPEAKER&gt;「博物館には もっと くわしく
ていねいに 伝説の話を
してくれる人が いますからのう</x:v>
      </x:c>
      <x:c r="E417" s="19" t="str">
        <x:v>&lt;SPEAKER&gt;Ho ho ho! Sorry,
young lady, but hear
the rest at the museum.&lt;WAIT&gt;&lt;SPEAKER&gt;Someone there
will tell you the legend
in much greater detail.</x:v>
      </x:c>
      <x:c r="F417" s="20" t="str"/>
      <x:c r="G417" s="20" t="str"/>
      <x:c r="H417" s="23" t="str">
        <x:v>SPEAKER NEWLINE NEWLINE WAIT SPEAKER NEWLINE NEWLINE END</x:v>
      </x:c>
      <x:c r="I417" s="23" t="str">
        <x:v>EA:4C35</x:v>
      </x:c>
      <x:c r="J417" s="23" t="str">
        <x:v>CC 48 6F 01 68 6F 01 68 6F 21 01 53 6F 72 72 79 2C C8 79 6F 75 6E 67 01 6C 61 64 79 2C 01 62 75 74 01 68 65 61 72 C8 74 68 65 01 72 65 73 74 01 61 74 01 74 68 65 01 6D 75 73 65 75 6D 2E C5 CC 53 6F 6D 65 6F 6E 65 01 74 68 65 72 65 C8 77 69 6C 6C 01 74 65 6C 6C 01 79 6F 75 01 74 68 65 01 6C 65 67 65 6E 64 C8 69 6E 01 6D 75 63 68 01 67 72 65 61 74 65 72 01 64 65 74 61 69 6C 2E C0</x:v>
      </x:c>
      <x:c r="K417" s="23" t="str">
        <x:v>1CC 02B 014 03E 02B 014 03E 02B 014 03E 001 0C0 01A 03D 07A 1C8 084 01A 03D 027 03D 084 01B 03F 084 015 001 0A0 028 0F9 016 029 1C8 0A4 08B 0A3 084 022 001 0A6 011 022 017 084 01F 01A 039 1C5 1CC 0A4 08B 0A3 025 029 001 032 03E 023 001 017 03B 01B 017 1C8 022 011 027 011 025 001 092 08F 028 0A0 03C 1C8 01B 022 017 039 038 091 084 015 001 011 02E 01C 015 036 028 012 1C0</x:v>
      </x:c>
    </x:row>
    <x:row r="418">
      <x:c r="A418" s="22" t="str">
        <x:f>"01"</x:f>
        <x:v>01</x:v>
      </x:c>
      <x:c r="B418" s="22" t="str">
        <x:f>"A0"</x:f>
        <x:v>A0</x:v>
      </x:c>
      <x:c r="C418" s="22" t="str">
        <x:f>"0x01A0"</x:f>
        <x:v>0x01A0</x:v>
      </x:c>
      <x:c r="D418" s="21" t="str">
        <x:v>&lt;SPEAKER&gt;「ふおーふおーふおーそうかいのう
じゃったら ええわい ええわい</x:v>
      </x:c>
      <x:c r="E418" s="19" t="str">
        <x:v>&lt;SPEAKER&gt;Ho ho ho! Is that so?
Then never mind, never mind.</x:v>
      </x:c>
      <x:c r="F418" s="20" t="str"/>
      <x:c r="G418" s="20" t="str"/>
      <x:c r="H418" s="23" t="str">
        <x:v>SPEAKER NEWLINE END</x:v>
      </x:c>
      <x:c r="I418" s="23" t="str">
        <x:v>EA:4CB4</x:v>
      </x:c>
      <x:c r="J418" s="23" t="str">
        <x:v>CC 48 6F 01 68 6F 01 68 6F 21 01 49 73 01 74 68 61 74 01 73 6F 3F C8 54 68 65 6E 01 6E 65 76 65 72 01 6D 69 6E 64 2C 01 6E 65 76 65 72 01 6D 69 6E 64 2E C0</x:v>
      </x:c>
      <x:c r="K418" s="23" t="str">
        <x:v>1CC 02B 014 078 02B 014 078 02B 014 078 01E 012 015 011 028 012 1C8 084 01B 03F 03E 01F 036 001 013 013 03B 011 001 013 013 03B 011 1C0</x:v>
      </x:c>
    </x:row>
    <x:row r="419">
      <x:c r="A419" s="22" t="str">
        <x:f>"01"</x:f>
        <x:v>01</x:v>
      </x:c>
      <x:c r="B419" s="22" t="str">
        <x:f>"A1"</x:f>
        <x:v>A1</x:v>
      </x:c>
      <x:c r="C419" s="22" t="str">
        <x:f>"0x01A1"</x:f>
        <x:v>0x01A1</x:v>
      </x:c>
      <x:c r="D419" s="21" t="str">
        <x:v>&lt;SPEAKER&gt;「あ そう じゃあ ええわい</x:v>
      </x:c>
      <x:c r="E419" s="19" t="str">
        <x:v>&lt;SPEAKER&gt;Oh, I see.
Never mind, then.</x:v>
      </x:c>
      <x:c r="F419" s="20" t="str"/>
      <x:c r="G419" s="20" t="str"/>
      <x:c r="H419" s="23" t="str">
        <x:v>SPEAKER NEWLINE END</x:v>
      </x:c>
      <x:c r="I419" s="23" t="str">
        <x:v>EA:4CE8</x:v>
      </x:c>
      <x:c r="J419" s="23" t="str">
        <x:v>CC 4F 68 2C 01 49 01 73 65 65 2E C8 4E 65 76 65 72 01 6D 69 6E 64 2C 01 74 68 65 6E 2E C0</x:v>
      </x:c>
      <x:c r="K419" s="23" t="str">
        <x:v>1CC 010 001 01E 012 001 084 01B 03F 010 001 013 013 03B 011 1C0</x:v>
      </x:c>
    </x:row>
    <x:row r="420">
      <x:c r="A420" s="22" t="str">
        <x:f>"01"</x:f>
        <x:v>01</x:v>
      </x:c>
      <x:c r="B420" s="22" t="str">
        <x:f>"A2"</x:f>
        <x:v>A2</x:v>
      </x:c>
      <x:c r="C420" s="22" t="str">
        <x:f>"0x01A2"</x:f>
        <x:v>0x01A2</x:v>
      </x:c>
      <x:c r="D420" s="21" t="str">
        <x:v>&lt;SPEAKER&gt;「ふおっふおっふおっ 博物館じゃよ
博物館に行きなされ ふおっふおっ
ふが ふおっふおっふおー</x:v>
      </x:c>
      <x:c r="E420" s="19" t="str">
        <x:v>&lt;SPEAKER&gt;Ho ho ho! The
museum! Go to the museum!
Ho ho ho! Hmph... ho ho ho!</x:v>
      </x:c>
      <x:c r="F420" s="20" t="str"/>
      <x:c r="G420" s="20" t="str"/>
      <x:c r="H420" s="23" t="str">
        <x:v>SPEAKER NEWLINE NEWLINE END</x:v>
      </x:c>
      <x:c r="I420" s="23" t="str">
        <x:v>EA:4D06</x:v>
      </x:c>
      <x:c r="J420" s="23" t="str">
        <x:v>CC 48 6F 01 68 6F 01 68 6F 21 01 54 68 65 C8 6D 75 73 65 75 6D 21 01 47 6F 01 74 6F 01 74 68 65 01 6D 75 73 65 75 6D 21 C8 48 6F 01 68 6F 01 68 6F 21 01 48 6D 70 68 2E 2E 2E 01 68 6F 01 68 6F 01 68 6F 21 C0</x:v>
      </x:c>
      <x:c r="K420" s="23" t="str">
        <x:v>1CC 02B 014 03E 02B 014 03E 02B 014 03E 001 0A4 08B 0A3 084 01B 03F 035 1C8 0A4 08B 0A3 025 08D 016 024 01A 039 001 02B 014 03E 02B 014 03E 1C8 02B 084 015 001 02B 014 03E 02B 014 03E 02B 014 078 1C0</x:v>
      </x:c>
    </x:row>
    <x:row r="421">
      <x:c r="A421" s="22" t="str">
        <x:f>"01"</x:f>
        <x:v>01</x:v>
      </x:c>
      <x:c r="B421" s="22" t="str">
        <x:f>"A3"</x:f>
        <x:v>A3</x:v>
      </x:c>
      <x:c r="C421" s="22" t="str">
        <x:f>"0x01A3"</x:f>
        <x:v>0x01A3</x:v>
      </x:c>
      <x:c r="D421" s="21" t="str">
        <x:v>&lt;SPEAKER&gt;「どうじゃった? 伝説の話は?
じつに ミステリアスじゃろう?&lt;WAIT&gt;&lt;SPEAKER&gt;「何千年も むかしに そんな
すごいやつが いたなんて
そうぞうを ぜっするのう!</x:v>
      </x:c>
      <x:c r="E421" s="19" t="str">
        <x:v>&lt;SPEAKER&gt;Well? How was the
legend? Mysterious, wasn't it?&lt;WAIT&gt;&lt;SPEAKER&gt;To think someone so
remarkable lived thousands of
years ago... It boggles the mind!</x:v>
      </x:c>
      <x:c r="F421" s="20" t="str"/>
      <x:c r="G421" s="20" t="str"/>
      <x:c r="H421" s="23" t="str">
        <x:v>SPEAKER NEWLINE WAIT SPEAKER NEWLINE NEWLINE END</x:v>
      </x:c>
      <x:c r="I421" s="23" t="str">
        <x:v>EA:4D4B</x:v>
      </x:c>
      <x:c r="J421" s="23" t="str">
        <x:v>CC 57 65 6C 6C 3F 01 48 6F 77 01 77 61 73 01 74 68 65 C8 6C 65 67 65 6E 64 3F 01 4D 79 73 74 65 72 69 6F 75 73 2C 01 77 61 73 6E 27 74 01 69 74 3F C5 CC 54 6F 01 74 68 69 6E 6B 01 73 6F 6D 65 6F 6E 65 01 73 6F C8 72 65 6D 61 72 6B 61 62 6C 65 01 6C 69 76 65 64 01 74 68 6F 75 73 61 6E 64 73 01 6F 66 C8 79 65 61 72 73 01 61 67 6F 2E 2E 2E 01 49 74 01 62 6F 67 67 6C 65 73 01 74 68 65 01 6D 69 6E 64 21 C0</x:v>
      </x:c>
      <x:c r="K421" s="23" t="str">
        <x:v>1CC 084 023 012 084 01B 03F 03E 01F 079 001 092 08F 028 0A0 029 079 1C8 084 01B 021 025 001 061 04E 054 069 042 04E 084 01B 03F 03A 012 079 1C5 1CC 093 0BC 0CA 032 001 030 015 01B 025 001 01E 03D 024 1C8 01C 084 019 011 033 021 084 015 001 011 01F 024 03D 022 1C8 01E 012 084 01E 012 03C 001 084 01D 03E 01C 038 028 012 07A 1C0</x:v>
      </x:c>
    </x:row>
    <x:row r="422">
      <x:c r="A422" s="22" t="str">
        <x:f>"01"</x:f>
        <x:v>01</x:v>
      </x:c>
      <x:c r="B422" s="22" t="str">
        <x:f>"A4"</x:f>
        <x:v>A4</x:v>
      </x:c>
      <x:c r="C422" s="22" t="str">
        <x:f>"0x01A4"</x:f>
        <x:v>0x01A4</x:v>
      </x:c>
      <x:c r="D422" s="21" t="str">
        <x:v>&lt;SPEAKER&gt;「この島の伝説が 世界中に
ひろまって いろんなやつが
つぎから つぎへと 来るんだよ&lt;WAIT&gt;&lt;SPEAKER&gt;「学者とか 賞金かせぎとかね
まあ 島としては 観光客が
多い方が もうかるけどね</x:v>
      </x:c>
      <x:c r="E422" s="19" t="str">
        <x:v>&lt;SPEAKER&gt;The island's legend
spread worldwide, so all sorts
keep arriving one after another.&lt;WAIT&gt;&lt;SPEAKER&gt;Scholars, bounty hunters...
Well, more tourists means
more money for the island.</x:v>
      </x:c>
      <x:c r="F422" s="20" t="str"/>
      <x:c r="G422" s="20" t="str"/>
      <x:c r="H422" s="23" t="str">
        <x:v>SPEAKER NEWLINE NEWLINE WAIT SPEAKER NEWLINE NEWLINE END</x:v>
      </x:c>
      <x:c r="I422" s="23" t="str">
        <x:v>EA:4DD2</x:v>
      </x:c>
      <x:c r="J422" s="23" t="str">
        <x:v>CC 54 68 65 01 69 73 6C 61 6E 64 27 73 01 6C 65 67 65 6E 64 C8 73 70 72 65 61 64 01 77 6F 72 6C 64 77 69 64 65 2C 01 73 6F 01 61 6C 6C 01 73 6F 72 74 73 C8 6B 65 65 70 01 61 72 72 69 76 69 6E 67 01 6F 6E 65 01 61 66 74 65 72 01 61 6E 6F 74 68 65 72 2E C5 CC 53 63 68 6F 6C 61 72 73 2C 01 62 6F 75 6E 74 79 01 68 75 6E 74 65 72 73 2E 2E 2E C8 57 65 6C 6C 2C 01 6D 6F 72 65 01 74 6F 75 72 69 73 74 73 01 6D 65 61 6E 73 C8 6D 6F 72 65 01 6D 6F 6E 65 79 01 66 6F 72 01 74 68 65 01 69 73 6C 61 6E 64 2E C0</x:v>
      </x:c>
      <x:c r="K422" s="23" t="str">
        <x:v>1CC 019 028 08A 028 092 08F 084 015 001 0A9 103 0A1 025 1C8 02A 03A 02E 03E 022 001 011 03A 03D 024 033 021 084 015 1C8 021 084 016 015 036 001 021 084 016 02C 023 001 097 038 03D 084 01F 035 1C5 1CC 0B7 0A7 023 015 001 0C6 094 015 01D 084 016 023 015 027 1C8 02E 010 001 08A 023 01B 022 029 001 149 14A 0FD 084 015 1C8 0CE 011 0B9 084 015 001 032 012 015 038 018 084 023 027 1C0</x:v>
      </x:c>
    </x:row>
    <x:row r="423">
      <x:c r="A423" s="22" t="str">
        <x:f>"01"</x:f>
        <x:v>01</x:v>
      </x:c>
      <x:c r="B423" s="22" t="str">
        <x:f>"A5"</x:f>
        <x:v>A5</x:v>
      </x:c>
      <x:c r="C423" s="22" t="str">
        <x:f>"0x01A5"</x:f>
        <x:v>0x01A5</x:v>
      </x:c>
      <x:c r="D423" s="21" t="str">
        <x:v>&lt;SPEAKER&gt;「じつにきょうみぶかい!&lt;WAIT&gt;&lt;SPEAKER&gt;「わしも かがくしゃとして
ながねん やっておるけれども&lt;WAIT&gt;&lt;SPEAKER&gt;「この島の伝説ほど わしの情熱を
かきたてるものは ないわい</x:v>
      </x:c>
      <x:c r="E423" s="19" t="str">
        <x:v>&lt;SPEAKER&gt;Absolutely fascinating!&lt;WAIT&gt;&lt;SPEAKER&gt;I've been a scientist
for many years myself,&lt;WAIT&gt;&lt;SPEAKER&gt;but nothing stirs
my passion like the
legends of this island.</x:v>
      </x:c>
      <x:c r="F423" s="20" t="str"/>
      <x:c r="G423" s="20" t="str"/>
      <x:c r="H423" s="23" t="str">
        <x:v>SPEAKER WAIT SPEAKER NEWLINE WAIT SPEAKER NEWLINE NEWLINE END</x:v>
      </x:c>
      <x:c r="I423" s="23" t="str">
        <x:v>EA:4E79</x:v>
      </x:c>
      <x:c r="J423" s="23" t="str">
        <x:v>CC 41 62 73 6F 6C 75 74 65 6C 79 01 66 61 73 63 69 6E 61 74 69 6E 67 21 C5 CC 49 27 76 65 01 62 65 65 6E 01 61 01 73 63 69 65 6E 74 69 73 74 C8 66 6F 72 01 6D 61 6E 79 01 79 65 61 72 73 01 6D 79 73 65 6C 66 2C C5 CC 62 75 74 01 6E 6F 74 68 69 6E 67 01 73 74 69 72 73 C8 6D 79 01 70 61 73 73 69 6F 6E 01 6C 69 6B 65 01 74 68 65 C8 6C 65 67 65 6E 64 73 01 6F 66 01 74 68 69 73 01 69 73 6C 61 6E 64 2E C0</x:v>
      </x:c>
      <x:c r="K423" s="23" t="str">
        <x:v>1CC 084 01B 021 025 016 041 012 02F 084 02B 015 011 07A 1C5 1CC 03B 01B 032 001 015 084 015 017 01B 03F 023 01B 022 1C8 024 084 015 027 03D 001 033 03E 022 014 038 018 039 084 023 032 1C5 1CC 019 028 08A 028 092 08F 02D 084 023 001 03B 01B 028 0AD 185 03C 1C8 015 016 01F 022 038 032 028 029 001 024 011 03B 011 1C0</x:v>
      </x:c>
    </x:row>
    <x:row r="424">
      <x:c r="A424" s="22" t="str">
        <x:f>"01"</x:f>
        <x:v>01</x:v>
      </x:c>
      <x:c r="B424" s="22" t="str">
        <x:f>"A6"</x:f>
        <x:v>A6</x:v>
      </x:c>
      <x:c r="C424" s="22" t="str">
        <x:f>"0x01A6"</x:f>
        <x:v>0x01A6</x:v>
      </x:c>
      <x:c r="D424" s="21" t="str">
        <x:v>&lt;SPEAKER&gt;「おねーちゃん かわいいねー
その かちきな ひとみは
ぼくを ぞくぞく させるぜ</x:v>
      </x:c>
      <x:c r="E424" s="19" t="str">
        <x:v>&lt;SPEAKER&gt;Hey, cutie. Those fiery
eyes of yours give me chills.</x:v>
      </x:c>
      <x:c r="F424" s="20" t="str"/>
      <x:c r="G424" s="20" t="str"/>
      <x:c r="H424" s="23" t="str">
        <x:v>SPEAKER NEWLINE END</x:v>
      </x:c>
      <x:c r="I424" s="23" t="str">
        <x:v>EA:4EFF</x:v>
      </x:c>
      <x:c r="J424" s="23" t="str">
        <x:v>CC 48 65 79 2C 01 63 75 74 69 65 2E 01 54 68 6F 73 65 01 66 69 65 72 79 C8 65 79 65 73 01 6F 66 01 79 6F 75 72 73 01 67 69 76 65 01 6D 65 01 63 68 69 6C 6C 73 2E C0</x:v>
      </x:c>
      <x:c r="K424" s="23" t="str">
        <x:v>1CC 014 027 078 020 03F 03D 001 015 03B 011 011 027 078 1C8 01E 028 001 015 020 016 024 001 02A 023 02F 029 1C8 084 02D 017 03C 001 084 01E 017 084 01E 017 001 01A 01D 038 084 01D 1C0</x:v>
      </x:c>
    </x:row>
    <x:row r="425">
      <x:c r="A425" s="22" t="str">
        <x:f>"01"</x:f>
        <x:v>01</x:v>
      </x:c>
      <x:c r="B425" s="22" t="str">
        <x:f>"A7"</x:f>
        <x:v>A7</x:v>
      </x:c>
      <x:c r="C425" s="22" t="str">
        <x:f>"0x01A7"</x:f>
        <x:v>0x01A7</x:v>
      </x:c>
      <x:c r="D425" s="21" t="str">
        <x:v>&lt;SPEAKER&gt;「キングにんぎょうは
この島に 古くからつたわる
みんげいひんなんだ&lt;WAIT&gt;&lt;SPEAKER&gt;「モンスターにであったら
キングにんぎょうを えいやっと
さしだすと にげていくんだよ</x:v>
      </x:c>
      <x:c r="E425" s="19" t="str">
        <x:v>&lt;SPEAKER&gt;The King Doll is a folk
craft handed down on this island.&lt;WAIT&gt;&lt;SPEAKER&gt;When a monster
appears, thrust the King Doll
at it and it'll run away.</x:v>
      </x:c>
      <x:c r="F425" s="20" t="str"/>
      <x:c r="G425" s="20" t="str"/>
      <x:c r="H425" s="23" t="str">
        <x:v>SPEAKER NEWLINE WAIT SPEAKER NEWLINE NEWLINE END</x:v>
      </x:c>
      <x:c r="I425" s="23" t="str">
        <x:v>EA:4F36</x:v>
      </x:c>
      <x:c r="J425" s="23" t="str">
        <x:v>CC 54 68 65 01 4B 69 6E 67 01 44 6F 6C 6C 01 69 73 01 61 01 66 6F 6C 6B C8 63 72 61 66 74 01 68 61 6E 64 65 64 01 64 6F 77 6E 01 6F 6E 01 74 68 69 73 01 69 73 6C 61 6E 64 2E C5 CC 57 68 65 6E 01 61 01 6D 6F 6E 73 74 65 72 C8 61 70 70 65 61 72 73 2C 01 74 68 72 75 73 74 01 74 68 65 01 4B 69 6E 67 01 44 6F 6C 6C C8 61 74 01 69 74 01 61 6E 64 01 69 74 27 6C 6C 01 72 75 6E 01 61 77 61 79 2E C0</x:v>
      </x:c>
      <x:c r="K425" s="23" t="str">
        <x:v>1CC 048 06F 084 049 025 03D 084 016 041 012 029 1C8 019 028 08A 025 001 096 017 015 036 021 01F 03B 038 1C8 02F 03D 084 018 011 02A 03D 024 03D 084 01F 1C5 1CC 064 06F 04E 051 078 025 084 022 010 03E 01F 036 1C8 048 06F 084 049 025 03D 084 016 041 012 03C 001 013 011 033 03E 023 1C8 01A 01B 084 01F 01C 023 001 025 084 018 022 011 017 03D 084 01F 035 1C0</x:v>
      </x:c>
    </x:row>
    <x:row r="426">
      <x:c r="A426" s="22" t="str">
        <x:f>"01"</x:f>
        <x:v>01</x:v>
      </x:c>
      <x:c r="B426" s="22" t="str">
        <x:f>"A8"</x:f>
        <x:v>A8</x:v>
      </x:c>
      <x:c r="C426" s="22" t="str">
        <x:f>"0x01A8"</x:f>
        <x:v>0x01A8</x:v>
      </x:c>
      <x:c r="D426" s="21" t="str">
        <x:v>&lt;SPEAKER&gt;「うおー やっと ついたかーっ!
すーはー すーはー
うーん 異国の においじゃのー</x:v>
      </x:c>
      <x:c r="E426" s="19" t="str">
        <x:v>&lt;SPEAKER&gt;Whoa! Finally made
it! Huff... huff... Mmm, the
scent of foreign lands!</x:v>
      </x:c>
      <x:c r="F426" s="20" t="str"/>
      <x:c r="G426" s="20" t="str"/>
      <x:c r="H426" s="23" t="str">
        <x:v>SPEAKER NEWLINE NEWLINE END</x:v>
      </x:c>
      <x:c r="I426" s="23" t="str">
        <x:v>EA:4FB9</x:v>
      </x:c>
      <x:c r="J426" s="23" t="str">
        <x:v>CC 57 68 6F 61 21 01 46 69 6E 61 6C 6C 79 01 6D 61 64 65 C8 69 74 21 01 48 75 66 66 2E 2E 2E 01 68 75 66 66 2E 2E 2E 01 4D 6D 6D 2C 01 74 68 65 C8 73 63 65 6E 74 01 6F 66 01 66 6F 72 65 69 67 6E 01 6C 61 6E 64 73 21 C0</x:v>
      </x:c>
      <x:c r="K426" s="23" t="str">
        <x:v>1CC 012 014 078 001 033 03E 023 001 021 011 01F 015 078 03E 07A 1C8 01C 078 029 078 001 01C 078 029 078 1C8 012 078 03D 001 196 0EB 028 001 025 014 011 084 01B 03F 028 078 1C0</x:v>
      </x:c>
    </x:row>
    <x:row r="427">
      <x:c r="A427" s="22" t="str">
        <x:f>"01"</x:f>
        <x:v>01</x:v>
      </x:c>
      <x:c r="B427" s="22" t="str">
        <x:f>"A9"</x:f>
        <x:v>A9</x:v>
      </x:c>
      <x:c r="C427" s="22" t="str">
        <x:f>"0x01A9"</x:f>
        <x:v>0x01A9</x:v>
      </x:c>
      <x:c r="D427" s="21" t="str">
        <x:v>&lt;SPEAKER&gt;「ん? あんたも 財宝さがしに
この島に やって来たくちかい?</x:v>
      </x:c>
      <x:c r="E427" s="19" t="str">
        <x:v>&lt;SPEAKER&gt;Hm? Did you
come to this island
looking for treasure too?</x:v>
      </x:c>
      <x:c r="F427" s="20" t="str"/>
      <x:c r="G427" s="20" t="str"/>
      <x:c r="H427" s="23" t="str">
        <x:v>SPEAKER NEWLINE NEWLINE END</x:v>
      </x:c>
      <x:c r="I427" s="23" t="str">
        <x:v>EA:5002</x:v>
      </x:c>
      <x:c r="J427" s="23" t="str">
        <x:v>CC 48 6D 3F 01 44 69 64 01 79 6F 75 C8 63 6F 6D 65 01 74 6F 01 74 68 69 73 01 69 73 6C 61 6E 64 C8 6C 6F 6F 6B 69 6E 67 01 66 6F 72 01 74 72 65 61 73 75 72 65 01 74 6F 6F 3F C0</x:v>
      </x:c>
      <x:c r="K427" s="23" t="str">
        <x:v>1CC 03D 079 001 010 03D 01F 032 001 0E8 095 01A 084 015 01B 025 1C8 019 028 08A 025 001 033 03E 022 097 01F 017 020 015 011 079 1C0</x:v>
      </x:c>
    </x:row>
    <x:row r="428">
      <x:c r="A428" s="22" t="str">
        <x:f>"01"</x:f>
        <x:v>01</x:v>
      </x:c>
      <x:c r="B428" s="22" t="str">
        <x:f>"AA"</x:f>
        <x:v>AA</x:v>
      </x:c>
      <x:c r="C428" s="22" t="str">
        <x:f>"0x01AA"</x:f>
        <x:v>0x01AA</x:v>
      </x:c>
      <x:c r="D428" s="21" t="str">
        <x:v>&lt;SPEAKER&gt;「やっぱりそうかー! くーっ!
んーっ うかうかしてられんなー
いそがねば いそがねば</x:v>
      </x:c>
      <x:c r="E428" s="19" t="str">
        <x:v>&lt;SPEAKER&gt;I knew it! Damn!
Can't sit around now.
Gotta hurry, gotta hurry!</x:v>
      </x:c>
      <x:c r="F428" s="20" t="str"/>
      <x:c r="G428" s="20" t="str"/>
      <x:c r="H428" s="23" t="str">
        <x:v>SPEAKER NEWLINE NEWLINE END</x:v>
      </x:c>
      <x:c r="I428" s="23" t="str">
        <x:v>EA:503D</x:v>
      </x:c>
      <x:c r="J428" s="23" t="str">
        <x:v>CC 49 01 6B 6E 65 77 01 69 74 21 01 44 61 6D 6E 21 C8 43 61 6E 27 74 01 73 69 74 01 61 72 6F 75 6E 64 01 6E 6F 77 2E C8 47 6F 74 74 61 01 68 75 72 72 79 2C 01 67 6F 74 74 61 01 68 75 72 72 79 21 C0</x:v>
      </x:c>
      <x:c r="K428" s="23" t="str">
        <x:v>1CC 033 03E 083 029 037 01E 012 015 078 07A 001 017 078 03E 07A 1C8 03D 078 03E 001 012 015 012 015 01B 022 036 039 03D 024 078 1C8 011 01E 084 015 027 084 029 001 011 01E 084 015 027 084 029 1C0</x:v>
      </x:c>
    </x:row>
    <x:row r="429">
      <x:c r="A429" s="22" t="str">
        <x:f>"01"</x:f>
        <x:v>01</x:v>
      </x:c>
      <x:c r="B429" s="22" t="str">
        <x:f>"AB"</x:f>
        <x:v>AB</x:v>
      </x:c>
      <x:c r="C429" s="22" t="str">
        <x:f>"0x01AB"</x:f>
        <x:v>0x01AB</x:v>
      </x:c>
      <x:c r="D429" s="21" t="str">
        <x:v>&lt;SPEAKER&gt;「え? ちがう? ふーむ 何?
歴史の べんきょうに 来ただと?
くはー はははは なるほど!&lt;WAIT&gt;&lt;SPEAKER&gt;「たしかに このデスランドほど
きょうみぶかい場所は ないからな
まあ せいぜい べんきょうせいや&lt;WAIT&gt;&lt;SPEAKER&gt;「それじゃあ おれも いっちょ
べんきょうしに 行くかな!
くははは じゃあな ねーちゃん!</x:v>
      </x:c>
      <x:c r="E429" s="19" t="str">
        <x:v>&lt;SPEAKER&gt;What? No? Then
what? You came to study
history? Ha ha ha! I see!&lt;WAIT&gt;&lt;SPEAKER&gt;Well, there aren't
many places as fascinating as
Deathland. Study hard, I guess.&lt;WAIT&gt;&lt;SPEAKER&gt;Maybe I'll go do
a little studying myself!
Ha ha! See you, sis!</x:v>
      </x:c>
      <x:c r="F429" s="20" t="str"/>
      <x:c r="G429" s="20" t="str"/>
      <x:c r="H429" s="23" t="str">
        <x:v>SPEAKER NEWLINE NEWLINE WAIT SPEAKER NEWLINE NEWLINE WAIT SPEAKER NEWLINE NEWLINE END</x:v>
      </x:c>
      <x:c r="I429" s="23" t="str">
        <x:v>EA:507F</x:v>
      </x:c>
      <x:c r="J429" s="23" t="str">
        <x:v>CC 57 68 61 74 3F 01 4E 6F 3F 01 54 68 65 6E C8 77 68 61 74 3F 01 59 6F 75 01 63 61 6D 65 01 74 6F 01 73 74 75 64 79 C8 68 69 73 74 6F 72 79 3F 01 48 61 01 68 61 01 68 61 21 01 49 01 73 65 65 21 C5 CC 57 65 6C 6C 2C 01 74 68 65 72 65 01 61 72 65 6E 27 74 C8 6D 61 6E 79 01 70 6C 61 63 65 73 01 61 73 01 66 61 73 63 69 6E 61 74 69 6E 67 01 61 73 C8 44 65 61 74 68 6C 61 6E 64 2E 01 53 74 75 64 79 01 68 61 72 64 2C 01 49 01 67 75 65 73 73 2E C5 CC 4D 61 79 62 65 01 49 27 6C 6C 01 67 6F 01 64 6F C8 61 01 6C 69 74 74 6C 65 01 73 74 75 64 79 69 6E 67 01 6D 79 73 65 6C 66 21 C8 48 61 01 68 61 21 01 53 65 65 01 79 6F 75 2C 01 73 69 73 21 C0</x:v>
      </x:c>
      <x:c r="K429" s="23" t="str">
        <x:v>1CC 013 079 001 020 084 015 012 079 001 02B 078 030 001 093 079 1C8 0EA 0E6 028 001 084 02C 03D 016 041 012 025 001 097 01F 084 01F 023 079 1C8 017 029 078 001 029 029 029 029 001 024 038 02D 084 023 07A 1C5 1CC 01F 01B 015 025 001 019 028 084 054 04E 068 06F 084 055 02D 084 023 1C8 016 041 012 02F 084 02B 015 011 0A5 12F 029 001 024 011 015 036 024 1C8 02E 010 001 01D 011 084 01D 011 001 084 02C 03D 016 041 012 01D 011 033 1C5 1CC 01E 039 084 01B 03F 010 001 014 039 032 001 011 03E 020 041 1C8 084 02C 03D 016 041 012 01B 025 001 08D 017 015 024 07A 1C8 017 029 029 029 001 084 01B 03F 010 024 001 027 078 020 03F 03D 07A 1C0</x:v>
      </x:c>
    </x:row>
    <x:row r="430">
      <x:c r="A430" s="22" t="str">
        <x:f>"01"</x:f>
        <x:v>01</x:v>
      </x:c>
      <x:c r="B430" s="22" t="str">
        <x:f>"AC"</x:f>
        <x:v>AC</x:v>
      </x:c>
      <x:c r="C430" s="22" t="str">
        <x:f>"0x01AC"</x:f>
        <x:v>0x01AC</x:v>
      </x:c>
      <x:c r="D430" s="21" t="str">
        <x:v>&lt;SPEAKER&gt;「もう 誰も おらんよ
おんな こどもは ふねで
ひなんしてしまったし&lt;WAIT&gt;&lt;SPEAKER&gt;「観光客は みな
われさきにと かえっていったよ</x:v>
      </x:c>
      <x:c r="E430" s="19" t="str">
        <x:v>&lt;SPEAKER&gt;No one is left
here now. The women and
children evacuated by ship.&lt;WAIT&gt;&lt;SPEAKER&gt;All the tourists raced
home as fast as they could.</x:v>
      </x:c>
      <x:c r="F430" s="20" t="str"/>
      <x:c r="G430" s="20" t="str"/>
      <x:c r="H430" s="23" t="str">
        <x:v>SPEAKER NEWLINE NEWLINE WAIT SPEAKER NEWLINE END</x:v>
      </x:c>
      <x:c r="I430" s="23" t="str">
        <x:v>EA:5154</x:v>
      </x:c>
      <x:c r="J430" s="23" t="str">
        <x:v>CC 4E 6F 01 6F 6E 65 01 69 73 01 6C 65 66 74 C8 68 65 72 65 01 6E 6F 77 2E 01 54 68 65 01 77 6F 6D 65 6E 01 61 6E 64 C8 63 68 69 6C 64 72 65 6E 01 65 76 61 63 75 61 74 65 64 01 62 79 01 73 68 69 70 2E C5 CC 41 6C 6C 01 74 68 65 01 74 6F 75 72 69 73 74 73 01 72 61 63 65 64 C8 68 6F 6D 65 01 61 73 01 66 61 73 74 01 61 73 01 74 68 65 79 01 63 6F 75 6C 64 2E C0</x:v>
      </x:c>
      <x:c r="K430" s="23" t="str">
        <x:v>1CC 032 012 001 0FA 032 001 014 036 03D 035 1C8 014 03D 024 001 019 084 023 032 029 001 02B 027 084 022 1C8 02A 024 03D 01B 022 01B 02E 03E 01F 01B 1C5 1CC 149 14A 0FD 029 001 02F 024 1C8 03B 039 01A 016 025 023 001 015 013 03E 022 011 03E 01F 035 1C0</x:v>
      </x:c>
    </x:row>
    <x:row r="431">
      <x:c r="A431" s="22" t="str">
        <x:f>"01"</x:f>
        <x:v>01</x:v>
      </x:c>
      <x:c r="B431" s="22" t="str">
        <x:f>"AD"</x:f>
        <x:v>AD</x:v>
      </x:c>
      <x:c r="C431" s="22" t="str">
        <x:f>"0x01AD"</x:f>
        <x:v>0x01AD</x:v>
      </x:c>
      <x:c r="D431" s="21" t="str">
        <x:v>&lt;SPEAKER&gt;「魔物に 島を のっとられたら
おれは るろうの 民だ!
デスランド難民だよ とほほ</x:v>
      </x:c>
      <x:c r="E431" s="19" t="str">
        <x:v>&lt;SPEAKER&gt;If monsters take the
island, I'll be a wanderer!
A Deathland refugee... sob.</x:v>
      </x:c>
      <x:c r="F431" s="20" t="str"/>
      <x:c r="G431" s="20" t="str"/>
      <x:c r="H431" s="23" t="str">
        <x:v>SPEAKER NEWLINE NEWLINE END</x:v>
      </x:c>
      <x:c r="I431" s="23" t="str">
        <x:v>EA:51CC</x:v>
      </x:c>
      <x:c r="J431" s="23" t="str">
        <x:v>CC 49 66 01 6D 6F 6E 73 74 65 72 73 01 74 61 6B 65 01 74 68 65 C8 69 73 6C 61 6E 64 2C 01 49 27 6C 6C 01 62 65 01 61 01 77 61 6E 64 65 72 65 72 21 C8 41 01 44 65 61 74 68 6C 61 6E 64 01 72 65 66 75 67 65 65 2E 2E 2E 01 73 6F 62 2E C0</x:v>
      </x:c>
      <x:c r="K431" s="23" t="str">
        <x:v>1CC 09A 08B 025 001 08A 03C 001 028 03E 023 036 039 01F 036 1C8 014 039 029 001 038 03A 012 028 001 14B 084 01F 07A 1C8 084 054 04E 068 06F 084 055 17A 14B 084 01F 035 001 023 02D 02D 1C0</x:v>
      </x:c>
    </x:row>
    <x:row r="432">
      <x:c r="A432" s="22" t="str">
        <x:f>"01"</x:f>
        <x:v>01</x:v>
      </x:c>
      <x:c r="B432" s="22" t="str">
        <x:f>"AE"</x:f>
        <x:v>AE</x:v>
      </x:c>
      <x:c r="C432" s="22" t="str">
        <x:f>"0x01AE"</x:f>
        <x:v>0x01AE</x:v>
      </x:c>
      <x:c r="D432" s="21" t="str">
        <x:v>&lt;SPEAKER&gt;「おくすりは たっぷり
買っとかないと くろうするよ</x:v>
      </x:c>
      <x:c r="E432" s="19" t="str">
        <x:v>&lt;SPEAKER&gt;Stock up on
plenty of Medicine or
you will regret it later.</x:v>
      </x:c>
      <x:c r="F432" s="20" t="str"/>
      <x:c r="G432" s="20" t="str"/>
      <x:c r="H432" s="23" t="str">
        <x:v>SPEAKER NEWLINE NEWLINE END</x:v>
      </x:c>
      <x:c r="I432" s="23" t="str">
        <x:v>EA:521A</x:v>
      </x:c>
      <x:c r="J432" s="23" t="str">
        <x:v>CC 53 74 6F 63 6B 01 75 70 01 6F 6E C8 70 6C 65 6E 74 79 01 6F 66 01 4D 65 64 69 63 69 6E 65 01 6F 72 C8 79 6F 75 01 77 69 6C 6C 01 72 65 67 72 65 74 01 69 74 01 6C 61 74 65 72 2E C0</x:v>
      </x:c>
      <x:c r="K432" s="23" t="str">
        <x:v>1CC 014 017 01C 037 029 001 01F 03E 083 02B 037 1C8 0A8 03E 023 015 024 011 023 001 017 03A 012 01C 038 035 1C0</x:v>
      </x:c>
    </x:row>
    <x:row r="433">
      <x:c r="A433" s="22" t="str">
        <x:f>"01"</x:f>
        <x:v>01</x:v>
      </x:c>
      <x:c r="B433" s="22" t="str">
        <x:f>"AF"</x:f>
        <x:v>AF</x:v>
      </x:c>
      <x:c r="C433" s="22" t="str">
        <x:f>"0x01AF"</x:f>
        <x:v>0x01AF</x:v>
      </x:c>
      <x:c r="D433" s="21" t="str">
        <x:v>&lt;SPEAKER&gt;「みやげは 何に しようかなあ
古代の本 でも 買って
べんきょう しようかな</x:v>
      </x:c>
      <x:c r="E433" s="19" t="str">
        <x:v>&lt;SPEAKER&gt;What should I get as a
souvenir? Maybe an Ancient Book.
Could learn something for once.</x:v>
      </x:c>
      <x:c r="F433" s="20" t="str"/>
      <x:c r="G433" s="20" t="str"/>
      <x:c r="H433" s="23" t="str">
        <x:v>SPEAKER NEWLINE NEWLINE END</x:v>
      </x:c>
      <x:c r="I433" s="23" t="str">
        <x:v>EA:5257</x:v>
      </x:c>
      <x:c r="J433" s="23" t="str">
        <x:v>CC 57 68 61 74 01 73 68 6F 75 6C 64 01 49 01 67 65 74 01 61 73 01 61 C8 73 6F 75 76 65 6E 69 72 3F 01 4D 61 79 62 65 01 61 6E 01 41 6E 63 69 65 6E 74 01 42 6F 6F 6B 2E C8 43 6F 75 6C 64 01 6C 65 61 72 6E 01 73 6F 6D 65 74 68 69 6E 67 01 66 6F 72 01 6F 6E 63 65 2E C0</x:v>
      </x:c>
      <x:c r="K433" s="23" t="str">
        <x:v>1CC 02F 033 084 018 029 001 093 025 001 01B 035 012 015 024 010 1C8 096 09F 028 13A 001 084 022 032 001 0A8 03E 022 1C8 084 02C 03D 016 041 012 001 01B 035 012 015 024 1C0</x:v>
      </x:c>
    </x:row>
    <x:row r="434">
      <x:c r="A434" s="22" t="str">
        <x:f>"01"</x:f>
        <x:v>01</x:v>
      </x:c>
      <x:c r="B434" s="22" t="str">
        <x:f>"B0"</x:f>
        <x:v>B0</x:v>
      </x:c>
      <x:c r="C434" s="22" t="str">
        <x:f>"0x01B0"</x:f>
        <x:v>0x01B0</x:v>
      </x:c>
      <x:c r="D434" s="21" t="str">
        <x:v>&lt;SPEAKER&gt;「わしは ばあさんと いっしょに
宝さがしに きたんじゃ&lt;WAIT&gt;&lt;SPEAKER&gt;「じゃがのう わしだけ 審査に
おちて しもうたんじゃ&lt;WAIT&gt;&lt;SPEAKER&gt;「わしは はずかしいわい!</x:v>
      </x:c>
      <x:c r="E434" s="19" t="str">
        <x:v>&lt;SPEAKER&gt;My wife and I came
here to hunt for treasure.&lt;WAIT&gt;&lt;SPEAKER&gt;But I was the only
one who failed the test.&lt;WAIT&gt;&lt;SPEAKER&gt;How embarrassing!</x:v>
      </x:c>
      <x:c r="F434" s="20" t="str"/>
      <x:c r="G434" s="20" t="str"/>
      <x:c r="H434" s="23" t="str">
        <x:v>SPEAKER NEWLINE WAIT SPEAKER NEWLINE WAIT SPEAKER END</x:v>
      </x:c>
      <x:c r="I434" s="23" t="str">
        <x:v>EA:52B0</x:v>
      </x:c>
      <x:c r="J434" s="23" t="str">
        <x:v>CC 4D 79 01 77 69 66 65 01 61 6E 64 01 49 01 63 61 6D 65 C8 68 65 72 65 01 74 6F 01 68 75 6E 74 01 66 6F 72 01 74 72 65 61 73 75 72 65 2E C5 CC 42 75 74 01 49 01 77 61 73 01 74 68 65 01 6F 6E 6C 79 C8 6F 6E 65 01 77 68 6F 01 66 61 69 6C 65 64 01 74 68 65 01 74 65 73 74 2E C5 CC 48 6F 77 01 65 6D 62 61 72 72 61 73 73 69 6E 67 21 C0</x:v>
      </x:c>
      <x:c r="K434" s="23" t="str">
        <x:v>1CC 03B 01B 029 001 084 029 010 01A 03D 023 001 011 03E 01B 041 025 1C8 095 01A 084 015 01B 025 001 016 01F 03D 084 01B 03F 1C5 1CC 084 01B 03F 084 015 028 012 001 03B 01B 084 01F 018 001 0AB 0AA 025 1C8 014 020 022 001 01B 032 012 01F 03D 084 01B 03F 1C5 1CC 03B 01B 029 001 029 084 01C 015 01B 011 03B 011 07A 1C0</x:v>
      </x:c>
    </x:row>
    <x:row r="435">
      <x:c r="A435" s="22" t="str">
        <x:f>"01"</x:f>
        <x:v>01</x:v>
      </x:c>
      <x:c r="B435" s="22" t="str">
        <x:f>"B1"</x:f>
        <x:v>B1</x:v>
      </x:c>
      <x:c r="C435" s="22" t="str">
        <x:f>"0x01B1"</x:f>
        <x:v>0x01B1</x:v>
      </x:c>
      <x:c r="D435" s="21" t="str">
        <x:v>&lt;SPEAKER&gt;「ここは 入島審査場です
説明を お聞きになりますか?</x:v>
      </x:c>
      <x:c r="E435" s="19" t="str">
        <x:v>&lt;SPEAKER&gt;This is the island
entrance exam. Would
you like an explanation?</x:v>
      </x:c>
      <x:c r="F435" s="20" t="str"/>
      <x:c r="G435" s="20" t="str"/>
      <x:c r="H435" s="23" t="str">
        <x:v>SPEAKER NEWLINE NEWLINE END</x:v>
      </x:c>
      <x:c r="I435" s="23" t="str">
        <x:v>EA:531F</x:v>
      </x:c>
      <x:c r="J435" s="23" t="str">
        <x:v>CC 54 68 69 73 01 69 73 01 74 68 65 01 69 73 6C 61 6E 64 C8 65 6E 74 72 61 6E 63 65 01 65 78 61 6D 2E 01 57 6F 75 6C 64 C8 79 6F 75 01 6C 69 6B 65 01 61 6E 01 65 78 70 6C 61 6E 61 74 69 6F 6E 3F C0</x:v>
      </x:c>
      <x:c r="K435" s="23" t="str">
        <x:v>1CC 019 019 029 001 08E 08A 0AB 0AA 0A5 084 022 01C 1C8 08F 0BF 03C 001 014 0A6 016 025 024 037 02E 01C 015 079 1C0</x:v>
      </x:c>
    </x:row>
    <x:row r="436">
      <x:c r="A436" s="22" t="str">
        <x:f>"01"</x:f>
        <x:v>01</x:v>
      </x:c>
      <x:c r="B436" s="22" t="str">
        <x:f>"B2"</x:f>
        <x:v>B2</x:v>
      </x:c>
      <x:c r="C436" s="22" t="str">
        <x:f>"0x01B2"</x:f>
        <x:v>0x01B2</x:v>
      </x:c>
      <x:c r="D436" s="21" t="str">
        <x:v>&lt;SPEAKER&gt;「デスランド島には いまも まだ
ひとを おそう モンスターが
かなり たくさん いるのです&lt;WAIT&gt;&lt;SPEAKER&gt;「ですから 島の内部へ 行くには
あるていどの 武芸の能力がないと
命を おとしてしまいます&lt;WAIT&gt;&lt;SPEAKER&gt;「はじめて この島へ 来たかたは
まず この入島審査場にて
審査を 受けていただくのです&lt;WAIT&gt;&lt;SPEAKER&gt;「審査を お受けになりますか?</x:v>
      </x:c>
      <x:c r="E436" s="19" t="str">
        <x:v>&lt;SPEAKER&gt;Many monsters still
live on Deathland Island,
and they attack people.&lt;WAIT&gt;&lt;SPEAKER&gt;Anyone going deeper
inland needs some fighting ability,
or they could lose their life.&lt;WAIT&gt;&lt;SPEAKER&gt;First-time visitors
must take the exam
here before entering.&lt;WAIT&gt;&lt;SPEAKER&gt;Will you take the exam?</x:v>
      </x:c>
      <x:c r="F436" s="20" t="str"/>
      <x:c r="G436" s="20" t="str"/>
      <x:c r="H436" s="23" t="str">
        <x:v>SPEAKER NEWLINE NEWLINE WAIT SPEAKER NEWLINE NEWLINE WAIT SPEAKER NEWLINE NEWLINE WAIT SPEAKER END</x:v>
      </x:c>
      <x:c r="I436" s="23" t="str">
        <x:v>EA:5361</x:v>
      </x:c>
      <x:c r="J436" s="23" t="str">
        <x:v>CC 4D 61 6E 79 01 6D 6F 6E 73 74 65 72 73 01 73 74 69 6C 6C C8 6C 69 76 65 01 6F 6E 01 44 65 61 74 68 6C 61 6E 64 01 49 73 6C 61 6E 64 2C C8 61 6E 64 01 74 68 65 79 01 61 74 74 61 63 6B 01 70 65 6F 70 6C 65 2E C5 CC 41 6E 79 6F 6E 65 01 67 6F 69 6E 67 01 64 65 65 70 65 72 C8 69 6E 6C 61 6E 64 01 6E 65 65 64 73 01 73 6F 6D 65 01 66 69 67 68 74 69 6E 67 01 61 62 69 6C 69 74 79 2C C8 6F 72 01 74 68 65 79 01 63 6F 75 6C 64 01 6C 6F 73 65 01 74 68 65 69 72 01 6C 69 66 65 2E C5 CC 46 69 72 73 74 2D 74 69 6D 65 01 76 69 73 69 74 6F 72 73 C8 6D 75 73 74 01 74 61 6B 65 01 74 68 65 01 65 78 61 6D C8 68 65 72 65 01 62 65 66 6F 72 65 01 65 6E 74 65 72 69 6E 67 2E C5 CC 57 69 6C 6C 01 79 6F 75 01 74 61 6B 65 01 74 68 65 01 65 78 61 6D 3F C0</x:v>
      </x:c>
      <x:c r="K436" s="23" t="str">
        <x:v>1CC 084 054 04E 068 06F 084 055 08A 025 029 001 011 02E 032 001 02E 084 01F 1C8 02A 023 03C 001 014 01E 012 001 064 06F 04E 051 078 084 015 1C8 015 024 037 001 01F 017 01A 03D 001 011 038 028 084 022 01C 1C5 1CC 084 022 01C 015 036 001 08A 028 0DF 0DA 02C 001 08D 017 025 029 1C8 010 038 022 011 084 023 028 001 0CB 0DE 028 14C 107 084 015 024 011 023 1C8 0EE 03C 001 014 023 01B 022 01B 02E 011 02E 01C 1C5 1CC 029 084 01B 031 022 001 019 028 08A 02C 001 097 01F 015 01F 029 1C8 02E 084 01C 001 019 028 08E 08A 0AB 0AA 0A5 025 022 1C8 0AB 0AA 03C 001 0F5 018 022 011 01F 084 01F 017 028 084 022 01C 1C5 1CC 0AB 0AA 03C 001 014 0F5 018 025 024 037 02E 01C 015 079 1C0</x:v>
      </x:c>
    </x:row>
    <x:row r="437">
      <x:c r="A437" s="22" t="str">
        <x:f>"01"</x:f>
        <x:v>01</x:v>
      </x:c>
      <x:c r="B437" s="22" t="str">
        <x:f>"B3"</x:f>
        <x:v>B3</x:v>
      </x:c>
      <x:c r="C437" s="22" t="str">
        <x:f>"0x01B3"</x:f>
        <x:v>0x01B3</x:v>
      </x:c>
      <x:c r="D437" s="21" t="str">
        <x:v>&lt;SPEAKER&gt;「それでは おくの とびらから
お進みくださいませ&lt;WAIT&gt;&lt;SPEAKER&gt;「審査場の いちばん おくに
デスランド歴史博物館が あります
そこまで 行ければ ごうかくです&lt;WAIT&gt;&lt;SPEAKER&gt;「ごうかくすれば 博物館で
入島ビザが 発行されます
それでは グッド ラック!</x:v>
      </x:c>
      <x:c r="E437" s="19" t="str">
        <x:v>&lt;SPEAKER&gt;Then proceed through
the door in the back.&lt;WAIT&gt;&lt;SPEAKER&gt;At the far end of the
course is the Deathland History
Museum. Reach it and you pass.&lt;WAIT&gt;&lt;SPEAKER&gt;Once you pass, the
museum will issue your
island Visa. Good luck!</x:v>
      </x:c>
      <x:c r="F437" s="20" t="str"/>
      <x:c r="G437" s="20" t="str"/>
      <x:c r="H437" s="23" t="str">
        <x:v>SPEAKER NEWLINE WAIT SPEAKER NEWLINE NEWLINE WAIT SPEAKER NEWLINE NEWLINE END</x:v>
      </x:c>
      <x:c r="I437" s="23" t="str">
        <x:v>EA:5457</x:v>
      </x:c>
      <x:c r="J437" s="23" t="str">
        <x:v>CC 54 68 65 6E 01 70 72 6F 63 65 65 64 01 74 68 72 6F 75 67 68 C8 74 68 65 01 64 6F 6F 72 01 69 6E 01 74 68 65 01 62 61 63 6B 2E C5 CC 41 74 01 74 68 65 01 66 61 72 01 65 6E 64 01 6F 66 01 74 68 65 C8 63 6F 75 72 73 65 01 69 73 01 74 68 65 01 44 65 61 74 68 6C 61 6E 64 01 48 69 73 74 6F 72 79 C8 4D 75 73 65 75 6D 2E 01 52 65 61 63 68 01 69 74 01 61 6E 64 01 79 6F 75 01 70 61 73 73 2E C5 CC 4F 6E 63 65 01 79 6F 75 01 70 61 73 73 2C 01 74 68 65 C8 6D 75 73 65 75 6D 01 77 69 6C 6C 01 69 73 73 75 65 01 79 6F 75 72 C8 69 73 6C 61 6E 64 01 56 69 73 61 2E 01 47 6F 6F 64 01 6C 75 63 6B 21 C0</x:v>
      </x:c>
      <x:c r="K437" s="23" t="str">
        <x:v>1CC 01E 039 084 022 029 001 014 017 028 001 023 084 02A 036 015 036 1C8 014 15D 02F 017 084 01F 01A 011 02E 01D 1C5 1CC 0AB 0AA 0A5 028 001 011 020 084 029 03D 001 014 017 025 1C8 084 054 04E 068 06F 084 055 0EA 0E6 0A4 08B 0A3 084 015 001 010 037 02E 01C 1C8 01E 019 02E 084 022 001 08D 018 039 084 029 001 084 019 012 015 017 084 022 01C 1C5 1CC 084 019 012 015 017 01C 039 084 029 001 0A4 08B 0A3 084 022 1C8 08E 08A 084 05C 084 04C 084 015 001 0C8 08D 01A 039 02E 01C 1C8 01E 039 084 022 029 001 084 049 070 084 055 001 068 070 049 07A 1C0</x:v>
      </x:c>
    </x:row>
    <x:row r="438">
      <x:c r="A438" s="22" t="str">
        <x:f>"01"</x:f>
        <x:v>01</x:v>
      </x:c>
      <x:c r="B438" s="22" t="str">
        <x:f>"B4"</x:f>
        <x:v>B4</x:v>
      </x:c>
      <x:c r="C438" s="22" t="str">
        <x:f>"0x01B4"</x:f>
        <x:v>0x01B4</x:v>
      </x:c>
      <x:c r="D438" s="21" t="str">
        <x:v>&lt;SPEAKER&gt;「それでは おくの とびらから
お進みくださいませ&lt;WAIT&gt;&lt;SPEAKER&gt;「審査場の いちばん おくに
デスランド歴史博物館が あります
そこまで 行ければ ごうかくです</x:v>
      </x:c>
      <x:c r="E438" s="19" t="str">
        <x:v>&lt;SPEAKER&gt;Then proceed through
the door in the back.&lt;WAIT&gt;&lt;SPEAKER&gt;At the far end of the
course is the Deathland History
Museum. Reach it and you pass.</x:v>
      </x:c>
      <x:c r="F438" s="20" t="str"/>
      <x:c r="G438" s="20" t="str"/>
      <x:c r="H438" s="23" t="str">
        <x:v>SPEAKER NEWLINE WAIT SPEAKER NEWLINE NEWLINE END</x:v>
      </x:c>
      <x:c r="I438" s="23" t="str">
        <x:v>EA:551C</x:v>
      </x:c>
      <x:c r="J438" s="23" t="str">
        <x:v>CC 54 68 65 6E 01 70 72 6F 63 65 65 64 01 74 68 72 6F 75 67 68 C8 74 68 65 01 64 6F 6F 72 01 69 6E 01 74 68 65 01 62 61 63 6B 2E C5 CC 41 74 01 74 68 65 01 66 61 72 01 65 6E 64 01 6F 66 01 74 68 65 C8 63 6F 75 72 73 65 01 69 73 01 74 68 65 01 44 65 61 74 68 6C 61 6E 64 01 48 69 73 74 6F 72 79 C8 4D 75 73 65 75 6D 2E 01 52 65 61 63 68 01 69 74 01 61 6E 64 01 79 6F 75 01 70 61 73 73 2E C0</x:v>
      </x:c>
      <x:c r="K438" s="23" t="str">
        <x:v>1CC 01E 039 084 022 029 001 014 017 028 001 023 084 02A 036 015 036 1C8 014 15D 02F 017 084 01F 01A 011 02E 01D 1C5 1CC 0AB 0AA 0A5 028 001 011 020 084 029 03D 001 014 017 025 1C8 084 054 04E 068 06F 084 055 0EA 0E6 0A4 08B 0A3 084 015 001 010 037 02E 01C 1C8 01E 019 02E 084 022 001 08D 018 039 084 029 001 084 019 012 015 017 084 022 01C 1C0</x:v>
      </x:c>
    </x:row>
    <x:row r="439">
      <x:c r="A439" s="22" t="str">
        <x:f>"01"</x:f>
        <x:v>01</x:v>
      </x:c>
      <x:c r="B439" s="22" t="str">
        <x:f>"B5"</x:f>
        <x:v>B5</x:v>
      </x:c>
      <x:c r="C439" s="22" t="str">
        <x:f>"0x01B5"</x:f>
        <x:v>0x01B5</x:v>
      </x:c>
      <x:c r="D439" s="21" t="str">
        <x:v>&lt;SPEAKER&gt;「あ そうですか</x:v>
      </x:c>
      <x:c r="E439" s="19" t="str">
        <x:v>&lt;SPEAKER&gt;Oh. All right.</x:v>
      </x:c>
      <x:c r="F439" s="20" t="str"/>
      <x:c r="G439" s="20" t="str"/>
      <x:c r="H439" s="23" t="str">
        <x:v>SPEAKER END</x:v>
      </x:c>
      <x:c r="I439" s="23" t="str">
        <x:v>EA:559E</x:v>
      </x:c>
      <x:c r="J439" s="23" t="str">
        <x:v>CC 4F 68 2E 01 41 6C 6C 01 72 69 67 68 74 2E C0</x:v>
      </x:c>
      <x:c r="K439" s="23" t="str">
        <x:v>1CC 010 001 01E 012 084 022 01C 015 1C0</x:v>
      </x:c>
    </x:row>
    <x:row r="440">
      <x:c r="A440" s="22" t="str">
        <x:f>"01"</x:f>
        <x:v>01</x:v>
      </x:c>
      <x:c r="B440" s="22" t="str">
        <x:f>"B6"</x:f>
        <x:v>B6</x:v>
      </x:c>
      <x:c r="C440" s="22" t="str">
        <x:f>"0x01B6"</x:f>
        <x:v>0x01B6</x:v>
      </x:c>
      <x:c r="D440" s="21" t="str">
        <x:v>&lt;SPEAKER&gt;「気をつけて 旅してください
むりは きんもつです
それだけは わすれずにね</x:v>
      </x:c>
      <x:c r="E440" s="19" t="str">
        <x:v>&lt;SPEAKER&gt;Travel carefully.
Never push yourself too
far. Remember that much.</x:v>
      </x:c>
      <x:c r="F440" s="20" t="str"/>
      <x:c r="G440" s="20" t="str"/>
      <x:c r="H440" s="23" t="str">
        <x:v>SPEAKER NEWLINE NEWLINE END</x:v>
      </x:c>
      <x:c r="I440" s="23" t="str">
        <x:v>EA:55AE</x:v>
      </x:c>
      <x:c r="J440" s="23" t="str">
        <x:v>CC 54 72 61 76 65 6C 01 63 61 72 65 66 75 6C 6C 79 2E C8 4E 65 76 65 72 01 70 75 73 68 01 79 6F 75 72 73 65 6C 66 01 74 6F 6F C8 66 61 72 2E 01 52 65 6D 65 6D 62 65 72 01 74 68 61 74 01 6D 75 63 68 2E C0</x:v>
      </x:c>
      <x:c r="K440" s="23" t="str">
        <x:v>1CC 099 03C 021 018 022 001 0B0 01B 022 017 084 01F 01A 011 1C8 030 037 029 001 016 03D 032 021 084 022 01C 1C8 01E 039 084 01F 018 029 001 03B 01C 039 084 01C 025 027 1C0</x:v>
      </x:c>
    </x:row>
    <x:row r="441">
      <x:c r="A441" s="22" t="str">
        <x:f>"01"</x:f>
        <x:v>01</x:v>
      </x:c>
      <x:c r="B441" s="22" t="str">
        <x:f>"B7"</x:f>
        <x:v>B7</x:v>
      </x:c>
      <x:c r="C441" s="22" t="str">
        <x:f>"0x01B7"</x:f>
        <x:v>0x01B7</x:v>
      </x:c>
      <x:c r="D441" s="21" t="str">
        <x:v>&lt;SPEAKER&gt;「そのさきの みぞぐらいなら
Bボタンダッシュで らくに
こえられねえと くろうするぜ</x:v>
      </x:c>
      <x:c r="E441" s="19" t="str">
        <x:v>&lt;SPEAKER&gt;If you can't clear that
ditch with a B-button dash, you're
going to have a rough time.</x:v>
      </x:c>
      <x:c r="F441" s="20" t="str"/>
      <x:c r="G441" s="20" t="str"/>
      <x:c r="H441" s="23" t="str">
        <x:v>SPEAKER NEWLINE NEWLINE END</x:v>
      </x:c>
      <x:c r="I441" s="23" t="str">
        <x:v>EA:55F2</x:v>
      </x:c>
      <x:c r="J441" s="23" t="str">
        <x:v>CC 49 66 01 79 6F 75 01 63 61 6E 27 74 01 63 6C 65 61 72 01 74 68 61 74 C8 64 69 74 63 68 01 77 69 74 68 01 61 01 42 2D 62 75 74 74 6F 6E 01 64 61 73 68 2C 01 79 6F 75 27 72 65 C8 67 6F 69 6E 67 01 74 6F 01 68 61 76 65 01 61 01 72 6F 75 67 68 01 74 69 6D 65 2E C0</x:v>
      </x:c>
      <x:c r="K441" s="23" t="str">
        <x:v>1CC 01E 028 01A 016 028 001 02F 084 01E 084 017 036 011 024 036 1C8 16F 084 05F 051 06F 084 051 070 04D 072 084 022 001 036 017 025 1C8 019 013 036 039 027 013 023 001 017 03A 012 01C 038 084 01D 1C0</x:v>
      </x:c>
    </x:row>
    <x:row r="442">
      <x:c r="A442" s="22" t="str">
        <x:f>"01"</x:f>
        <x:v>01</x:v>
      </x:c>
      <x:c r="B442" s="22" t="str">
        <x:f>"B8"</x:f>
        <x:v>B8</x:v>
      </x:c>
      <x:c r="C442" s="22" t="str">
        <x:f>"0x01B8"</x:f>
        <x:v>0x01B8</x:v>
      </x:c>
      <x:c r="D442" s="21" t="str">
        <x:v>&lt;SPEAKER&gt;「へえ! 審査に うかったのかい?
ちかごろの おんなのこは
みかけに よらんねえ!</x:v>
      </x:c>
      <x:c r="E442" s="19" t="str">
        <x:v>&lt;SPEAKER&gt;Hey! You passed the
exam? Girls these days sure
aren't what they look like!</x:v>
      </x:c>
      <x:c r="F442" s="20" t="str"/>
      <x:c r="G442" s="20" t="str"/>
      <x:c r="H442" s="23" t="str">
        <x:v>SPEAKER NEWLINE NEWLINE END</x:v>
      </x:c>
      <x:c r="I442" s="23" t="str">
        <x:v>EA:564A</x:v>
      </x:c>
      <x:c r="J442" s="23" t="str">
        <x:v>CC 48 65 79 21 01 59 6F 75 01 70 61 73 73 65 64 01 74 68 65 C8 65 78 61 6D 3F 01 47 69 72 6C 73 01 74 68 65 73 65 01 64 61 79 73 01 73 75 72 65 C8 61 72 65 6E 27 74 01 77 68 61 74 01 74 68 65 79 01 6C 6F 6F 6B 01 6C 69 6B 65 21 C0</x:v>
      </x:c>
      <x:c r="K442" s="23" t="str">
        <x:v>1CC 02C 013 07A 001 0AB 0AA 025 001 012 015 03E 01F 028 015 011 079 1C8 020 015 084 019 03A 028 001 014 03D 024 028 019 029 1C8 02F 015 018 025 001 035 036 03D 027 013 07A 1C0</x:v>
      </x:c>
    </x:row>
    <x:row r="443">
      <x:c r="A443" s="22" t="str">
        <x:f>"01"</x:f>
        <x:v>01</x:v>
      </x:c>
      <x:c r="B443" s="22" t="str">
        <x:f>"B9"</x:f>
        <x:v>B9</x:v>
      </x:c>
      <x:c r="C443" s="22" t="str">
        <x:f>"0x01B9"</x:f>
        <x:v>0x01B9</x:v>
      </x:c>
      <x:c r="D443" s="21" t="str">
        <x:v>&lt;SPEAKER&gt;「この先から ちょっとのあいだ
島の そうげんに でるぞ
モンスターも でてくるからな!</x:v>
      </x:c>
      <x:c r="E443" s="19" t="str">
        <x:v>&lt;SPEAKER&gt;Up ahead are the
island's grasslands. Watch out.
Monsters roam there too!</x:v>
      </x:c>
      <x:c r="F443" s="20" t="str"/>
      <x:c r="G443" s="20" t="str"/>
      <x:c r="H443" s="23" t="str">
        <x:v>SPEAKER NEWLINE NEWLINE END</x:v>
      </x:c>
      <x:c r="I443" s="23" t="str">
        <x:v>EA:5697</x:v>
      </x:c>
      <x:c r="J443" s="23" t="str">
        <x:v>CC 55 70 01 61 68 65 61 64 01 61 72 65 01 74 68 65 C8 69 73 6C 61 6E 64 27 73 01 67 72 61 73 73 6C 61 6E 64 73 2E 01 57 61 74 63 68 01 6F 75 74 2E C8 4D 6F 6E 73 74 65 72 73 01 72 6F 61 6D 01 74 68 65 72 65 01 74 6F 6F 21 C0</x:v>
      </x:c>
      <x:c r="K443" s="23" t="str">
        <x:v>1CC 019 028 0F8 015 036 001 020 041 03E 023 028 010 011 084 01F 1C8 08A 028 001 01E 012 084 018 03D 025 001 084 022 038 084 01E 1C8 064 06F 04E 051 078 032 001 084 022 022 017 038 015 036 024 07A 1C0</x:v>
      </x:c>
    </x:row>
    <x:row r="444">
      <x:c r="A444" s="22" t="str">
        <x:f>"01"</x:f>
        <x:v>01</x:v>
      </x:c>
      <x:c r="B444" s="22" t="str">
        <x:f>"BA"</x:f>
        <x:v>BA</x:v>
      </x:c>
      <x:c r="C444" s="22" t="str">
        <x:f>"0x01BA"</x:f>
        <x:v>0x01BA</x:v>
      </x:c>
      <x:c r="D444" s="21" t="str">
        <x:v>&lt;SPEAKER&gt;「おんなの あんたが
審査に うかるかな
ブァハハハハハ</x:v>
      </x:c>
      <x:c r="E444" s="19" t="str">
        <x:v>&lt;SPEAKER&gt;You? A woman?
Think you can pass
the exam? Bwahahahaha!</x:v>
      </x:c>
      <x:c r="F444" s="20" t="str"/>
      <x:c r="G444" s="20" t="str"/>
      <x:c r="H444" s="23" t="str">
        <x:v>SPEAKER NEWLINE NEWLINE END</x:v>
      </x:c>
      <x:c r="I444" s="23" t="str">
        <x:v>EA:56E2</x:v>
      </x:c>
      <x:c r="J444" s="23" t="str">
        <x:v>CC 59 6F 75 3F 01 41 01 77 6F 6D 61 6E 3F C8 54 68 69 6E 6B 01 79 6F 75 01 63 61 6E 01 70 61 73 73 C8 74 68 65 01 65 78 61 6D 3F 01 42 77 61 68 61 68 61 68 61 68 61 21 C0</x:v>
      </x:c>
      <x:c r="K444" s="23" t="str">
        <x:v>1CC 014 03D 024 028 001 010 03D 01F 084 015 1C8 0AB 0AA 025 001 012 015 038 015 024 1C8 084 05D 074 05B 05B 05B 05B 05B 1C0</x:v>
      </x:c>
    </x:row>
    <x:row r="445">
      <x:c r="A445" s="22" t="str">
        <x:f>"01"</x:f>
        <x:v>01</x:v>
      </x:c>
      <x:c r="B445" s="22" t="str">
        <x:f>"BB"</x:f>
        <x:v>BB</x:v>
      </x:c>
      <x:c r="C445" s="22" t="str">
        <x:f>"0x01BB"</x:f>
        <x:v>0x01BB</x:v>
      </x:c>
      <x:c r="D445" s="21" t="str">
        <x:v>&lt;SPEAKER&gt;「物を 持つときは
Aプッシュ! Aプッシュ! と
ねんじると いいよ</x:v>
      </x:c>
      <x:c r="E445" s="19" t="str">
        <x:v>&lt;SPEAKER&gt;When you
want to lift something,
think: A PUSH! A PUSH!</x:v>
      </x:c>
      <x:c r="F445" s="20" t="str"/>
      <x:c r="G445" s="20" t="str"/>
      <x:c r="H445" s="23" t="str">
        <x:v>SPEAKER NEWLINE NEWLINE END</x:v>
      </x:c>
      <x:c r="I445" s="23" t="str">
        <x:v>EA:571B</x:v>
      </x:c>
      <x:c r="J445" s="23" t="str">
        <x:v>CC 57 68 65 6E 01 79 6F 75 C8 77 61 6E 74 01 74 6F 01 6C 69 66 74 01 73 6F 6D 65 74 68 69 6E 67 2C C8 74 68 69 6E 6B 3A 01 41 01 50 55 53 48 21 01 41 01 50 55 53 48 21 C0</x:v>
      </x:c>
      <x:c r="K445" s="23" t="str">
        <x:v>1CC 08B 03C 001 0D3 021 023 016 029 1C8 16E 083 05D 070 04D 072 07A 001 16E 083 05D 070 04D 072 07A 001 023 1C8 027 03D 084 01B 038 023 001 011 011 035 1C0</x:v>
      </x:c>
    </x:row>
    <x:row r="446">
      <x:c r="A446" s="22" t="str">
        <x:f>"01"</x:f>
        <x:v>01</x:v>
      </x:c>
      <x:c r="B446" s="22" t="str">
        <x:f>"BC"</x:f>
        <x:v>BC</x:v>
      </x:c>
      <x:c r="C446" s="22" t="str">
        <x:f>"0x01BC"</x:f>
        <x:v>0x01BC</x:v>
      </x:c>
      <x:c r="D446" s="21" t="str">
        <x:v>&lt;SPEAKER&gt;「ひゅー ひゅー! ねえちゃん
なかなか やるなー&lt;WAIT&gt;&lt;SPEAKER&gt;「そんだけの うでがありゃあ
審査なんて への かっぱよ!</x:v>
      </x:c>
      <x:c r="E446" s="19" t="str">
        <x:v>&lt;SPEAKER&gt;Whew! Nice work, sis.&lt;WAIT&gt;&lt;SPEAKER&gt;With skills like that,
this exam will be a breeze!</x:v>
      </x:c>
      <x:c r="F446" s="20" t="str"/>
      <x:c r="G446" s="20" t="str"/>
      <x:c r="H446" s="23" t="str">
        <x:v>SPEAKER WAIT SPEAKER NEWLINE END</x:v>
      </x:c>
      <x:c r="I446" s="23" t="str">
        <x:v>EA:5754</x:v>
      </x:c>
      <x:c r="J446" s="23" t="str">
        <x:v>CC 57 68 65 77 21 01 4E 69 63 65 01 77 6F 72 6B 2C 01 73 69 73 2E C5 CC 57 69 74 68 01 73 6B 69 6C 6C 73 01 6C 69 6B 65 01 74 68 61 74 2C C8 74 68 69 73 01 65 78 61 6D 01 77 69 6C 6C 01 62 65 01 61 01 62 72 65 65 7A 65 21 C0</x:v>
      </x:c>
      <x:c r="K446" s="23" t="str">
        <x:v>1CC 02A 040 078 001 02A 040 078 07A 001 027 013 020 03F 03D 1C8 024 015 024 015 001 033 038 024 078 1C5 1CC 01E 03D 084 01F 018 028 001 012 084 022 084 015 010 037 03F 010 1C8 0AB 0AA 024 03D 022 001 02C 028 001 015 03E 083 029 035 07A 1C0</x:v>
      </x:c>
    </x:row>
    <x:row r="447">
      <x:c r="A447" s="22" t="str">
        <x:f>"01"</x:f>
        <x:v>01</x:v>
      </x:c>
      <x:c r="B447" s="22" t="str">
        <x:f>"BD"</x:f>
        <x:v>BD</x:v>
      </x:c>
      <x:c r="C447" s="22" t="str">
        <x:f>"0x01BD"</x:f>
        <x:v>0x01BD</x:v>
      </x:c>
      <x:c r="D447" s="21" t="str">
        <x:v>&lt;SPEAKER&gt;「おれは こうやって 審査場で
くろう している やつらを
ひやかすのが しゅみなんだ</x:v>
      </x:c>
      <x:c r="E447" s="19" t="str">
        <x:v>&lt;SPEAKER&gt;My hobby is hanging
around the exam course and
heckling people who are struggling.</x:v>
      </x:c>
      <x:c r="F447" s="20" t="str"/>
      <x:c r="G447" s="20" t="str"/>
      <x:c r="H447" s="23" t="str">
        <x:v>SPEAKER NEWLINE NEWLINE END</x:v>
      </x:c>
      <x:c r="I447" s="23" t="str">
        <x:v>EA:579F</x:v>
      </x:c>
      <x:c r="J447" s="23" t="str">
        <x:v>CC 4D 79 01 68 6F 62 62 79 01 69 73 01 68 61 6E 67 69 6E 67 C8 61 72 6F 75 6E 64 01 74 68 65 01 65 78 61 6D 01 63 6F 75 72 73 65 01 61 6E 64 C8 68 65 63 6B 6C 69 6E 67 01 70 65 6F 70 6C 65 01 77 68 6F 01 61 72 65 01 73 74 72 75 67 67 6C 69 6E 67 2E C0</x:v>
      </x:c>
      <x:c r="K447" s="23" t="str">
        <x:v>1CC 014 039 029 001 019 012 033 03E 022 001 0AB 0AA 0A5 084 022 1C8 017 03A 012 001 01B 022 011 038 001 033 021 036 03C 1C8 02A 033 015 01C 028 084 015 001 01B 040 02F 024 03D 084 01F 1C0</x:v>
      </x:c>
    </x:row>
    <x:row r="448">
      <x:c r="A448" s="22" t="str">
        <x:f>"01"</x:f>
        <x:v>01</x:v>
      </x:c>
      <x:c r="B448" s="22" t="str">
        <x:f>"BE"</x:f>
        <x:v>BE</x:v>
      </x:c>
      <x:c r="C448" s="22" t="str">
        <x:f>"0x01BE"</x:f>
        <x:v>0x01BE</x:v>
      </x:c>
      <x:c r="D448" s="21" t="str">
        <x:v>&lt;SPEAKER&gt;「ビザを持ってるなら そんな所で
あそんでないで リバータウンへ
行ったらどうだ?</x:v>
      </x:c>
      <x:c r="E448" s="19" t="str">
        <x:v>&lt;SPEAKER&gt;If you've got a Visa,
stop fooling around here and
head for Rivertown already.</x:v>
      </x:c>
      <x:c r="F448" s="20" t="str"/>
      <x:c r="G448" s="20" t="str"/>
      <x:c r="H448" s="23" t="str">
        <x:v>SPEAKER NEWLINE NEWLINE END</x:v>
      </x:c>
      <x:c r="I448" s="23" t="str">
        <x:v>EA:57F3</x:v>
      </x:c>
      <x:c r="J448" s="23" t="str">
        <x:v>CC 49 66 01 79 6F 75 27 76 65 01 67 6F 74 01 61 01 56 69 73 61 2C C8 73 74 6F 70 01 66 6F 6F 6C 69 6E 67 01 61 72 6F 75 6E 64 01 68 65 72 65 01 61 6E 64 C8 68 65 61 64 01 66 6F 72 01 52 69 76 65 72 74 6F 77 6E 01 61 6C 72 65 61 64 79 2E C0</x:v>
      </x:c>
      <x:c r="K448" s="23" t="str">
        <x:v>1CC 084 05C 084 04C 03C 0D3 03E 022 038 024 036 001 01E 03D 024 12F 084 022 1C8 010 01E 03D 084 022 024 011 084 022 001 069 084 05B 078 051 044 06F 02C 1C8 08D 03E 01F 036 084 023 012 084 01F 079 1C0</x:v>
      </x:c>
    </x:row>
    <x:row r="449">
      <x:c r="A449" s="22" t="str">
        <x:f>"01"</x:f>
        <x:v>01</x:v>
      </x:c>
      <x:c r="B449" s="22" t="str">
        <x:f>"BF"</x:f>
        <x:v>BF</x:v>
      </x:c>
      <x:c r="C449" s="22" t="str">
        <x:f>"0x01BF"</x:f>
        <x:v>0x01BF</x:v>
      </x:c>
      <x:c r="D449" s="21" t="str">
        <x:v>&lt;SPEAKER&gt;「ときに おねえさん
戦いの時に 気あいを ためてる?&lt;WAIT&gt;&lt;SPEAKER&gt;「たちどまって Aーーっと
力を入れていると 気あいがたまって
パワフルな いちげきが 出せるぜ!</x:v>
      </x:c>
      <x:c r="E449" s="19" t="str">
        <x:v>&lt;SPEAKER&gt;Hey, miss. Do you charge
up your spirit during battle?&lt;WAIT&gt;&lt;SPEAKER&gt;Stand still and hold
AAAAA! Your spirit builds up,
letting you unleash a power hit!</x:v>
      </x:c>
      <x:c r="F449" s="20" t="str"/>
      <x:c r="G449" s="20" t="str"/>
      <x:c r="H449" s="23" t="str">
        <x:v>SPEAKER NEWLINE WAIT SPEAKER NEWLINE NEWLINE END</x:v>
      </x:c>
      <x:c r="I449" s="23" t="str">
        <x:v>EA:5843</x:v>
      </x:c>
      <x:c r="J449" s="23" t="str">
        <x:v>CC 48 65 79 2C 01 6D 69 73 73 2E 01 44 6F 01 79 6F 75 01 63 68 61 72 67 65 C8 75 70 01 79 6F 75 72 01 73 70 69 72 69 74 01 64 75 72 69 6E 67 01 62 61 74 74 6C 65 3F C5 CC 53 74 61 6E 64 01 73 74 69 6C 6C 01 61 6E 64 01 68 6F 6C 64 C8 41 41 41 41 41 21 01 59 6F 75 72 01 73 70 69 72 69 74 01 62 75 69 6C 64 73 01 75 70 2C C8 6C 65 74 74 69 6E 67 01 79 6F 75 01 75 6E 6C 65 61 73 68 01 61 01 70 6F 77 65 72 01 68 69 74 21 C0</x:v>
      </x:c>
      <x:c r="K449" s="23" t="str">
        <x:v>1CC 023 016 025 001 014 027 013 01A 03D 1C8 10D 011 028 164 025 001 099 010 011 03C 001 01F 031 022 038 079 1C5 1CC 01F 020 084 023 02E 03E 022 001 16E 078 078 03E 023 1C8 107 03C 08E 039 022 011 038 023 001 099 010 011 084 015 01F 02E 03E 022 1C8 083 05B 06D 05D 06A 024 001 011 020 084 018 016 084 015 001 106 01D 038 084 01D 07A 1C0</x:v>
      </x:c>
    </x:row>
    <x:row r="450">
      <x:c r="A450" s="22" t="str">
        <x:f>"01"</x:f>
        <x:v>01</x:v>
      </x:c>
      <x:c r="B450" s="22" t="str">
        <x:f>"C0"</x:f>
        <x:v>C0</x:v>
      </x:c>
      <x:c r="C450" s="22" t="str">
        <x:f>"0x01C0"</x:f>
        <x:v>0x01C0</x:v>
      </x:c>
      <x:c r="D450" s="21" t="str">
        <x:v>&lt;SPEAKER&gt;「いやいや やっとの おもいで
ここまで たどりつきましたよ&lt;WAIT&gt;&lt;SPEAKER&gt;「商人と いえども 武芸は
やっとかなきゃあ いけませんな</x:v>
      </x:c>
      <x:c r="E450" s="19" t="str">
        <x:v>&lt;SPEAKER&gt;Whew. I barely
made it this far.&lt;WAIT&gt;&lt;SPEAKER&gt;Even a merchant needs
some martial training, I suppose.</x:v>
      </x:c>
      <x:c r="F450" s="20" t="str"/>
      <x:c r="G450" s="20" t="str"/>
      <x:c r="H450" s="23" t="str">
        <x:v>SPEAKER NEWLINE WAIT SPEAKER NEWLINE END</x:v>
      </x:c>
      <x:c r="I450" s="23" t="str">
        <x:v>EA:58D0</x:v>
      </x:c>
      <x:c r="J450" s="23" t="str">
        <x:v>CC 57 68 65 77 2E 01 49 01 62 61 72 65 6C 79 C8 6D 61 64 65 01 69 74 01 74 68 69 73 01 66 61 72 2E C5 CC 45 76 65 6E 01 61 01 6D 65 72 63 68 61 6E 74 01 6E 65 65 64 73 C8 73 6F 6D 65 01 6D 61 72 74 69 61 6C 01 74 72 61 69 6E 69 6E 67 2C 01 49 01 73 75 70 70 6F 73 65 2E C0</x:v>
      </x:c>
      <x:c r="K450" s="23" t="str">
        <x:v>1CC 011 033 011 033 001 033 03E 023 028 001 014 032 011 084 022 1C8 019 019 02E 084 022 001 01F 084 023 037 021 016 02E 01B 01F 035 1C5 1CC 109 091 023 001 011 013 084 023 032 001 0CB 0DE 029 1C8 033 03E 023 015 024 016 03F 010 001 011 018 02E 01D 03D 024 1C0</x:v>
      </x:c>
    </x:row>
    <x:row r="451">
      <x:c r="A451" s="22" t="str">
        <x:f>"01"</x:f>
        <x:v>01</x:v>
      </x:c>
      <x:c r="B451" s="22" t="str">
        <x:f>"C1"</x:f>
        <x:v>C1</x:v>
      </x:c>
      <x:c r="C451" s="22" t="str">
        <x:f>"0x01C1"</x:f>
        <x:v>0x01C1</x:v>
      </x:c>
      <x:c r="D451" s="21" t="str">
        <x:v>&lt;SPEAKER&gt;「この島は くねくねの道が たくさん
あるんですよ バランス感覚が
命に かかわるんです!</x:v>
      </x:c>
      <x:c r="E451" s="19" t="str">
        <x:v>&lt;SPEAKER&gt;This island has lots of
winding paths. A good sense
of balance can save your life!</x:v>
      </x:c>
      <x:c r="F451" s="20" t="str"/>
      <x:c r="G451" s="20" t="str"/>
      <x:c r="H451" s="23" t="str">
        <x:v>SPEAKER NEWLINE NEWLINE END</x:v>
      </x:c>
      <x:c r="I451" s="23" t="str">
        <x:v>EA:592B</x:v>
      </x:c>
      <x:c r="J451" s="23" t="str">
        <x:v>CC 54 68 69 73 01 69 73 6C 61 6E 64 01 68 61 73 01 6C 6F 74 73 01 6F 66 C8 77 69 6E 64 69 6E 67 01 70 61 74 68 73 2E 01 41 01 67 6F 6F 64 01 73 65 6E 73 65 C8 6F 66 01 62 61 6C 61 6E 63 65 01 63 61 6E 01 73 61 76 65 01 79 6F 75 72 01 6C 69 66 65 21 C0</x:v>
      </x:c>
      <x:c r="K451" s="23" t="str">
        <x:v>1CC 019 028 08A 029 001 017 027 017 027 028 0C7 084 015 001 01F 017 01A 03D 1C8 010 038 03D 084 022 01C 035 001 084 05B 068 06F 04E 0FC 17B 084 015 1C8 0EE 025 001 015 015 03B 038 03D 084 022 01C 07A 1C0</x:v>
      </x:c>
    </x:row>
    <x:row r="452">
      <x:c r="A452" s="22" t="str">
        <x:f>"01"</x:f>
        <x:v>01</x:v>
      </x:c>
      <x:c r="B452" s="22" t="str">
        <x:f>"C2"</x:f>
        <x:v>C2</x:v>
      </x:c>
      <x:c r="C452" s="22" t="str">
        <x:f>"0x01C2"</x:f>
        <x:v>0x01C2</x:v>
      </x:c>
      <x:c r="D452" s="21" t="str">
        <x:v>&lt;SPEAKER&gt;「おつかれさまです 旅のかた&lt;WAIT&gt;&lt;SPEAKER&gt;「審査は ここで おわりです
この 下の 博物館で
入島ビザを もらって下さい&lt;WAIT&gt;&lt;SPEAKER&gt;「それでは よい旅を!</x:v>
      </x:c>
      <x:c r="E452" s="19" t="str">
        <x:v>&lt;SPEAKER&gt;Good work, traveler.&lt;WAIT&gt;&lt;SPEAKER&gt;The exam ends
here. Get your island Visa
at the museum below.&lt;WAIT&gt;&lt;SPEAKER&gt;Have a good journey!</x:v>
      </x:c>
      <x:c r="F452" s="20" t="str"/>
      <x:c r="G452" s="20" t="str"/>
      <x:c r="H452" s="23" t="str">
        <x:v>SPEAKER WAIT SPEAKER NEWLINE NEWLINE WAIT SPEAKER END</x:v>
      </x:c>
      <x:c r="I452" s="23" t="str">
        <x:v>EA:597F</x:v>
      </x:c>
      <x:c r="J452" s="23" t="str">
        <x:v>CC 47 6F 6F 64 01 77 6F 72 6B 2C 01 74 72 61 76 65 6C 65 72 2E C5 CC 54 68 65 01 65 78 61 6D 01 65 6E 64 73 C8 68 65 72 65 2E 01 47 65 74 01 79 6F 75 72 01 69 73 6C 61 6E 64 01 56 69 73 61 C8 61 74 01 74 68 65 01 6D 75 73 65 75 6D 01 62 65 6C 6F 77 2E C5 CC 48 61 76 65 01 61 01 67 6F 6F 64 01 6A 6F 75 72 6E 65 79 21 C0</x:v>
      </x:c>
      <x:c r="K452" s="23" t="str">
        <x:v>1CC 014 021 015 039 01A 02E 084 022 01C 001 0B0 028 015 01F 1C5 1CC 0AB 0AA 029 001 019 019 084 022 001 014 03B 037 084 022 01C 1C8 019 028 001 0B8 028 001 0A4 08B 0A3 084 022 1C8 08E 08A 084 05C 084 04C 03C 001 032 036 03E 022 0B8 01A 011 1C5 1CC 01E 039 084 022 029 001 035 011 0B0 03C 07A 1C0</x:v>
      </x:c>
    </x:row>
    <x:row r="453">
      <x:c r="A453" s="22" t="str">
        <x:f>"01"</x:f>
        <x:v>01</x:v>
      </x:c>
      <x:c r="B453" s="22" t="str">
        <x:f>"C3"</x:f>
        <x:v>C3</x:v>
      </x:c>
      <x:c r="C453" s="22" t="str">
        <x:f>"0x01C3"</x:f>
        <x:v>0x01C3</x:v>
      </x:c>
      <x:c r="D453" s="21" t="str">
        <x:v>&lt;SPEAKER&gt;「ポン! はい 入島ビザだよ
これが 1枚あれば
みなとの 外に 出られるよ!</x:v>
      </x:c>
      <x:c r="E453" s="19" t="str">
        <x:v>&lt;SPEAKER&gt;Pop! Here is your
island Visa. With this one
card, you can leave the port!</x:v>
      </x:c>
      <x:c r="F453" s="20" t="str"/>
      <x:c r="G453" s="20" t="str"/>
      <x:c r="H453" s="23" t="str">
        <x:v>SPEAKER NEWLINE NEWLINE END</x:v>
      </x:c>
      <x:c r="I453" s="23" t="str">
        <x:v>EA:59EA</x:v>
      </x:c>
      <x:c r="J453" s="23" t="str">
        <x:v>CC 50 6F 70 21 01 48 65 72 65 01 69 73 01 79 6F 75 72 C8 69 73 6C 61 6E 64 01 56 69 73 61 2E 01 57 69 74 68 01 74 68 69 73 01 6F 6E 65 C8 63 61 72 64 2C 01 79 6F 75 01 63 61 6E 01 6C 65 61 76 65 01 74 68 65 01 70 6F 72 74 21 C0</x:v>
      </x:c>
      <x:c r="K453" s="23" t="str">
        <x:v>1CC 083 05F 06F 07A 001 029 011 001 08E 08A 084 05C 084 04C 084 01F 035 1C8 019 039 084 015 001 003 115 010 039 084 029 1C8 02F 024 023 028 001 0F1 025 001 106 036 039 038 035 07A 1C0</x:v>
      </x:c>
    </x:row>
    <x:row r="454">
      <x:c r="A454" s="22" t="str">
        <x:f>"01"</x:f>
        <x:v>01</x:v>
      </x:c>
      <x:c r="B454" s="22" t="str">
        <x:f>"C4"</x:f>
        <x:v>C4</x:v>
      </x:c>
      <x:c r="C454" s="22" t="str">
        <x:f>"0x01C4"</x:f>
        <x:v>0x01C4</x:v>
      </x:c>
      <x:c r="D454" s="21" t="str">
        <x:v>&lt;SPEAKER&gt;「ありゃりゃ お嬢さん!
もちものが いっぱいですよ
へらして また来てくださいよ</x:v>
      </x:c>
      <x:c r="E454" s="19" t="str">
        <x:v>&lt;SPEAKER&gt;Oh dear, miss!
Your inventory is full. Make
some room and come back.</x:v>
      </x:c>
      <x:c r="F454" s="20" t="str"/>
      <x:c r="G454" s="20" t="str"/>
      <x:c r="H454" s="23" t="str">
        <x:v>SPEAKER NEWLINE NEWLINE END</x:v>
      </x:c>
      <x:c r="I454" s="23" t="str">
        <x:v>EA:5A36</x:v>
      </x:c>
      <x:c r="J454" s="23" t="str">
        <x:v>CC 4F 68 01 64 65 61 72 2C 01 6D 69 73 73 21 C8 59 6F 75 72 01 69 6E 76 65 6E 74 6F 72 79 01 69 73 01 66 75 6C 6C 2E 01 4D 61 6B 65 C8 73 6F 6D 65 01 72 6F 6F 6D 01 61 6E 64 01 63 6F 6D 65 01 62 61 63 6B 2E C0</x:v>
      </x:c>
      <x:c r="K454" s="23" t="str">
        <x:v>1CC 010 037 03F 037 03F 001 014 0D8 01A 03D 07A 1C8 032 020 032 028 084 015 001 011 03E 083 029 011 084 022 01C 035 1C8 02C 036 01B 022 001 02E 01F 097 022 017 084 01F 01A 011 035 1C0</x:v>
      </x:c>
    </x:row>
    <x:row r="455">
      <x:c r="A455" s="22" t="str">
        <x:f>"01"</x:f>
        <x:v>01</x:v>
      </x:c>
      <x:c r="B455" s="22" t="str">
        <x:f>"C5"</x:f>
        <x:v>C5</x:v>
      </x:c>
      <x:c r="C455" s="22" t="str">
        <x:f>"0x01C5"</x:f>
        <x:v>0x01C5</x:v>
      </x:c>
      <x:c r="D455" s="21" t="str">
        <x:v>&lt;SPEAKER&gt;「ゲロハー! この島の ことばで
こんにちは! っていみさ!
よい旅をな お嬢さんよ</x:v>
      </x:c>
      <x:c r="E455" s="19" t="str">
        <x:v>&lt;SPEAKER&gt;Gerohah! That means
"hello" in this island language!
Safe travels, young lady.</x:v>
      </x:c>
      <x:c r="F455" s="20" t="str"/>
      <x:c r="G455" s="20" t="str"/>
      <x:c r="H455" s="23" t="str">
        <x:v>SPEAKER NEWLINE NEWLINE END</x:v>
      </x:c>
      <x:c r="I455" s="23" t="str">
        <x:v>EA:5A7C</x:v>
      </x:c>
      <x:c r="J455" s="23" t="str">
        <x:v>CC 47 65 72 6F 68 61 68 21 01 54 68 61 74 01 6D 65 61 6E 73 C8 22 68 65 6C 6C 6F 22 01 69 6E 01 74 68 69 73 01 69 73 6C 61 6E 64 01 6C 61 6E 67 75 61 67 65 21 C8 53 61 66 65 01 74 72 61 76 65 6C 73 2C 01 79 6F 75 6E 67 01 6C 61 64 79 2E C0</x:v>
      </x:c>
      <x:c r="K455" s="23" t="str">
        <x:v>1CC 084 04A 06C 05B 078 07A 001 019 028 08A 028 001 019 023 084 029 084 022 1C8 019 03D 025 020 029 07A 001 03E 022 011 02F 01A 07A 1C8 035 011 0B0 03C 024 001 014 0D8 01A 03D 035 1C0</x:v>
      </x:c>
    </x:row>
    <x:row r="456">
      <x:c r="A456" s="22" t="str">
        <x:f>"01"</x:f>
        <x:v>01</x:v>
      </x:c>
      <x:c r="B456" s="22" t="str">
        <x:f>"C6"</x:f>
        <x:v>C6</x:v>
      </x:c>
      <x:c r="C456" s="22" t="str">
        <x:f>"0x01C6"</x:f>
        <x:v>0x01C6</x:v>
      </x:c>
      <x:c r="D456" s="21" t="str">
        <x:v>&lt;SPEAKER&gt;「どうだ すごいだろう?&lt;WAIT&gt;&lt;SPEAKER&gt;「こんな でかい トマトンが
おそってきたら わしなんぞ
いちころだろうな きっと!&lt;WAIT&gt;&lt;SPEAKER&gt;「えっ? こいつは 何かって?
これこそ 世紀の 大発見
伝説の巨大トマトンの 化石さ&lt;WAIT&gt;&lt;SPEAKER&gt;「古代デスランドの 大いなる謎
いま 伝説から 真実へ
うーん! ロマンだなあ・・・</x:v>
      </x:c>
      <x:c r="E456" s="19" t="str">
        <x:v>&lt;SPEAKER&gt;Impressive, isn't it?&lt;WAIT&gt;&lt;SPEAKER&gt;If a Tomaton this
huge attacked me, I'd be
done for in a second!&lt;WAIT&gt;&lt;SPEAKER&gt;What is it? The
find of the century: a
legendary giant Tomaton fossil!&lt;WAIT&gt;&lt;SPEAKER&gt;An ancient Deathland
mystery, now proven true.
Ah, the romance of it!</x:v>
      </x:c>
      <x:c r="F456" s="20" t="str"/>
      <x:c r="G456" s="20" t="str"/>
      <x:c r="H456" s="23" t="str">
        <x:v>SPEAKER WAIT SPEAKER NEWLINE NEWLINE WAIT SPEAKER NEWLINE NEWLINE WAIT SPEAKER NEWLINE NEWLINE END</x:v>
      </x:c>
      <x:c r="I456" s="23" t="str">
        <x:v>EA:5ACC</x:v>
      </x:c>
      <x:c r="J456" s="23" t="str">
        <x:v>CC 49 6D 70 72 65 73 73 69 76 65 2C 01 69 73 6E 27 74 01 69 74 3F C5 CC 49 66 01 61 01 54 6F 6D 61 74 6F 6E 01 74 68 69 73 C8 68 75 67 65 01 61 74 74 61 63 6B 65 64 01 6D 65 2C 01 49 27 64 01 62 65 C8 64 6F 6E 65 01 66 6F 72 01 69 6E 01 61 01 73 65 63 6F 6E 64 21 C5 CC 57 68 61 74 01 69 73 01 69 74 3F 01 54 68 65 C8 66 69 6E 64 01 6F 66 01 74 68 65 01 63 65 6E 74 75 72 79 3A 01 61 C8 6C 65 67 65 6E 64 61 72 79 01 67 69 61 6E 74 01 54 6F 6D 61 74 6F 6E 01 66 6F 73 73 69 6C 21 C5 CC 41 6E 01 61 6E 63 69 65 6E 74 01 44 65 61 74 68 6C 61 6E 64 C8 6D 79 73 74 65 72 79 2C 01 6E 6F 77 01 70 72 6F 76 65 6E 01 74 72 75 65 2E C8 41 68 2C 01 74 68 65 01 72 6F 6D 61 6E 63 65 01 6F 66 01 69 74 21 C0</x:v>
      </x:c>
      <x:c r="K456" s="23" t="str">
        <x:v>1CC 084 023 012 084 01F 001 01C 084 019 011 084 01F 03A 012 079 1C5 1CC 019 03D 024 001 084 022 015 011 001 055 060 055 06F 084 015 1C8 014 01E 03E 022 016 01F 036 001 03B 01B 024 03D 084 01E 1C8 011 020 019 03A 084 01F 03A 012 024 001 016 03E 023 07A 1C5 1CC 013 03E 079 001 019 011 021 029 001 093 015 03E 022 079 1C8 019 039 019 01E 001 0A9 102 028 001 0AC 0C8 090 1C8 092 08F 028 0CC 0AC 055 060 055 06F 028 001 09E 09D 01A 1C5 1CC 096 09F 084 054 04E 068 06F 084 055 028 001 0AC 011 024 038 0CF 1C8 011 02E 001 092 08F 015 036 001 0BD 0DD 02C 1C8 012 078 03D 07A 001 06C 060 06F 084 01F 024 010 081 081 081 1C0</x:v>
      </x:c>
    </x:row>
    <x:row r="457">
      <x:c r="A457" s="22" t="str">
        <x:f>"01"</x:f>
        <x:v>01</x:v>
      </x:c>
      <x:c r="B457" s="22" t="str">
        <x:f>"C7"</x:f>
        <x:v>C7</x:v>
      </x:c>
      <x:c r="C457" s="22" t="str">
        <x:f>"0x01C7"</x:f>
        <x:v>0x01C7</x:v>
      </x:c>
      <x:c r="D457" s="21" t="str">
        <x:v>&lt;SPEAKER&gt;「お嬢さん あわてなさんな
まずは 入り口で ビザを
もらって きなはれ</x:v>
      </x:c>
      <x:c r="E457" s="19" t="str">
        <x:v>&lt;SPEAKER&gt;No need to rush,
young lady. First get your
Visa at the entrance.</x:v>
      </x:c>
      <x:c r="F457" s="20" t="str"/>
      <x:c r="G457" s="20" t="str"/>
      <x:c r="H457" s="23" t="str">
        <x:v>SPEAKER NEWLINE NEWLINE END</x:v>
      </x:c>
      <x:c r="I457" s="23" t="str">
        <x:v>EA:5BB4</x:v>
      </x:c>
      <x:c r="J457" s="23" t="str">
        <x:v>CC 4E 6F 01 6E 65 65 64 01 74 6F 01 72 75 73 68 2C C8 79 6F 75 6E 67 01 6C 61 64 79 2E 01 46 69 72 73 74 01 67 65 74 01 79 6F 75 72 C8 56 69 73 61 01 61 74 01 74 68 65 01 65 6E 74 72 61 6E 63 65 2E C0</x:v>
      </x:c>
      <x:c r="K457" s="23" t="str">
        <x:v>1CC 014 0D8 01A 03D 001 010 03B 022 024 01A 03D 024 1C8 02E 084 01C 029 001 08E 037 167 084 022 001 084 05C 084 04C 03C 1C8 032 036 03E 022 001 016 024 029 039 1C0</x:v>
      </x:c>
    </x:row>
    <x:row r="458">
      <x:c r="A458" s="22" t="str">
        <x:f>"01"</x:f>
        <x:v>01</x:v>
      </x:c>
      <x:c r="B458" s="22" t="str">
        <x:f>"C8"</x:f>
        <x:v>C8</x:v>
      </x:c>
      <x:c r="C458" s="22" t="str">
        <x:f>"0x01C8"</x:f>
        <x:v>0x01C8</x:v>
      </x:c>
      <x:c r="D458" s="21" t="str">
        <x:v>&lt;SPEAKER&gt;「じりりりりーん! さあさあ
まもなく 神秘と 謎にあふれた
活動写真の はじまり はじまりー&lt;WAIT&gt;&lt;SPEAKER&gt;「デスランド伝説の すべてがわかる
活動写真じゃよ 見ていくかい?</x:v>
      </x:c>
      <x:c r="E458" s="19" t="str">
        <x:v>&lt;SPEAKER&gt;Ring-a-ling! Everyone,
gather! Our marvelous moving
picture is about to begin!&lt;WAIT&gt;&lt;SPEAKER&gt;It tells the whole legend
of Deathland. Want to watch?</x:v>
      </x:c>
      <x:c r="F458" s="20" t="str"/>
      <x:c r="G458" s="20" t="str"/>
      <x:c r="H458" s="23" t="str">
        <x:v>SPEAKER NEWLINE NEWLINE WAIT SPEAKER NEWLINE END</x:v>
      </x:c>
      <x:c r="I458" s="23" t="str">
        <x:v>EA:5BF7</x:v>
      </x:c>
      <x:c r="J458" s="23" t="str">
        <x:v>CC 52 69 6E 67 2D 61 2D 6C 69 6E 67 21 01 45 76 65 72 79 6F 6E 65 2C C8 67 61 74 68 65 72 21 01 4F 75 72 01 6D 61 72 76 65 6C 6F 75 73 01 6D 6F 76 69 6E 67 C8 70 69 63 74 75 72 65 01 69 73 01 61 62 6F 75 74 01 74 6F 01 62 65 67 69 6E 21 C5 CC 49 74 01 74 65 6C 6C 73 01 74 68 65 01 77 68 6F 6C 65 01 6C 65 67 65 6E 64 C8 6F 66 01 44 65 61 74 68 6C 61 6E 64 2E 01 57 61 6E 74 01 74 6F 01 77 61 74 63 68 3F C0</x:v>
      </x:c>
      <x:c r="K458" s="23" t="str">
        <x:v>1CC 084 01B 037 037 037 037 078 03D 07A 001 01A 010 01A 010 1C8 02E 032 024 017 001 0DC 0EF 023 001 0CF 025 010 02B 039 01F 1C8 0B4 0B1 0C1 0BD 028 001 029 084 01B 02E 037 001 029 084 01B 02E 037 078 1C5 1CC 084 054 04E 068 06F 084 055 092 08F 028 001 01C 084 02C 022 084 015 03B 015 038 1C8 0B4 0B1 0C1 0BD 084 01B 03F 035 001 090 022 011 017 015 011 079 1C0</x:v>
      </x:c>
    </x:row>
    <x:row r="459">
      <x:c r="A459" s="22" t="str">
        <x:f>"01"</x:f>
        <x:v>01</x:v>
      </x:c>
      <x:c r="B459" s="22" t="str">
        <x:f>"C9"</x:f>
        <x:v>C9</x:v>
      </x:c>
      <x:c r="C459" s="22" t="str">
        <x:f>"0x01C9"</x:f>
        <x:v>0x01C9</x:v>
      </x:c>
      <x:c r="D459" s="21" t="str">
        <x:v>&lt;SPEAKER&gt;「お嬢さんには いちばん前の
とくとうせきに ごあんなーい!
じりりりりんと さあ はじまりぃー</x:v>
      </x:c>
      <x:c r="E459" s="19" t="str">
        <x:v>&lt;SPEAKER&gt;Young lady, front-row
seat! The very best in the
house! Ring-a-ling! Here we go!</x:v>
      </x:c>
      <x:c r="F459" s="20" t="str"/>
      <x:c r="G459" s="20" t="str"/>
      <x:c r="H459" s="23" t="str">
        <x:v>SPEAKER NEWLINE NEWLINE END</x:v>
      </x:c>
      <x:c r="I459" s="23" t="str">
        <x:v>EA:5C7F</x:v>
      </x:c>
      <x:c r="J459" s="23" t="str">
        <x:v>CC 59 6F 75 6E 67 01 6C 61 64 79 2C 01 66 72 6F 6E 74 2D 72 6F 77 C8 73 65 61 74 21 01 54 68 65 01 76 65 72 79 01 62 65 73 74 01 69 6E 01 74 68 65 C8 68 6F 75 73 65 21 01 52 69 6E 67 2D 61 2D 6C 69 6E 67 21 01 48 65 72 65 01 77 65 01 67 6F 21 C0</x:v>
      </x:c>
      <x:c r="K459" s="23" t="str">
        <x:v>1CC 014 0D8 01A 03D 025 029 001 011 020 084 029 03D 0C3 028 1C8 023 017 023 012 01D 016 025 001 084 019 010 03D 024 078 011 07A 1C8 084 01B 037 037 037 037 03D 023 001 01A 010 001 029 084 01B 02E 037 07C 078 1C0</x:v>
      </x:c>
    </x:row>
    <x:row r="460">
      <x:c r="A460" s="22" t="str">
        <x:f>"01"</x:f>
        <x:v>01</x:v>
      </x:c>
      <x:c r="B460" s="22" t="str">
        <x:f>"CA"</x:f>
        <x:v>CA</x:v>
      </x:c>
      <x:c r="C460" s="22" t="str">
        <x:f>"0x01CA"</x:f>
        <x:v>0x01CA</x:v>
      </x:c>
      <x:c r="D460" s="21" t="str">
        <x:v>&lt;SPEAKER&gt;「おなごの いいえは はいのうちー
さあ すわった すわった!
じりりりりんと さあ はじまりぃー</x:v>
      </x:c>
      <x:c r="E460" s="19" t="str">
        <x:v>&lt;SPEAKER&gt;A lady's 'no' means
'yes'! Come on, sit down, sit
down! Ring-a-ling! Here we go!</x:v>
      </x:c>
      <x:c r="F460" s="20" t="str"/>
      <x:c r="G460" s="20" t="str"/>
      <x:c r="H460" s="23" t="str">
        <x:v>SPEAKER NEWLINE NEWLINE END</x:v>
      </x:c>
      <x:c r="I460" s="23" t="str">
        <x:v>EA:5CD1</x:v>
      </x:c>
      <x:c r="J460" s="23" t="str">
        <x:v>CC 41 01 6C 61 64 79 27 73 01 27 6E 6F 27 01 6D 65 61 6E 73 C8 27 79 65 73 27 21 01 43 6F 6D 65 01 6F 6E 2C 01 73 69 74 01 64 6F 77 6E 2C 01 73 69 74 C8 64 6F 77 6E 21 01 52 69 6E 67 2D 61 2D 6C 69 6E 67 21 01 48 65 72 65 01 77 65 01 67 6F 21 C0</x:v>
      </x:c>
      <x:c r="K460" s="23" t="str">
        <x:v>1CC 014 024 084 019 028 001 011 011 013 029 001 029 011 028 012 020 078 1C8 01A 010 001 01C 03B 03E 01F 001 01C 03B 03E 01F 07A 1C8 084 01B 037 037 037 037 03D 023 001 01A 010 001 029 084 01B 02E 037 07C 078 1C0</x:v>
      </x:c>
    </x:row>
    <x:row r="461">
      <x:c r="A461" s="22" t="str">
        <x:f>"01"</x:f>
        <x:v>01</x:v>
      </x:c>
      <x:c r="B461" s="22" t="str">
        <x:f>"CB"</x:f>
        <x:v>CB</x:v>
      </x:c>
      <x:c r="C461" s="22" t="str">
        <x:f>"0x01CB"</x:f>
        <x:v>0x01CB</x:v>
      </x:c>
      <x:c r="D461" s="21" t="str">
        <x:v>&lt;SPEAKER&gt;「ほれほれ いちばんまえに
すわった すわった</x:v>
      </x:c>
      <x:c r="E461" s="19" t="str">
        <x:v>&lt;SPEAKER&gt;Come now, sit
in the front. Sit, sit!</x:v>
      </x:c>
      <x:c r="F461" s="20" t="str"/>
      <x:c r="G461" s="20" t="str"/>
      <x:c r="H461" s="23" t="str">
        <x:v>SPEAKER NEWLINE END</x:v>
      </x:c>
      <x:c r="I461" s="23" t="str">
        <x:v>EA:5D23</x:v>
      </x:c>
      <x:c r="J461" s="23" t="str">
        <x:v>CC 43 6F 6D 65 01 6E 6F 77 2C 01 73 69 74 C8 69 6E 01 74 68 65 01 66 72 6F 6E 74 2E 01 53 69 74 2C 01 73 69 74 21 C0</x:v>
      </x:c>
      <x:c r="K461" s="23" t="str">
        <x:v>1CC 02D 039 02D 039 001 011 020 084 029 03D 02E 013 025 1C8 01C 03B 03E 01F 001 01C 03B 03E 01F 1C0</x:v>
      </x:c>
    </x:row>
    <x:row r="462">
      <x:c r="A462" s="22" t="str">
        <x:f>"01"</x:f>
        <x:v>01</x:v>
      </x:c>
      <x:c r="B462" s="22" t="str">
        <x:f>"CC"</x:f>
        <x:v>CC</x:v>
      </x:c>
      <x:c r="C462" s="22" t="str">
        <x:f>"0x01CC"</x:f>
        <x:v>0x01CC</x:v>
      </x:c>
      <x:c r="D462" s="21" t="str">
        <x:v>&lt;SPEAKER&gt;「ぜい ぜい はあ はあ
としのせいで じょうえいは
一日 一回が げんどじゃ・・・</x:v>
      </x:c>
      <x:c r="E462" s="19" t="str">
        <x:v>&lt;SPEAKER&gt;Wheeze... gasp...
At my age, I can only
run one showing a day...</x:v>
      </x:c>
      <x:c r="F462" s="20" t="str"/>
      <x:c r="G462" s="20" t="str"/>
      <x:c r="H462" s="23" t="str">
        <x:v>SPEAKER NEWLINE NEWLINE END</x:v>
      </x:c>
      <x:c r="I462" s="23" t="str">
        <x:v>EA:5D4A</x:v>
      </x:c>
      <x:c r="J462" s="23" t="str">
        <x:v>CC 57 68 65 65 7A 65 2E 2E 2E 01 67 61 73 70 2E 2E 2E C8 41 74 01 6D 79 01 61 67 65 2C 01 49 01 63 61 6E 01 6F 6E 6C 79 C8 72 75 6E 01 6F 6E 65 01 73 68 6F 77 69 6E 67 01 61 01 64 61 79 2E 2E 2E C0</x:v>
      </x:c>
      <x:c r="K462" s="23" t="str">
        <x:v>1CC 084 01D 011 001 084 01D 011 001 029 010 001 029 010 1C8 023 01B 028 01D 011 084 022 001 084 01B 041 012 013 011 029 1C8 0AF 120 001 0AF 169 084 015 001 084 018 03D 084 023 084 01B 03F 081 081 081 1C0</x:v>
      </x:c>
    </x:row>
    <x:row r="463">
      <x:c r="A463" s="22" t="str">
        <x:f>"01"</x:f>
        <x:v>01</x:v>
      </x:c>
      <x:c r="B463" s="22" t="str">
        <x:f>"CD"</x:f>
        <x:v>CD</x:v>
      </x:c>
      <x:c r="C463" s="22" t="str">
        <x:f>"0x01CD"</x:f>
        <x:v>0x01CD</x:v>
      </x:c>
      <x:c r="D463" s="21" t="str">
        <x:v>&lt;SPEAKER&gt;「おう ねえちゃん! 来たな!
まわりを 見なよ! ひとくせも
ふたくせも ありそうな やつばかりよ&lt;WAIT&gt;&lt;SPEAKER&gt;「連中も このデスランドに
宝のにおいを かぎつけたに
ちげえねえ! ライバルだぜ</x:v>
      </x:c>
      <x:c r="E463" s="19" t="str">
        <x:v>&lt;SPEAKER&gt;Hey, sis! You made
it! Look around. Every one of
these people looks like trouble.&lt;WAIT&gt;&lt;SPEAKER&gt;They must have smelled
treasure on Deathland too.
No doubt. They're our rivals!</x:v>
      </x:c>
      <x:c r="F463" s="20" t="str"/>
      <x:c r="G463" s="20" t="str"/>
      <x:c r="H463" s="23" t="str">
        <x:v>SPEAKER NEWLINE NEWLINE WAIT SPEAKER NEWLINE NEWLINE END</x:v>
      </x:c>
      <x:c r="I463" s="23" t="str">
        <x:v>EA:5D8C</x:v>
      </x:c>
      <x:c r="J463" s="23" t="str">
        <x:v>CC 48 65 79 2C 01 73 69 73 21 01 59 6F 75 01 6D 61 64 65 C8 69 74 21 01 4C 6F 6F 6B 01 61 72 6F 75 6E 64 2E 01 45 76 65 72 79 01 6F 6E 65 01 6F 66 C8 74 68 65 73 65 01 70 65 6F 70 6C 65 01 6C 6F 6F 6B 73 01 6C 69 6B 65 01 74 72 6F 75 62 6C 65 2E C5 CC 54 68 65 79 01 6D 75 73 74 01 68 61 76 65 01 73 6D 65 6C 6C 65 64 C8 74 72 65 61 73 75 72 65 01 6F 6E 01 44 65 61 74 68 6C 61 6E 64 01 74 6F 6F 2E C8 4E 6F 01 64 6F 75 62 74 2E 01 54 68 65 79 27 72 65 01 6F 75 72 01 72 69 76 61 6C 73 21 C0</x:v>
      </x:c>
      <x:c r="K463" s="23" t="str">
        <x:v>1CC 014 012 001 027 013 020 03F 03D 07A 001 097 01F 024 07A 1C8 02E 03B 037 03C 001 090 024 035 07A 001 02A 023 017 01D 032 1C8 02B 01F 017 01D 032 001 010 037 01E 012 024 001 033 021 084 029 015 037 035 1C5 1CC 0D1 0A1 032 001 019 028 084 054 04E 068 06F 084 055 025 1C8 095 028 025 014 011 03C 001 015 084 016 021 018 01F 025 1C8 020 084 018 013 027 013 07A 001 068 043 084 05B 06A 084 01F 084 01D 1C0</x:v>
      </x:c>
    </x:row>
    <x:row r="464">
      <x:c r="A464" s="22" t="str">
        <x:f>"01"</x:f>
        <x:v>01</x:v>
      </x:c>
      <x:c r="B464" s="22" t="str">
        <x:f>"CE"</x:f>
        <x:v>CE</x:v>
      </x:c>
      <x:c r="C464" s="22" t="str">
        <x:f>"0x01CE"</x:f>
        <x:v>0x01CE</x:v>
      </x:c>
      <x:c r="D464" s="21" t="str">
        <x:v>&lt;SPEAKER&gt;「かーっ! まいったぜ まったく
おれの 聞いてた この島の話と
ぜんぜんちがうぜ とほほだな!</x:v>
      </x:c>
      <x:c r="E464" s="19" t="str">
        <x:v>&lt;SPEAKER&gt;Dammit, what a letdown!
This island is nothing like
what I was told. What a joke!</x:v>
      </x:c>
      <x:c r="F464" s="20" t="str"/>
      <x:c r="G464" s="20" t="str"/>
      <x:c r="H464" s="23" t="str">
        <x:v>SPEAKER NEWLINE NEWLINE END</x:v>
      </x:c>
      <x:c r="I464" s="23" t="str">
        <x:v>EA:5E30</x:v>
      </x:c>
      <x:c r="J464" s="23" t="str">
        <x:v>CC 44 61 6D 6D 69 74 2C 01 77 68 61 74 01 61 01 6C 65 74 64 6F 77 6E 21 C8 54 68 69 73 01 69 73 6C 61 6E 64 01 69 73 01 6E 6F 74 68 69 6E 67 01 6C 69 6B 65 C8 77 68 61 74 01 49 01 77 61 73 01 74 6F 6C 64 2E 01 57 68 61 74 01 61 01 6A 6F 6B 65 21 C0</x:v>
      </x:c>
      <x:c r="K464" s="23" t="str">
        <x:v>1CC 015 078 03E 07A 001 02E 011 03E 01F 084 01D 001 02E 03E 01F 017 1C8 014 039 028 001 0A6 011 022 01F 001 019 028 08A 028 0A0 023 1C8 084 01D 03D 084 01D 03D 020 084 015 012 084 01D 001 023 02D 02D 084 01F 024 07A 1C0</x:v>
      </x:c>
    </x:row>
    <x:row r="465">
      <x:c r="A465" s="22" t="str">
        <x:f>"01"</x:f>
        <x:v>01</x:v>
      </x:c>
      <x:c r="B465" s="22" t="str">
        <x:f>"CF"</x:f>
        <x:v>CF</x:v>
      </x:c>
      <x:c r="C465" s="22" t="str">
        <x:f>"0x01CF"</x:f>
        <x:v>0x01CF</x:v>
      </x:c>
      <x:c r="D465" s="21" t="str">
        <x:v>&lt;SPEAKER&gt;「わたしは 天才かがくしゃ
キングバロンのように いだいな
発明をするのが ゆめなのです&lt;WAIT&gt;&lt;SPEAKER&gt;「かれのことを すこしでも
学ぶために この島に
来たのです</x:v>
      </x:c>
      <x:c r="E465" s="19" t="str">
        <x:v>&lt;SPEAKER&gt;I'm a brilliant scientist.
My dream is to invent something
as great as King Baron did.&lt;WAIT&gt;&lt;SPEAKER&gt;I came to this island to
learn everything I can about him.</x:v>
      </x:c>
      <x:c r="F465" s="20" t="str"/>
      <x:c r="G465" s="20" t="str"/>
      <x:c r="H465" s="23" t="str">
        <x:v>SPEAKER NEWLINE NEWLINE WAIT SPEAKER NEWLINE END</x:v>
      </x:c>
      <x:c r="I465" s="23" t="str">
        <x:v>EA:5E83</x:v>
      </x:c>
      <x:c r="J465" s="23" t="str">
        <x:v>CC 49 27 6D 01 61 01 62 72 69 6C 6C 69 61 6E 74 01 73 63 69 65 6E 74 69 73 74 2E C8 4D 79 01 64 72 65 61 6D 01 69 73 01 74 6F 01 69 6E 76 65 6E 74 01 73 6F 6D 65 74 68 69 6E 67 C8 61 73 01 67 72 65 61 74 01 61 73 01 4B 69 6E 67 01 42 61 72 6F 6E 01 64 69 64 2E C5 CC 49 01 63 61 6D 65 01 74 6F 01 74 68 69 73 01 69 73 6C 61 6E 64 01 74 6F C8 6C 65 61 72 6E 01 65 76 65 72 79 74 68 69 6E 67 01 49 01 63 61 6E 01 61 62 6F 75 74 01 68 69 6D 2E C0</x:v>
      </x:c>
      <x:c r="K465" s="23" t="str">
        <x:v>1CC 03B 01F 01B 029 001 0C5 10A 015 084 015 017 01B 03F 1C8 048 06F 084 049 084 05B 06C 06F 028 035 012 025 001 011 084 01F 011 024 1C8 0C8 0BF 03C 01C 038 028 084 015 001 034 031 024 028 084 022 01C 1C5 1CC 015 039 028 019 023 03C 001 01C 019 01B 084 022 032 1C8 0B7 084 02B 01F 031 025 001 019 028 08A 025 1C8 097 01F 028 084 022 01C 1C0</x:v>
      </x:c>
    </x:row>
    <x:row r="466">
      <x:c r="A466" s="22" t="str">
        <x:f>"01"</x:f>
        <x:v>01</x:v>
      </x:c>
      <x:c r="B466" s="22" t="str">
        <x:f>"D0"</x:f>
        <x:v>D0</x:v>
      </x:c>
      <x:c r="C466" s="22" t="str">
        <x:f>"0x01D0"</x:f>
        <x:v>0x01D0</x:v>
      </x:c>
      <x:c r="D466" s="21" t="str">
        <x:v>&lt;SPEAKER&gt;「キングバロンは あまりに
いだいすぎて かれのようには
とても なれないなあ・・・</x:v>
      </x:c>
      <x:c r="E466" s="19" t="str">
        <x:v>&lt;SPEAKER&gt;King Baron was simply
too great. I could never
become someone like him...</x:v>
      </x:c>
      <x:c r="F466" s="20" t="str"/>
      <x:c r="G466" s="20" t="str"/>
      <x:c r="H466" s="23" t="str">
        <x:v>SPEAKER NEWLINE NEWLINE END</x:v>
      </x:c>
      <x:c r="I466" s="23" t="str">
        <x:v>EA:5F17</x:v>
      </x:c>
      <x:c r="J466" s="23" t="str">
        <x:v>CC 4B 69 6E 67 01 42 61 72 6F 6E 01 77 61 73 01 73 69 6D 70 6C 79 C8 74 6F 6F 01 67 72 65 61 74 2E 01 49 01 63 6F 75 6C 64 01 6E 65 76 65 72 C8 62 65 63 6F 6D 65 01 73 6F 6D 65 6F 6E 65 01 6C 69 6B 65 01 68 69 6D 2E 2E 2E C0</x:v>
      </x:c>
      <x:c r="K466" s="23" t="str">
        <x:v>1CC 048 06F 084 049 084 05B 06C 06F 029 001 010 02E 037 025 1C8 011 084 01F 011 01C 084 016 022 001 015 039 028 035 012 025 029 1C8 023 022 032 001 024 039 024 011 024 010 081 081 081 1C0</x:v>
      </x:c>
    </x:row>
    <x:row r="467">
      <x:c r="A467" s="22" t="str">
        <x:f>"01"</x:f>
        <x:v>01</x:v>
      </x:c>
      <x:c r="B467" s="22" t="str">
        <x:f>"D1"</x:f>
        <x:v>D1</x:v>
      </x:c>
      <x:c r="C467" s="22" t="str">
        <x:f>"0x01D1"</x:f>
        <x:v>0x01D1</x:v>
      </x:c>
      <x:c r="D467" s="21" t="str">
        <x:v>&lt;SPEAKER&gt;「巨大トマトンの 化石が
みつかったいじょう ほかにも
何か あるに ちがいないわい</x:v>
      </x:c>
      <x:c r="E467" s="19" t="str">
        <x:v>&lt;SPEAKER&gt;A giant Tomaton fossil
was found. There must be
more discoveries out there!</x:v>
      </x:c>
      <x:c r="F467" s="20" t="str"/>
      <x:c r="G467" s="20" t="str"/>
      <x:c r="H467" s="23" t="str">
        <x:v>SPEAKER NEWLINE NEWLINE END</x:v>
      </x:c>
      <x:c r="I467" s="23" t="str">
        <x:v>EA:5F62</x:v>
      </x:c>
      <x:c r="J467" s="23" t="str">
        <x:v>CC 41 01 67 69 61 6E 74 01 54 6F 6D 61 74 6F 6E 01 66 6F 73 73 69 6C C8 77 61 73 01 66 6F 75 6E 64 2E 01 54 68 65 72 65 01 6D 75 73 74 01 62 65 C8 6D 6F 72 65 01 64 69 73 63 6F 76 65 72 69 65 73 01 6F 75 74 01 74 68 65 72 65 21 C0</x:v>
      </x:c>
      <x:c r="K467" s="23" t="str">
        <x:v>1CC 0CC 0AC 055 060 055 06F 028 001 09E 09D 084 015 1C8 02F 021 015 03E 01F 011 084 01B 041 012 001 02D 015 025 032 1C8 093 015 001 010 038 025 001 020 084 015 011 024 011 03B 011 1C0</x:v>
      </x:c>
    </x:row>
    <x:row r="468">
      <x:c r="A468" s="22" t="str">
        <x:f>"01"</x:f>
        <x:v>01</x:v>
      </x:c>
      <x:c r="B468" s="22" t="str">
        <x:f>"D2"</x:f>
        <x:v>D2</x:v>
      </x:c>
      <x:c r="C468" s="22" t="str">
        <x:f>"0x01D2"</x:f>
        <x:v>0x01D2</x:v>
      </x:c>
      <x:c r="D468" s="21" t="str">
        <x:v>&lt;SPEAKER&gt;「うーむ わしは あまり 島の
奥に 行くのは やめておこうかの
命あっての 研究じゃからな</x:v>
      </x:c>
      <x:c r="E468" s="19" t="str">
        <x:v>&lt;SPEAKER&gt;Hmm... Maybe I shouldn't
go too deep into the island.
Research is no use if I'm dead.</x:v>
      </x:c>
      <x:c r="F468" s="20" t="str"/>
      <x:c r="G468" s="20" t="str"/>
      <x:c r="H468" s="23" t="str">
        <x:v>SPEAKER NEWLINE NEWLINE END</x:v>
      </x:c>
      <x:c r="I468" s="23" t="str">
        <x:v>EA:5FAF</x:v>
      </x:c>
      <x:c r="J468" s="23" t="str">
        <x:v>CC 48 6D 6D 2E 2E 2E 01 4D 61 79 62 65 01 49 01 73 68 6F 75 6C 64 6E 27 74 C8 67 6F 01 74 6F 6F 01 64 65 65 70 01 69 6E 74 6F 01 74 68 65 01 69 73 6C 61 6E 64 2E C8 52 65 73 65 61 72 63 68 01 69 73 01 6E 6F 01 75 73 65 01 69 66 01 49 27 6D 01 64 65 61 64 2E C0</x:v>
      </x:c>
      <x:c r="K468" s="23" t="str">
        <x:v>1CC 012 078 030 001 03B 01B 029 001 010 02E 037 001 08A 028 1C8 0ED 025 001 08D 017 028 029 001 033 031 022 014 019 012 015 028 1C8 0EE 010 03E 022 028 001 0E5 0E7 084 01B 03F 015 036 024 1C0</x:v>
      </x:c>
    </x:row>
    <x:row r="469">
      <x:c r="A469" s="22" t="str">
        <x:f>"01"</x:f>
        <x:v>01</x:v>
      </x:c>
      <x:c r="B469" s="22" t="str">
        <x:f>"D3"</x:f>
        <x:v>D3</x:v>
      </x:c>
      <x:c r="C469" s="22" t="str">
        <x:f>"0x01D3"</x:f>
        <x:v>0x01D3</x:v>
      </x:c>
      <x:c r="D469" s="21" t="str">
        <x:v>&lt;SPEAKER&gt;「おら おらー! はやく
活動写真を はじめろー
おれは まてねえぞ おらおらー</x:v>
      </x:c>
      <x:c r="E469" s="19" t="str">
        <x:v>&lt;SPEAKER&gt;Hey! Hurry up and
start the movie already!
I ain't waiting forever!</x:v>
      </x:c>
      <x:c r="F469" s="20" t="str"/>
      <x:c r="G469" s="20" t="str"/>
      <x:c r="H469" s="23" t="str">
        <x:v>SPEAKER NEWLINE NEWLINE END</x:v>
      </x:c>
      <x:c r="I469" s="23" t="str">
        <x:v>EA:6006</x:v>
      </x:c>
      <x:c r="J469" s="23" t="str">
        <x:v>CC 48 65 79 21 01 48 75 72 72 79 01 75 70 01 61 6E 64 C8 73 74 61 72 74 01 74 68 65 01 6D 6F 76 69 65 01 61 6C 72 65 61 64 79 21 C8 49 01 61 69 6E 27 74 01 77 61 69 74 69 6E 67 01 66 6F 72 65 76 65 72 21 C0</x:v>
      </x:c>
      <x:c r="K469" s="23" t="str">
        <x:v>1CC 014 036 001 014 036 078 07A 001 029 033 017 1C8 0B4 0B1 0C1 0BD 03C 001 029 084 01B 031 03A 078 1C8 014 039 029 001 02E 022 027 013 084 01E 001 014 036 014 036 078 1C0</x:v>
      </x:c>
    </x:row>
    <x:row r="470">
      <x:c r="A470" s="22" t="str">
        <x:f>"01"</x:f>
        <x:v>01</x:v>
      </x:c>
      <x:c r="B470" s="22" t="str">
        <x:f>"D4"</x:f>
        <x:v>D4</x:v>
      </x:c>
      <x:c r="C470" s="22" t="str">
        <x:f>"0x01D4"</x:f>
        <x:v>0x01D4</x:v>
      </x:c>
      <x:c r="D470" s="21" t="str">
        <x:v>&lt;SPEAKER&gt;「くかー くかー ん?
じょうえいは もう おわったか
まちくたびれて ねちまったぜ!</x:v>
      </x:c>
      <x:c r="E470" s="19" t="str">
        <x:v>&lt;SPEAKER&gt;Snore... snore... Huh? Is
the showing over already? I
got tired of waiting and slept!</x:v>
      </x:c>
      <x:c r="F470" s="20" t="str"/>
      <x:c r="G470" s="20" t="str"/>
      <x:c r="H470" s="23" t="str">
        <x:v>SPEAKER NEWLINE NEWLINE END</x:v>
      </x:c>
      <x:c r="I470" s="23" t="str">
        <x:v>EA:604B</x:v>
      </x:c>
      <x:c r="J470" s="23" t="str">
        <x:v>CC 53 6E 6F 72 65 2E 2E 2E 01 73 6E 6F 72 65 2E 2E 2E 01 48 75 68 3F 01 49 73 C8 74 68 65 01 73 68 6F 77 69 6E 67 01 6F 76 65 72 01 61 6C 72 65 61 64 79 3F 01 49 C8 67 6F 74 01 74 69 72 65 64 01 6F 66 01 77 61 69 74 69 6E 67 01 61 6E 64 01 73 6C 65 70 74 21 C0</x:v>
      </x:c>
      <x:c r="K470" s="23" t="str">
        <x:v>1CC 017 015 078 001 017 015 078 001 03D 079 1C8 084 01B 041 012 013 011 029 001 032 012 001 014 03B 03E 01F 015 1C8 02E 020 017 01F 084 02A 039 022 001 027 020 02E 03E 01F 084 01D 07A 1C0</x:v>
      </x:c>
    </x:row>
    <x:row r="471">
      <x:c r="A471" s="22" t="str">
        <x:f>"01"</x:f>
        <x:v>01</x:v>
      </x:c>
      <x:c r="B471" s="22" t="str">
        <x:f>"D5"</x:f>
        <x:v>D5</x:v>
      </x:c>
      <x:c r="C471" s="22" t="str">
        <x:f>"0x01D5"</x:f>
        <x:v>0x01D5</x:v>
      </x:c>
      <x:c r="D471" s="21" t="str">
        <x:v>&lt;SPEAKER&gt;「わくわくさせるぜ この島はよー
古代の いせきが どっかにあるに
ちがいねえぜ へっ へっ へっ&lt;WAIT&gt;&lt;SPEAKER&gt;「おれさまが さがしあてて
金銀 ざっくざっくで
あれして これして うーん</x:v>
      </x:c>
      <x:c r="E471" s="19" t="str">
        <x:v>&lt;SPEAKER&gt;This island excites
me! There must be ancient
ruins somewhere. Heh heh heh.&lt;WAIT&gt;&lt;SPEAKER&gt;I'll find them
first, dig up piles of gold
and silver, then... ohhh!</x:v>
      </x:c>
      <x:c r="F471" s="20" t="str"/>
      <x:c r="G471" s="20" t="str"/>
      <x:c r="H471" s="23" t="str">
        <x:v>SPEAKER NEWLINE NEWLINE WAIT SPEAKER NEWLINE NEWLINE END</x:v>
      </x:c>
      <x:c r="I471" s="23" t="str">
        <x:v>EA:60A2</x:v>
      </x:c>
      <x:c r="J471" s="23" t="str">
        <x:v>CC 54 68 69 73 01 69 73 6C 61 6E 64 01 65 78 63 69 74 65 73 C8 6D 65 21 01 54 68 65 72 65 01 6D 75 73 74 01 62 65 01 61 6E 63 69 65 6E 74 C8 72 75 69 6E 73 01 73 6F 6D 65 77 68 65 72 65 2E 01 48 65 68 01 68 65 68 01 68 65 68 2E C5 CC 49 27 6C 6C 01 66 69 6E 64 01 74 68 65 6D C8 66 69 72 73 74 2C 01 64 69 67 01 75 70 01 70 69 6C 65 73 01 6F 66 01 67 6F 6C 64 C8 61 6E 64 01 73 69 6C 76 65 72 2C 01 74 68 65 6E 2E 2E 2E 01 6F 68 68 68 21 C0</x:v>
      </x:c>
      <x:c r="K471" s="23" t="str">
        <x:v>1CC 03B 017 03B 017 01A 01D 038 084 01D 001 019 028 08A 029 035 078 1C8 096 09F 028 001 011 01D 016 084 015 001 084 023 03E 015 025 010 038 025 1C8 020 084 015 011 027 013 084 01D 001 02C 03E 001 02C 03E 001 02C 03E 1C5 1CC 014 039 01A 02E 084 015 001 01A 084 015 01B 010 022 022 1C8 094 0EC 001 084 01A 03E 017 084 01A 03E 017 084 022 1C8 010 039 01B 022 001 019 039 01B 022 001 012 078 03D 1C0</x:v>
      </x:c>
    </x:row>
    <x:row r="472">
      <x:c r="A472" s="22" t="str">
        <x:f>"01"</x:f>
        <x:v>01</x:v>
      </x:c>
      <x:c r="B472" s="22" t="str">
        <x:f>"D6"</x:f>
        <x:v>D6</x:v>
      </x:c>
      <x:c r="C472" s="22" t="str">
        <x:f>"0x01D6"</x:f>
        <x:v>0x01D6</x:v>
      </x:c>
      <x:c r="D472" s="21" t="str">
        <x:v>&lt;SPEAKER&gt;「化石なんて いらねえんだよ
おれっちが いただくものは
古代の うもれた 宝さ</x:v>
      </x:c>
      <x:c r="E472" s="19" t="str">
        <x:v>&lt;SPEAKER&gt;I don't want fossils.
What I'm after is ancient
treasure buried underground.</x:v>
      </x:c>
      <x:c r="F472" s="20" t="str"/>
      <x:c r="G472" s="20" t="str"/>
      <x:c r="H472" s="23" t="str">
        <x:v>SPEAKER NEWLINE NEWLINE END</x:v>
      </x:c>
      <x:c r="I472" s="23" t="str">
        <x:v>EA:6135</x:v>
      </x:c>
      <x:c r="J472" s="23" t="str">
        <x:v>CC 49 01 64 6F 6E 27 74 01 77 61 6E 74 01 66 6F 73 73 69 6C 73 2E C8 57 68 61 74 01 49 27 6D 01 61 66 74 65 72 01 69 73 01 61 6E 63 69 65 6E 74 C8 74 72 65 61 73 75 72 65 01 62 75 72 69 65 64 01 75 6E 64 65 72 67 72 6F 75 6E 64 2E C0</x:v>
      </x:c>
      <x:c r="K472" s="23" t="str">
        <x:v>1CC 09E 09D 024 03D 022 001 011 036 027 013 03D 084 01F 035 1C8 014 039 03E 020 084 015 001 011 01F 084 01F 017 032 028 029 1C8 096 09F 028 001 012 032 039 01F 001 095 01A 1C0</x:v>
      </x:c>
    </x:row>
    <x:row r="473">
      <x:c r="A473" s="22" t="str">
        <x:f>"01"</x:f>
        <x:v>01</x:v>
      </x:c>
      <x:c r="B473" s="22" t="str">
        <x:f>"D7"</x:f>
        <x:v>D7</x:v>
      </x:c>
      <x:c r="C473" s="22" t="str">
        <x:f>"0x01D7"</x:f>
        <x:v>0x01D7</x:v>
      </x:c>
      <x:c r="D473" s="21" t="str">
        <x:v>&lt;SPEAKER&gt;「ふがふが ふがふが わしも
きっと なんか 見つけるぞい
うほほ うほほほ ふがふがー</x:v>
      </x:c>
      <x:c r="E473" s="19" t="str">
        <x:v>&lt;SPEAKER&gt;Hrumph, hrumph! I'll
find something too, just you
watch! Woo-ho-ho-ho! Hrumph!</x:v>
      </x:c>
      <x:c r="F473" s="20" t="str"/>
      <x:c r="G473" s="20" t="str"/>
      <x:c r="H473" s="23" t="str">
        <x:v>SPEAKER NEWLINE NEWLINE END</x:v>
      </x:c>
      <x:c r="I473" s="23" t="str">
        <x:v>EA:6183</x:v>
      </x:c>
      <x:c r="J473" s="23" t="str">
        <x:v>CC 48 72 75 6D 70 68 2C 01 68 72 75 6D 70 68 21 01 49 27 6C 6C C8 66 69 6E 64 01 73 6F 6D 65 74 68 69 6E 67 01 74 6F 6F 2C 01 6A 75 73 74 01 79 6F 75 C8 77 61 74 63 68 21 01 57 6F 6F 2D 68 6F 2D 68 6F 2D 68 6F 21 01 48 72 75 6D 70 68 21 C0</x:v>
      </x:c>
      <x:c r="K473" s="23" t="str">
        <x:v>1CC 02B 084 015 02B 084 015 001 02B 084 015 02B 084 015 001 03B 01B 032 1C8 016 03E 023 001 024 03D 015 001 090 021 018 038 084 01E 011 1C8 012 02D 02D 001 012 02D 02D 02D 001 02B 084 015 02B 084 015 078 1C0</x:v>
      </x:c>
    </x:row>
    <x:row r="474">
      <x:c r="A474" s="22" t="str">
        <x:f>"01"</x:f>
        <x:v>01</x:v>
      </x:c>
      <x:c r="B474" s="22" t="str">
        <x:f>"D8"</x:f>
        <x:v>D8</x:v>
      </x:c>
      <x:c r="C474" s="22" t="str">
        <x:f>"0x01D8"</x:f>
        <x:v>0x01D8</x:v>
      </x:c>
      <x:c r="D474" s="21" t="str">
        <x:v>&lt;SPEAKER&gt;「ふがふが わしには ムリじゃ
じいさんと いっしょに
観光でも するかのう</x:v>
      </x:c>
      <x:c r="E474" s="19" t="str">
        <x:v>&lt;SPEAKER&gt;Hrumph... I can't
do this. Maybe I'll just go
sightseeing with the old man.</x:v>
      </x:c>
      <x:c r="F474" s="20" t="str"/>
      <x:c r="G474" s="20" t="str"/>
      <x:c r="H474" s="23" t="str">
        <x:v>SPEAKER NEWLINE NEWLINE END</x:v>
      </x:c>
      <x:c r="I474" s="23" t="str">
        <x:v>EA:61D3</x:v>
      </x:c>
      <x:c r="J474" s="23" t="str">
        <x:v>CC 48 72 75 6D 70 68 2E 2E 2E 01 49 01 63 61 6E 27 74 C8 64 6F 01 74 68 69 73 2E 01 4D 61 79 62 65 01 49 27 6C 6C 01 6A 75 73 74 01 67 6F C8 73 69 67 68 74 73 65 65 69 6E 67 01 77 69 74 68 01 74 68 65 01 6F 6C 64 01 6D 61 6E 2E C0</x:v>
      </x:c>
      <x:c r="K474" s="23" t="str">
        <x:v>1CC 02B 084 015 02B 084 015 001 03B 01B 025 029 001 062 069 084 01B 03F 1C8 084 01B 011 01A 03D 023 001 011 03E 01B 041 025 1C8 149 14A 084 022 032 001 01C 038 015 028 012 1C0</x:v>
      </x:c>
    </x:row>
    <x:row r="475">
      <x:c r="A475" s="22" t="str">
        <x:f>"01"</x:f>
        <x:v>01</x:v>
      </x:c>
      <x:c r="B475" s="22" t="str">
        <x:f>"D9"</x:f>
        <x:v>D9</x:v>
      </x:c>
      <x:c r="C475" s="22" t="str">
        <x:f>"0x01D9"</x:f>
        <x:v>0x01D9</x:v>
      </x:c>
      <x:c r="D475" s="21" t="str">
        <x:v>&lt;CLEAR&gt;
レンズがついた
きみょうな 道具がある</x:v>
      </x:c>
      <x:c r="E475" s="19" t="str">
        <x:v>&lt;CLEAR&gt;There is a strange
device fitted with a lens.</x:v>
      </x:c>
      <x:c r="F475" s="20" t="str"/>
      <x:c r="G475" s="20" t="str"/>
      <x:c r="H475" s="23" t="str">
        <x:v>CLEAR NEWLINE END</x:v>
      </x:c>
      <x:c r="I475" s="23" t="str">
        <x:v>EA:6220</x:v>
      </x:c>
      <x:c r="J475" s="23" t="str">
        <x:v>D0 54 68 65 72 65 01 69 73 01 61 01 73 74 72 61 6E 67 65 C8 64 65 76 69 63 65 01 66 69 74 74 65 64 01 77 69 74 68 01 61 01 6C 65 6E 73 2E C0</x:v>
      </x:c>
      <x:c r="K475" s="23" t="str">
        <x:v>1D0 06B 06F 084 04E 084 015 021 011 01F 1C8 016 02F 041 012 024 001 0C7 124 084 015 010 038 1C0</x:v>
      </x:c>
    </x:row>
    <x:row r="476">
      <x:c r="A476" s="22" t="str">
        <x:f>"01"</x:f>
        <x:v>01</x:v>
      </x:c>
      <x:c r="B476" s="22" t="str">
        <x:f>"DA"</x:f>
        <x:v>DA</x:v>
      </x:c>
      <x:c r="C476" s="22" t="str">
        <x:f>"0x01DA"</x:f>
        <x:v>0x01DA</x:v>
      </x:c>
      <x:c r="D476" s="21" t="str">
        <x:v>&lt;CLEAR&gt;
これは &lt;INSERT_A&gt;&lt;WAIT&gt;
&lt;CLEAR&gt;
ひどく古くて
もう 役にたたないようだ</x:v>
      </x:c>
      <x:c r="E476" s="19" t="str">
        <x:v>&lt;CLEAR&gt;This is &lt;INSERT_A&gt;.&lt;WAIT&gt;&lt;CLEAR&gt;It is terribly old
and no longer useful.</x:v>
      </x:c>
      <x:c r="F476" s="20" t="str"/>
      <x:c r="G476" s="20" t="str"/>
      <x:c r="H476" s="23" t="str">
        <x:v>CLEAR INSERT_A WAIT CLEAR NEWLINE END</x:v>
      </x:c>
      <x:c r="I476" s="23" t="str">
        <x:v>EA:624F</x:v>
      </x:c>
      <x:c r="J476" s="23" t="str">
        <x:v>D0 54 68 69 73 01 69 73 01 C4 2E C5 D0 49 74 01 69 73 01 74 65 72 72 69 62 6C 79 01 6F 6C 64 C8 61 6E 64 01 6E 6F 01 6C 6F 6E 67 65 72 01 75 73 65 66 75 6C 2E C0</x:v>
      </x:c>
      <x:c r="K476" s="23" t="str">
        <x:v>1D0 019 039 029 001 1C4 1C5 1D0 02A 084 023 017 096 017 022 1C8 032 012 001 15E 025 01F 01F 024 011 035 012 084 01F 1C0</x:v>
      </x:c>
    </x:row>
    <x:row r="477">
      <x:c r="A477" s="22" t="str">
        <x:f>"01"</x:f>
        <x:v>01</x:v>
      </x:c>
      <x:c r="B477" s="22" t="str">
        <x:f>"DB"</x:f>
        <x:v>DB</x:v>
      </x:c>
      <x:c r="C477" s="22" t="str">
        <x:f>"0x01DB"</x:f>
        <x:v>0x01DB</x:v>
      </x:c>
      <x:c r="D477" s="21" t="str">
        <x:v>&lt;CLEAR&gt;
これは &lt;INSERT_A&gt;&lt;WAIT&gt;
&lt;CLEAR&gt;
伝説の王の もんしょうを
かたどった 石像のようだ</x:v>
      </x:c>
      <x:c r="E477" s="19" t="str">
        <x:v>&lt;CLEAR&gt;This is &lt;INSERT_A&gt;.&lt;WAIT&gt;&lt;CLEAR&gt;It seems to be a stone
statue shaped like the
legendary king's crest.</x:v>
      </x:c>
      <x:c r="F477" s="20" t="str"/>
      <x:c r="G477" s="20" t="str"/>
      <x:c r="H477" s="23" t="str">
        <x:v>CLEAR INSERT_A WAIT CLEAR NEWLINE NEWLINE END</x:v>
      </x:c>
      <x:c r="I477" s="23" t="str">
        <x:v>EA:6285</x:v>
      </x:c>
      <x:c r="J477" s="23" t="str">
        <x:v>D0 54 68 69 73 01 69 73 01 C4 2E C5 D0 49 74 01 73 65 65 6D 73 01 74 6F 01 62 65 01 61 01 73 74 6F 6E 65 C8 73 74 61 74 75 65 01 73 68 61 70 65 64 01 6C 69 6B 65 01 74 68 65 C8 6C 65 67 65 6E 64 61 72 79 01 6B 69 6E 67 27 73 01 63 72 65 73 74 2E C0</x:v>
      </x:c>
      <x:c r="K477" s="23" t="str">
        <x:v>1D0 019 039 029 001 1C4 1C5 1D0 092 08F 028 155 028 001 032 03D 01B 041 012 03C 1C8 015 01F 084 023 03E 01F 001 09D 159 028 035 012 084 01F 1C0</x:v>
      </x:c>
    </x:row>
    <x:row r="478">
      <x:c r="A478" s="22" t="str">
        <x:f>"01"</x:f>
        <x:v>01</x:v>
      </x:c>
      <x:c r="B478" s="22" t="str">
        <x:f>"DC"</x:f>
        <x:v>DC</x:v>
      </x:c>
      <x:c r="C478" s="22" t="str">
        <x:f>"0x01DC"</x:f>
        <x:v>0x01DC</x:v>
      </x:c>
      <x:c r="D478" s="21" t="str">
        <x:v>&lt;CLEAR&gt;
大きな ぬのが はってある</x:v>
      </x:c>
      <x:c r="E478" s="19" t="str">
        <x:v>&lt;CLEAR&gt;A large cloth is stretched here.</x:v>
      </x:c>
      <x:c r="F478" s="20" t="str"/>
      <x:c r="G478" s="20" t="str"/>
      <x:c r="H478" s="23" t="str">
        <x:v>CLEAR END</x:v>
      </x:c>
      <x:c r="I478" s="23" t="str">
        <x:v>EA:62D8</x:v>
      </x:c>
      <x:c r="J478" s="23" t="str">
        <x:v>D0 41 01 6C 61 72 67 65 01 63 6C 6F 74 68 01 69 73 01 73 74 72 65 74 63 68 65 64 01 68 65 72 65 2E C0</x:v>
      </x:c>
      <x:c r="K478" s="23" t="str">
        <x:v>1D0 0AC 016 024 001 026 028 084 015 001 029 03E 022 010 038 1C0</x:v>
      </x:c>
    </x:row>
    <x:row r="479">
      <x:c r="A479" s="22" t="str">
        <x:f>"01"</x:f>
        <x:v>01</x:v>
      </x:c>
      <x:c r="B479" s="22" t="str">
        <x:f>"DD"</x:f>
        <x:v>DD</x:v>
      </x:c>
      <x:c r="C479" s="22" t="str">
        <x:f>"0x01DD"</x:f>
        <x:v>0x01DD</x:v>
      </x:c>
      <x:c r="D479" s="21" t="str">
        <x:v>&lt;SPEAKER&gt;「おお 見すてられた博物館に
お客さまとは めずらしい&lt;WAIT&gt;&lt;SPEAKER&gt;「つい この間までは ここも
観光客で にぎわっていたが
いまは もう 誰もおらんよ&lt;WAIT&gt;&lt;SPEAKER&gt;「わしも そうじがすんだら ここを
出るよ そして 二度ともどって来ん
ゆめは おわったのだ・・・</x:v>
      </x:c>
      <x:c r="E479" s="19" t="str">
        <x:v>&lt;SPEAKER&gt;A visitor to this
abandoned museum? How unusual.&lt;WAIT&gt;&lt;SPEAKER&gt;Until recently, this
place was packed with
tourists. Now no one is left.&lt;WAIT&gt;&lt;SPEAKER&gt;Once I finish cleaning,
I'll leave and never come
back. The dream is over...</x:v>
      </x:c>
      <x:c r="F479" s="20" t="str"/>
      <x:c r="G479" s="20" t="str"/>
      <x:c r="H479" s="23" t="str">
        <x:v>SPEAKER NEWLINE WAIT SPEAKER NEWLINE NEWLINE WAIT SPEAKER NEWLINE NEWLINE END</x:v>
      </x:c>
      <x:c r="I479" s="23" t="str">
        <x:v>EA:62FA</x:v>
      </x:c>
      <x:c r="J479" s="23" t="str">
        <x:v>CC 41 01 76 69 73 69 74 6F 72 01 74 6F 01 74 68 69 73 C8 61 62 61 6E 64 6F 6E 65 64 01 6D 75 73 65 75 6D 3F 01 48 6F 77 01 75 6E 75 73 75 61 6C 2E C5 CC 55 6E 74 69 6C 01 72 65 63 65 6E 74 6C 79 2C 01 74 68 69 73 C8 70 6C 61 63 65 01 77 61 73 01 70 61 63 6B 65 64 01 77 69 74 68 C8 74 6F 75 72 69 73 74 73 2E 01 4E 6F 77 01 6E 6F 01 6F 6E 65 01 69 73 01 6C 65 66 74 2E C5 CC 4F 6E 63 65 01 49 01 66 69 6E 69 73 68 01 63 6C 65 61 6E 69 6E 67 2C C8 49 27 6C 6C 01 6C 65 61 76 65 01 61 6E 64 01 6E 65 76 65 72 01 63 6F 6D 65 C8 62 61 63 6B 2E 01 54 68 65 01 64 72 65 61 6D 01 69 73 01 6F 76 65 72 2E 2E 2E C0</x:v>
      </x:c>
      <x:c r="K479" s="23" t="str">
        <x:v>1CC 014 014 001 090 01C 022 036 039 01F 0A4 08B 0A3 025 1C8 014 0FD 01A 02E 023 029 001 031 084 01C 036 01B 011 1C5 1CC 021 011 001 019 028 0E3 02E 084 022 029 001 019 019 032 1C8 149 14A 0FD 084 022 001 025 084 016 03B 03E 022 011 01F 084 015 1C8 011 02E 029 001 032 012 001 0FA 032 014 036 03D 035 1C5 1CC 03B 01B 032 001 01E 012 084 01B 084 015 01C 03D 084 01F 036 001 019 019 03C 1C8 106 038 035 001 01E 01B 022 001 189 13E 023 032 084 023 03E 022 097 03D 1C8 034 031 029 001 014 03B 03E 01F 028 084 01F 081 081 081 1C0</x:v>
      </x:c>
    </x:row>
    <x:row r="480">
      <x:c r="A480" s="22" t="str">
        <x:f>"01"</x:f>
        <x:v>01</x:v>
      </x:c>
      <x:c r="B480" s="22" t="str">
        <x:f>"DE"</x:f>
        <x:v>DE</x:v>
      </x:c>
      <x:c r="C480" s="22" t="str">
        <x:f>"0x01DE"</x:f>
        <x:v>0x01DE</x:v>
      </x:c>
      <x:c r="D480" s="21" t="str">
        <x:v>&lt;SPEAKER&gt;「お嬢さんは どうして
こんな所に 来たのかね?&lt;WAIT&gt;&lt;SPEAKER&gt;「思い出の品が ほしくば
何でも 持っていきなされ
みんな 古いだけの がらくたじゃよ</x:v>
      </x:c>
      <x:c r="E480" s="19" t="str">
        <x:v>&lt;SPEAKER&gt;Why did you come to
a place like this, young lady?&lt;WAIT&gt;&lt;SPEAKER&gt;If you want a
souvenir, take anything you
like. It's all just old junk now.</x:v>
      </x:c>
      <x:c r="F480" s="20" t="str"/>
      <x:c r="G480" s="20" t="str"/>
      <x:c r="H480" s="23" t="str">
        <x:v>SPEAKER NEWLINE WAIT SPEAKER NEWLINE NEWLINE END</x:v>
      </x:c>
      <x:c r="I480" s="23" t="str">
        <x:v>EA:63C4</x:v>
      </x:c>
      <x:c r="J480" s="23" t="str">
        <x:v>CC 57 68 79 01 64 69 64 01 79 6F 75 01 63 6F 6D 65 01 74 6F C8 61 01 70 6C 61 63 65 01 6C 69 6B 65 01 74 68 69 73 2C 01 79 6F 75 6E 67 01 6C 61 64 79 3F C5 CC 49 66 01 79 6F 75 01 77 61 6E 74 01 61 C8 73 6F 75 76 65 6E 69 72 2C 01 74 61 6B 65 01 61 6E 79 74 68 69 6E 67 01 79 6F 75 C8 6C 69 6B 65 2E 01 49 74 27 73 01 61 6C 6C 01 6A 75 73 74 01 6F 6C 64 01 6A 75 6E 6B 01 6E 6F 77 2E C0</x:v>
      </x:c>
      <x:c r="K480" s="23" t="str">
        <x:v>1CC 014 0D8 01A 03D 029 001 084 023 012 01B 022 1C8 019 03D 024 12F 025 001 097 01F 028 015 027 079 1C5 1CC 10F 011 106 028 12B 084 015 001 02D 01B 017 084 029 1C8 093 084 022 032 001 0D3 03E 022 011 016 024 01A 039 1C8 02F 03D 024 001 096 011 084 01F 018 028 001 084 015 036 017 01F 084 01B 03F 035 1C0</x:v>
      </x:c>
    </x:row>
    <x:row r="481">
      <x:c r="A481" s="22" t="str">
        <x:f>"01"</x:f>
        <x:v>01</x:v>
      </x:c>
      <x:c r="B481" s="22" t="str">
        <x:f>"DF"</x:f>
        <x:v>DF</x:v>
      </x:c>
      <x:c r="C481" s="22" t="str">
        <x:f>"0x01DF"</x:f>
        <x:v>0x01DF</x:v>
      </x:c>
      <x:c r="D481" s="21" t="str">
        <x:v>&lt;SPEAKER&gt;「フォフォフォフォー
わたしは ゲムせいじん でーす&lt;WAIT&gt;&lt;SPEAKER&gt;「これ あげまーす!</x:v>
      </x:c>
      <x:c r="E481" s="19" t="str">
        <x:v>&lt;SPEAKER&gt;Fo-fo-fo-fo! I
am an alien from Gem!&lt;WAIT&gt;&lt;SPEAKER&gt;Here, take this!</x:v>
      </x:c>
      <x:c r="F481" s="20" t="str"/>
      <x:c r="G481" s="20" t="str"/>
      <x:c r="H481" s="23" t="str">
        <x:v>SPEAKER NEWLINE WAIT SPEAKER END</x:v>
      </x:c>
      <x:c r="I481" s="23" t="str">
        <x:v>EA:6445</x:v>
      </x:c>
      <x:c r="J481" s="23" t="str">
        <x:v>CC 46 6F 2D 66 6F 2D 66 6F 2D 66 6F 21 01 49 C8 61 6D 01 61 6E 01 61 6C 69 65 6E 01 66 72 6F 6D 01 47 65 6D 21 C5 CC 48 65 72 65 2C 01 74 61 6B 65 01 74 68 69 73 21 C0</x:v>
      </x:c>
      <x:c r="K481" s="23" t="str">
        <x:v>1CC 05D 077 05D 077 05D 077 05D 077 078 1C8 03B 01F 01B 029 001 084 04A 062 01D 011 084 01B 03D 001 084 022 078 01C 1C5 1CC 019 039 001 010 084 018 02E 078 01C 07A 1C0</x:v>
      </x:c>
    </x:row>
    <x:row r="482">
      <x:c r="A482" s="22" t="str">
        <x:f>"01"</x:f>
        <x:v>01</x:v>
      </x:c>
      <x:c r="B482" s="22" t="str">
        <x:f>"E0"</x:f>
        <x:v>E0</x:v>
      </x:c>
      <x:c r="C482" s="22" t="str">
        <x:f>"0x01E0"</x:f>
        <x:v>0x01E0</x:v>
      </x:c>
      <x:c r="D482" s="21" t="str">
        <x:v>&lt;SPEAKER&gt;「おいしいよ</x:v>
      </x:c>
      <x:c r="E482" s="19" t="str">
        <x:v>&lt;SPEAKER&gt;Delicious.</x:v>
      </x:c>
      <x:c r="F482" s="20" t="str"/>
      <x:c r="G482" s="20" t="str"/>
      <x:c r="H482" s="23" t="str">
        <x:v>SPEAKER END</x:v>
      </x:c>
      <x:c r="I482" s="23" t="str">
        <x:v>EA:647D</x:v>
      </x:c>
      <x:c r="J482" s="23" t="str">
        <x:v>CC 44 65 6C 69 63 69 6F 75 73 2E C0</x:v>
      </x:c>
      <x:c r="K482" s="23" t="str">
        <x:v>1CC 014 011 01B 011 035 1C0</x:v>
      </x:c>
    </x:row>
    <x:row r="483">
      <x:c r="A483" s="22" t="str">
        <x:f>"01"</x:f>
        <x:v>01</x:v>
      </x:c>
      <x:c r="B483" s="22" t="str">
        <x:f>"E1"</x:f>
        <x:v>E1</x:v>
      </x:c>
      <x:c r="C483" s="22" t="str">
        <x:f>"0x01E1"</x:f>
        <x:v>0x01E1</x:v>
      </x:c>
      <x:c r="D483" s="21" t="str">
        <x:v>&lt;SPEAKER&gt;「それは ちょっとアレだね</x:v>
      </x:c>
      <x:c r="E483" s="19" t="str">
        <x:v>&lt;SPEAKER&gt;That one is... questionable.</x:v>
      </x:c>
      <x:c r="F483" s="20" t="str"/>
      <x:c r="G483" s="20" t="str"/>
      <x:c r="H483" s="23" t="str">
        <x:v>SPEAKER END</x:v>
      </x:c>
      <x:c r="I483" s="23" t="str">
        <x:v>EA:6489</x:v>
      </x:c>
      <x:c r="J483" s="23" t="str">
        <x:v>CC 54 68 61 74 01 6F 6E 65 01 69 73 2E 2E 2E 01 71 75 65 73 74 69 6F 6E 61 62 6C 65 2E C0</x:v>
      </x:c>
      <x:c r="K483" s="23" t="str">
        <x:v>1CC 01E 039 029 001 020 041 03E 023 042 06B 084 01F 027 1C0</x:v>
      </x:c>
    </x:row>
    <x:row r="484">
      <x:c r="A484" s="22" t="str">
        <x:f>"01"</x:f>
        <x:v>01</x:v>
      </x:c>
      <x:c r="B484" s="22" t="str">
        <x:f>"E2"</x:f>
        <x:v>E2</x:v>
      </x:c>
      <x:c r="C484" s="22" t="str">
        <x:f>"0x01E2"</x:f>
        <x:v>0x01E2</x:v>
      </x:c>
      <x:c r="D484" s="21" t="str">
        <x:v>&lt;SPEAKER&gt;「もうないよ</x:v>
      </x:c>
      <x:c r="E484" s="19" t="str">
        <x:v>&lt;SPEAKER&gt;All gone.</x:v>
      </x:c>
      <x:c r="F484" s="20" t="str"/>
      <x:c r="G484" s="20" t="str"/>
      <x:c r="H484" s="23" t="str">
        <x:v>SPEAKER END</x:v>
      </x:c>
      <x:c r="I484" s="23" t="str">
        <x:v>EA:64A7</x:v>
      </x:c>
      <x:c r="J484" s="23" t="str">
        <x:v>CC 41 6C 6C 01 67 6F 6E 65 2E C0</x:v>
      </x:c>
      <x:c r="K484" s="23" t="str">
        <x:v>1CC 032 012 024 011 035 1C0</x:v>
      </x:c>
    </x:row>
    <x:row r="485">
      <x:c r="A485" s="22" t="str">
        <x:f>"01"</x:f>
        <x:v>01</x:v>
      </x:c>
      <x:c r="B485" s="22" t="str">
        <x:f>"E3"</x:f>
        <x:v>E3</x:v>
      </x:c>
      <x:c r="C485" s="22" t="str">
        <x:f>"0x01E3"</x:f>
        <x:v>0x01E3</x:v>
      </x:c>
      <x:c r="D485" s="21" t="str">
        <x:v>&lt;CLEAR&gt;
↖ けんこうのたき デスランドのみなと
↗ リバータウン バロン城</x:v>
      </x:c>
      <x:c r="E485" s="19" t="str">
        <x:v>&lt;CLEAR&gt;&lt;Healthfall / Deathland Port
&gt; Rivertown / Baron Castle</x:v>
      </x:c>
      <x:c r="F485" s="20" t="str"/>
      <x:c r="G485" s="20" t="str"/>
      <x:c r="H485" s="23" t="str">
        <x:v>CLEAR NEWLINE END</x:v>
      </x:c>
      <x:c r="I485" s="23" t="str">
        <x:v>EA:64B2</x:v>
      </x:c>
      <x:c r="J485" s="23" t="str">
        <x:v>D0 3C 48 65 61 6C 74 68 66 61 6C 6C 01 2F 01 44 65 61 74 68 6C 61 6E 64 01 50 6F 72 74 C8 3E 01 52 69 76 65 72 74 6F 77 6E 01 2F 01 42 61 72 6F 6E 01 43 61 73 74 6C 65 C0</x:v>
      </x:c>
      <x:c r="K485" s="23" t="str">
        <x:v>1D0 1A1 001 018 03D 019 012 028 01F 016 001 084 054 04E 068 06F 084 055 028 02F 024 023 1C8 1A3 001 069 084 05B 078 051 044 06F 001 084 05B 06C 06F 08C 1C0</x:v>
      </x:c>
    </x:row>
    <x:row r="486">
      <x:c r="A486" s="22" t="str">
        <x:f>"01"</x:f>
        <x:v>01</x:v>
      </x:c>
      <x:c r="B486" s="22" t="str">
        <x:f>"E4"</x:f>
        <x:v>E4</x:v>
      </x:c>
      <x:c r="C486" s="22" t="str">
        <x:f>"0x01E4"</x:f>
        <x:v>0x01E4</x:v>
      </x:c>
      <x:c r="D486" s="21" t="str">
        <x:v>&lt;SPEAKER&gt;「ここは リバータウンの町
デスランドで いちばん
町らしい 町よ</x:v>
      </x:c>
      <x:c r="E486" s="19" t="str">
        <x:v>&lt;SPEAKER&gt;This is Rivertown.
It is the closest thing
Deathland has to a real town.</x:v>
      </x:c>
      <x:c r="F486" s="20" t="str"/>
      <x:c r="G486" s="20" t="str"/>
      <x:c r="H486" s="23" t="str">
        <x:v>SPEAKER NEWLINE NEWLINE END</x:v>
      </x:c>
      <x:c r="I486" s="23" t="str">
        <x:v>EA:64EB</x:v>
      </x:c>
      <x:c r="J486" s="23" t="str">
        <x:v>CC 54 68 69 73 01 69 73 01 52 69 76 65 72 74 6F 77 6E 2E C8 49 74 01 69 73 01 74 68 65 01 63 6C 6F 73 65 73 74 01 74 68 69 6E 67 C8 44 65 61 74 68 6C 61 6E 64 01 68 61 73 01 74 6F 01 61 01 72 65 61 6C 01 74 6F 77 6E 2E C0</x:v>
      </x:c>
      <x:c r="K486" s="23" t="str">
        <x:v>1CC 019 019 029 001 069 084 05B 078 051 044 06F 028 0C9 1C8 084 054 04E 068 06F 084 055 084 022 001 011 020 084 029 03D 1C8 0C9 036 01B 011 001 0C9 035 1C0</x:v>
      </x:c>
    </x:row>
    <x:row r="487">
      <x:c r="A487" s="22" t="str">
        <x:f>"01"</x:f>
        <x:v>01</x:v>
      </x:c>
      <x:c r="B487" s="22" t="str">
        <x:f>"E5"</x:f>
        <x:v>E5</x:v>
      </x:c>
      <x:c r="C487" s="22" t="str">
        <x:f>"0x01E5"</x:f>
        <x:v>0x01E5</x:v>
      </x:c>
      <x:c r="D487" s="21" t="str">
        <x:v>&lt;SPEAKER&gt;「うおー さいきんは なんだか
死人が多くて 大変だぜ!
墓が たりないよ まったく!&lt;WAIT&gt;&lt;SPEAKER&gt;「もっとも ほとんど 外から来た
賞金かせぎとか 学者さんとか
そんな連中ばっかりだけどな</x:v>
      </x:c>
      <x:c r="E487" s="19" t="str">
        <x:v>&lt;SPEAKER&gt;What a mess lately!
So many people are dying,
we are running out of graves!&lt;WAIT&gt;&lt;SPEAKER&gt;Most are outsiders,
though. Bounty hunters,
scholars, people like that.</x:v>
      </x:c>
      <x:c r="F487" s="20" t="str"/>
      <x:c r="G487" s="20" t="str"/>
      <x:c r="H487" s="23" t="str">
        <x:v>SPEAKER NEWLINE NEWLINE WAIT SPEAKER NEWLINE NEWLINE END</x:v>
      </x:c>
      <x:c r="I487" s="23" t="str">
        <x:v>EA:6535</x:v>
      </x:c>
      <x:c r="J487" s="23" t="str">
        <x:v>CC 57 68 61 74 01 61 01 6D 65 73 73 01 6C 61 74 65 6C 79 21 C8 53 6F 01 6D 61 6E 79 01 70 65 6F 70 6C 65 01 61 72 65 01 64 79 69 6E 67 2C C8 77 65 01 61 72 65 01 72 75 6E 6E 69 6E 67 01 6F 75 74 01 6F 66 01 67 72 61 76 65 73 21 C5 CC 4D 6F 73 74 01 61 72 65 01 6F 75 74 73 69 64 65 72 73 2C C8 74 68 6F 75 67 68 2E 01 42 6F 75 6E 74 79 01 68 75 6E 74 65 72 73 2C C8 73 63 68 6F 6C 61 72 73 2C 01 70 65 6F 70 6C 65 01 6C 69 6B 65 01 74 68 61 74 2E C0</x:v>
      </x:c>
      <x:c r="K487" s="23" t="str">
        <x:v>1CC 012 014 078 001 01A 011 016 03D 029 001 024 03D 084 01F 015 1C8 0D6 091 084 015 0CE 017 022 001 0AC 178 084 01F 084 01D 07A 1C8 0D7 084 015 001 01F 037 024 011 035 001 02E 03E 01F 017 07A 1C5 1CC 032 03E 023 032 001 02D 023 03D 084 023 001 0F1 015 036 097 01F 1C8 0C6 094 015 01D 084 016 023 015 001 0B7 0A7 01A 03D 023 015 1C8 01E 03D 024 0D1 0A1 084 029 03E 015 037 084 01F 018 084 023 024 1C0</x:v>
      </x:c>
    </x:row>
    <x:row r="488">
      <x:c r="A488" s="22" t="str">
        <x:f>"01"</x:f>
        <x:v>01</x:v>
      </x:c>
      <x:c r="B488" s="22" t="str">
        <x:f>"E6"</x:f>
        <x:v>E6</x:v>
      </x:c>
      <x:c r="C488" s="22" t="str">
        <x:f>"0x01E6"</x:f>
        <x:v>0x01E6</x:v>
      </x:c>
      <x:c r="D488" s="21" t="str">
        <x:v>&lt;SPEAKER&gt;「ひいー あなたー なんで
死んじゃったのよー ううう</x:v>
      </x:c>
      <x:c r="E488" s="19" t="str">
        <x:v>&lt;SPEAKER&gt;Oh, honey... Why
did you have to die? Sob...</x:v>
      </x:c>
      <x:c r="F488" s="20" t="str"/>
      <x:c r="G488" s="20" t="str"/>
      <x:c r="H488" s="23" t="str">
        <x:v>SPEAKER NEWLINE END</x:v>
      </x:c>
      <x:c r="I488" s="23" t="str">
        <x:v>EA:65CB</x:v>
      </x:c>
      <x:c r="J488" s="23" t="str">
        <x:v>CC 4F 68 2C 01 68 6F 6E 65 79 2E 2E 2E 01 57 68 79 C8 64 69 64 01 79 6F 75 01 68 61 76 65 01 74 6F 01 64 69 65 3F 01 53 6F 62 2E 2E 2E C0</x:v>
      </x:c>
      <x:c r="K488" s="23" t="str">
        <x:v>1CC 02A 011 078 001 010 024 01F 078 001 024 03D 084 022 1C8 0D6 03D 084 01B 03F 03E 01F 028 035 078 001 012 012 012 1C0</x:v>
      </x:c>
    </x:row>
    <x:row r="489">
      <x:c r="A489" s="22" t="str">
        <x:f>"01"</x:f>
        <x:v>01</x:v>
      </x:c>
      <x:c r="B489" s="22" t="str">
        <x:f>"E7"</x:f>
        <x:v>E7</x:v>
      </x:c>
      <x:c r="C489" s="22" t="str">
        <x:f>"0x01E7"</x:f>
        <x:v>0x01E7</x:v>
      </x:c>
      <x:c r="D489" s="21" t="str">
        <x:v>&lt;SPEAKER&gt;「ぐすん ぐすん パパはね&lt;WAIT&gt;&lt;SPEAKER&gt;「この島に 宝がいっぱいあって
とりほうだいだって いってたのに
ぜんぜん そうじゃないよー うー</x:v>
      </x:c>
      <x:c r="E489" s="19" t="str">
        <x:v>&lt;SPEAKER&gt;Sniff... Dad said&lt;WAIT&gt;&lt;SPEAKER&gt;this island was full of
treasure just waiting to be taken.
But it is not like that at all...</x:v>
      </x:c>
      <x:c r="F489" s="20" t="str"/>
      <x:c r="G489" s="20" t="str"/>
      <x:c r="H489" s="23" t="str">
        <x:v>SPEAKER WAIT SPEAKER NEWLINE NEWLINE END</x:v>
      </x:c>
      <x:c r="I489" s="23" t="str">
        <x:v>EA:65F9</x:v>
      </x:c>
      <x:c r="J489" s="23" t="str">
        <x:v>CC 53 6E 69 66 66 2E 2E 2E 01 44 61 64 01 73 61 69 64 C5 CC 74 68 69 73 01 69 73 6C 61 6E 64 01 77 61 73 01 66 75 6C 6C 01 6F 66 C8 74 72 65 61 73 75 72 65 01 6A 75 73 74 01 77 61 69 74 69 6E 67 01 74 6F 01 62 65 01 74 61 6B 65 6E 2E C8 42 75 74 01 69 74 01 69 73 01 6E 6F 74 01 6C 69 6B 65 01 74 68 61 74 01 61 74 01 61 6C 6C 2E 2E 2E C0</x:v>
      </x:c>
      <x:c r="K489" s="23" t="str">
        <x:v>1CC 084 017 01C 03D 001 084 017 01C 03D 001 083 05B 083 05B 029 027 1C5 1CC 019 028 08A 025 001 095 084 015 011 03E 083 029 011 010 03E 022 1C8 023 037 02D 012 084 01F 011 084 01F 03E 022 001 011 03E 022 01F 028 025 1C8 084 01D 03D 084 01D 03D 001 01E 012 084 01B 03F 024 011 035 078 001 012 078 1C0</x:v>
      </x:c>
    </x:row>
    <x:row r="490">
      <x:c r="A490" s="22" t="str">
        <x:f>"01"</x:f>
        <x:v>01</x:v>
      </x:c>
      <x:c r="B490" s="22" t="str">
        <x:f>"E8"</x:f>
        <x:v>E8</x:v>
      </x:c>
      <x:c r="C490" s="22" t="str">
        <x:f>"0x01E8"</x:f>
        <x:v>0x01E8</x:v>
      </x:c>
      <x:c r="D490" s="21" t="str">
        <x:v>&lt;SPEAKER&gt;「ことしに なってから きゅうに
島に来る人が ふえたんだよ
せんでんでも したのかなあ</x:v>
      </x:c>
      <x:c r="E490" s="19" t="str">
        <x:v>&lt;SPEAKER&gt;Since this year began,
visitors suddenly poured in.
Maybe someone advertised it?</x:v>
      </x:c>
      <x:c r="F490" s="20" t="str"/>
      <x:c r="G490" s="20" t="str"/>
      <x:c r="H490" s="23" t="str">
        <x:v>SPEAKER NEWLINE NEWLINE END</x:v>
      </x:c>
      <x:c r="I490" s="23" t="str">
        <x:v>EA:666A</x:v>
      </x:c>
      <x:c r="J490" s="23" t="str">
        <x:v>CC 53 69 6E 63 65 01 74 68 69 73 01 79 65 61 72 01 62 65 67 61 6E 2C C8 76 69 73 69 74 6F 72 73 01 73 75 64 64 65 6E 6C 79 01 70 6F 75 72 65 64 01 69 6E 2E C8 4D 61 79 62 65 01 73 6F 6D 65 6F 6E 65 01 61 64 76 65 72 74 69 73 65 64 01 69 74 3F C0</x:v>
      </x:c>
      <x:c r="K490" s="23" t="str">
        <x:v>1CC 019 023 01B 025 001 024 03E 022 015 036 001 016 040 012 025 1C8 08A 025 097 038 091 084 015 001 02B 013 01F 03D 084 01F 035 1C8 01D 03D 084 022 03D 084 022 032 001 01B 01F 028 015 024 010 1C0</x:v>
      </x:c>
    </x:row>
    <x:row r="491">
      <x:c r="A491" s="22" t="str">
        <x:f>"01"</x:f>
        <x:v>01</x:v>
      </x:c>
      <x:c r="B491" s="22" t="str">
        <x:f>"E9"</x:f>
        <x:v>E9</x:v>
      </x:c>
      <x:c r="C491" s="22" t="str">
        <x:f>"0x01E9"</x:f>
        <x:v>0x01E9</x:v>
      </x:c>
      <x:c r="D491" s="21" t="str">
        <x:v>&lt;SPEAKER&gt;「ういー ひっく うりゃりゃー
旅の はじは かきすて ってか!
おれは やったるぞー ういー</x:v>
      </x:c>
      <x:c r="E491" s="19" t="str">
        <x:v>&lt;SPEAKER&gt;Hic! Whoo! What
happens on a trip stays on
the trip! I am going wild!</x:v>
      </x:c>
      <x:c r="F491" s="20" t="str"/>
      <x:c r="G491" s="20" t="str"/>
      <x:c r="H491" s="23" t="str">
        <x:v>SPEAKER NEWLINE NEWLINE END</x:v>
      </x:c>
      <x:c r="I491" s="23" t="str">
        <x:v>EA:66BC</x:v>
      </x:c>
      <x:c r="J491" s="23" t="str">
        <x:v>CC 48 69 63 21 01 57 68 6F 6F 21 01 57 68 61 74 C8 68 61 70 70 65 6E 73 01 6F 6E 01 61 01 74 72 69 70 01 73 74 61 79 73 01 6F 6E C8 74 68 65 01 74 72 69 70 21 01 49 01 61 6D 01 67 6F 69 6E 67 01 77 69 6C 64 21 C0</x:v>
      </x:c>
      <x:c r="K491" s="23" t="str">
        <x:v>1CC 012 011 078 001 02A 03E 017 001 012 037 03F 037 03F 078 1C8 0B0 028 001 029 084 01B 029 001 015 016 01C 022 001 03E 022 015 07A 1C8 014 039 029 001 033 03E 01F 038 084 01E 078 001 012 011 078 1C0</x:v>
      </x:c>
    </x:row>
    <x:row r="492">
      <x:c r="A492" s="22" t="str">
        <x:f>"01"</x:f>
        <x:v>01</x:v>
      </x:c>
      <x:c r="B492" s="22" t="str">
        <x:f>"EA"</x:f>
        <x:v>EA</x:v>
      </x:c>
      <x:c r="C492" s="22" t="str">
        <x:f>"0x01EA"</x:f>
        <x:v>0x01EA</x:v>
      </x:c>
      <x:c r="D492" s="21" t="str">
        <x:v>&lt;SPEAKER&gt;「おっ! 一人旅の お嬢様とは
めずらしい! 意外と
家出娘だったりして ぐはは</x:v>
      </x:c>
      <x:c r="E492" s="19" t="str">
        <x:v>&lt;SPEAKER&gt;Well, look at that! A
young lady traveling alone? Maybe
you ran away from home!</x:v>
      </x:c>
      <x:c r="F492" s="20" t="str"/>
      <x:c r="G492" s="20" t="str"/>
      <x:c r="H492" s="23" t="str">
        <x:v>SPEAKER NEWLINE NEWLINE END</x:v>
      </x:c>
      <x:c r="I492" s="23" t="str">
        <x:v>EA:6703</x:v>
      </x:c>
      <x:c r="J492" s="23" t="str">
        <x:v>CC 57 65 6C 6C 2C 01 6C 6F 6F 6B 01 61 74 01 74 68 61 74 21 01 41 C8 79 6F 75 6E 67 01 6C 61 64 79 01 74 72 61 76 65 6C 69 6E 67 01 61 6C 6F 6E 65 3F 01 4D 61 79 62 65 C8 79 6F 75 01 72 61 6E 01 61 77 61 79 01 66 72 6F 6D 01 68 6F 6D 65 21 C0</x:v>
      </x:c>
      <x:c r="K492" s="23" t="str">
        <x:v>1CC 014 03E 07A 001 0AF 091 0B0 028 001 014 0D8 0D9 023 029 1C8 031 084 01C 036 01B 011 07A 001 131 0F1 023 1C8 161 106 0C0 084 01F 03E 01F 037 01B 022 001 084 017 029 029 1C0</x:v>
      </x:c>
    </x:row>
    <x:row r="493">
      <x:c r="A493" s="22" t="str">
        <x:f>"01"</x:f>
        <x:v>01</x:v>
      </x:c>
      <x:c r="B493" s="22" t="str">
        <x:f>"EB"</x:f>
        <x:v>EB</x:v>
      </x:c>
      <x:c r="C493" s="22" t="str">
        <x:f>"0x01EB"</x:f>
        <x:v>0x01EB</x:v>
      </x:c>
      <x:c r="D493" s="21" t="str">
        <x:v>&lt;SPEAKER&gt;「あんたも 北の バロン城に
行くつもりかい?</x:v>
      </x:c>
      <x:c r="E493" s="19" t="str">
        <x:v>&lt;SPEAKER&gt;You headed north
to Baron Castle too?</x:v>
      </x:c>
      <x:c r="F493" s="20" t="str"/>
      <x:c r="G493" s="20" t="str"/>
      <x:c r="H493" s="23" t="str">
        <x:v>SPEAKER NEWLINE END</x:v>
      </x:c>
      <x:c r="I493" s="23" t="str">
        <x:v>EA:6754</x:v>
      </x:c>
      <x:c r="J493" s="23" t="str">
        <x:v>CC 59 6F 75 01 68 65 61 64 65 64 01 6E 6F 72 74 68 C8 74 6F 01 42 61 72 6F 6E 01 43 61 73 74 6C 65 01 74 6F 6F 3F C0</x:v>
      </x:c>
      <x:c r="K493" s="23" t="str">
        <x:v>1CC 010 03D 01F 032 001 09C 028 001 084 05B 06C 06F 08C 025 1C8 08D 017 021 032 037 015 011 079 1C0</x:v>
      </x:c>
    </x:row>
    <x:row r="494">
      <x:c r="A494" s="22" t="str">
        <x:f>"01"</x:f>
        <x:v>01</x:v>
      </x:c>
      <x:c r="B494" s="22" t="str">
        <x:f>"EC"</x:f>
        <x:v>EC</x:v>
      </x:c>
      <x:c r="C494" s="22" t="str">
        <x:f>"0x01EC"</x:f>
        <x:v>0x01EC</x:v>
      </x:c>
      <x:c r="D494" s="21" t="str">
        <x:v>&lt;SPEAKER&gt;「げええっ 本気かね?
あそこは またの名を からくり城と
よばれておってな&lt;WAIT&gt;&lt;SPEAKER&gt;「いつ 誰が作ったかは
不明じゃが わなが
いたるところに あるらしいぞい</x:v>
      </x:c>
      <x:c r="E494" s="19" t="str">
        <x:v>&lt;SPEAKER&gt;You are serious?
They also call it Trick Castle.
It is packed with traps.&lt;WAIT&gt;&lt;SPEAKER&gt;No one knows who
built it or when. But traps are
said to be everywhere inside.</x:v>
      </x:c>
      <x:c r="F494" s="20" t="str"/>
      <x:c r="G494" s="20" t="str"/>
      <x:c r="H494" s="23" t="str">
        <x:v>SPEAKER NEWLINE NEWLINE WAIT SPEAKER NEWLINE NEWLINE END</x:v>
      </x:c>
      <x:c r="I494" s="23" t="str">
        <x:v>EA:677B</x:v>
      </x:c>
      <x:c r="J494" s="23" t="str">
        <x:v>CC 59 6F 75 01 61 72 65 01 73 65 72 69 6F 75 73 3F C8 54 68 65 79 01 61 6C 73 6F 01 63 61 6C 6C 01 69 74 01 54 72 69 63 6B 01 43 61 73 74 6C 65 2E C8 49 74 01 69 73 01 70 61 63 6B 65 64 01 77 69 74 68 01 74 72 61 70 73 2E C5 CC 4E 6F 01 6F 6E 65 01 6B 6E 6F 77 73 01 77 68 6F C8 62 75 69 6C 74 01 69 74 01 6F 72 01 77 68 65 6E 2E 01 42 75 74 01 74 72 61 70 73 01 61 72 65 C8 73 61 69 64 01 74 6F 01 62 65 01 65 76 65 72 79 77 68 65 72 65 01 69 6E 73 69 64 65 2E C0</x:v>
      </x:c>
      <x:c r="K494" s="23" t="str">
        <x:v>1CC 084 018 013 013 03E 001 13A 099 015 027 079 1C8 010 01E 019 029 001 02E 01F 028 0CD 03C 001 015 036 017 037 08C 023 1C8 035 084 029 039 022 014 03E 022 024 1C5 1CC 011 021 001 0FA 084 015 0F6 03E 01F 015 029 1C8 0F7 0BF 084 01B 03F 084 015 001 03B 024 084 015 1C8 011 01F 038 023 019 03A 025 001 010 038 036 01B 011 084 01E 011 1C0</x:v>
      </x:c>
    </x:row>
    <x:row r="495">
      <x:c r="A495" s="22" t="str">
        <x:f>"01"</x:f>
        <x:v>01</x:v>
      </x:c>
      <x:c r="B495" s="22" t="str">
        <x:f>"ED"</x:f>
        <x:v>ED</x:v>
      </x:c>
      <x:c r="C495" s="22" t="str">
        <x:f>"0x01ED"</x:f>
        <x:v>0x01ED</x:v>
      </x:c>
      <x:c r="D495" s="21" t="str">
        <x:v>&lt;SPEAKER&gt;「行かんほうが ええよ あそこは
観光気分で 行くと
まちがいなく あの世いきじゃ</x:v>
      </x:c>
      <x:c r="E495" s="19" t="str">
        <x:v>&lt;SPEAKER&gt;Do not go there. Visit
like a tourist and you will
end up in the next world.</x:v>
      </x:c>
      <x:c r="F495" s="20" t="str"/>
      <x:c r="G495" s="20" t="str"/>
      <x:c r="H495" s="23" t="str">
        <x:v>SPEAKER NEWLINE NEWLINE END</x:v>
      </x:c>
      <x:c r="I495" s="23" t="str">
        <x:v>EA:6816</x:v>
      </x:c>
      <x:c r="J495" s="23" t="str">
        <x:v>CC 44 6F 01 6E 6F 74 01 67 6F 01 74 68 65 72 65 2E 01 56 69 73 69 74 C8 6C 69 6B 65 01 61 01 74 6F 75 72 69 73 74 01 61 6E 64 01 79 6F 75 01 77 69 6C 6C C8 65 6E 64 01 75 70 01 69 6E 01 74 68 65 01 6E 65 78 74 01 77 6F 72 6C 64 2E C0</x:v>
      </x:c>
      <x:c r="K495" s="23" t="str">
        <x:v>1CC 08D 015 03D 02D 012 084 015 001 013 013 035 001 010 01E 019 029 1C8 149 14A 099 16C 084 022 001 08D 017 023 1C8 02E 020 084 015 011 024 017 001 010 028 0A9 011 016 084 01B 03F 1C0</x:v>
      </x:c>
    </x:row>
    <x:row r="496">
      <x:c r="A496" s="22" t="str">
        <x:f>"01"</x:f>
        <x:v>01</x:v>
      </x:c>
      <x:c r="B496" s="22" t="str">
        <x:f>"EE"</x:f>
        <x:v>EE</x:v>
      </x:c>
      <x:c r="C496" s="22" t="str">
        <x:f>"0x01EE"</x:f>
        <x:v>0x01EE</x:v>
      </x:c>
      <x:c r="D496" s="21" t="str">
        <x:v>&lt;SPEAKER&gt;「ちかごろ 宝のうわさも よくきくが
どでかい化け物の うわさもきくなあ
あくまで うわさだけどな</x:v>
      </x:c>
      <x:c r="E496" s="19" t="str">
        <x:v>&lt;SPEAKER&gt;I hear rumors of
treasure and enormous
monsters. Rumors, mind you.</x:v>
      </x:c>
      <x:c r="F496" s="20" t="str"/>
      <x:c r="G496" s="20" t="str"/>
      <x:c r="H496" s="23" t="str">
        <x:v>SPEAKER NEWLINE NEWLINE END</x:v>
      </x:c>
      <x:c r="I496" s="23" t="str">
        <x:v>EA:6864</x:v>
      </x:c>
      <x:c r="J496" s="23" t="str">
        <x:v>CC 49 01 68 65 61 72 01 72 75 6D 6F 72 73 01 6F 66 C8 74 72 65 61 73 75 72 65 01 61 6E 64 01 65 6E 6F 72 6D 6F 75 73 C8 6D 6F 6E 73 74 65 72 73 2E 01 52 75 6D 6F 72 73 2C 01 6D 69 6E 64 01 79 6F 75 2E C0</x:v>
      </x:c>
      <x:c r="K496" s="23" t="str">
        <x:v>1CC 020 015 084 019 03A 001 095 028 012 03B 01A 032 001 035 017 016 017 084 015 1C8 084 023 084 022 015 011 09E 018 08B 028 001 012 03B 01A 032 016 017 024 010 1C8 010 017 02E 084 022 001 012 03B 01A 084 01F 018 084 023 024 1C0</x:v>
      </x:c>
    </x:row>
    <x:row r="497">
      <x:c r="A497" s="22" t="str">
        <x:f>"01"</x:f>
        <x:v>01</x:v>
      </x:c>
      <x:c r="B497" s="22" t="str">
        <x:f>"EF"</x:f>
        <x:v>EF</x:v>
      </x:c>
      <x:c r="C497" s="22" t="str">
        <x:f>"0x01EF"</x:f>
        <x:v>0x01EF</x:v>
      </x:c>
      <x:c r="D497" s="21" t="str">
        <x:v>&lt;SPEAKER&gt;「おれは 見ての通りの
あらくれだけど おつむのできは
そこらへんの やつとはちがうぜ&lt;WAIT&gt;&lt;SPEAKER&gt;「おれさまの 読みでは この島には
とんでもねえ ひみつがあるぜ!&lt;WAIT&gt;&lt;SPEAKER&gt;「まっ それが お宝か 化石か
なんだかは わからんけどよ</x:v>
      </x:c>
      <x:c r="E497" s="19" t="str">
        <x:v>&lt;SPEAKER&gt;I may look rough,
but I have more brains
than most of these fools.&lt;WAIT&gt;&lt;SPEAKER&gt;My read is that
this island is hiding
one enormous secret!&lt;WAIT&gt;&lt;SPEAKER&gt;Treasure? Fossils? I
cannot say what it is yet.</x:v>
      </x:c>
      <x:c r="F497" s="20" t="str"/>
      <x:c r="G497" s="20" t="str"/>
      <x:c r="H497" s="23" t="str">
        <x:v>SPEAKER NEWLINE NEWLINE WAIT SPEAKER NEWLINE NEWLINE WAIT SPEAKER NEWLINE END</x:v>
      </x:c>
      <x:c r="I497" s="23" t="str">
        <x:v>EA:68A8</x:v>
      </x:c>
      <x:c r="J497" s="23" t="str">
        <x:v>CC 49 01 6D 61 79 01 6C 6F 6F 6B 01 72 6F 75 67 68 2C C8 62 75 74 01 49 01 68 61 76 65 01 6D 6F 72 65 01 62 72 61 69 6E 73 C8 74 68 61 6E 01 6D 6F 73 74 01 6F 66 01 74 68 65 73 65 01 66 6F 6F 6C 73 2E C5 CC 4D 79 01 72 65 61 64 01 69 73 01 74 68 61 74 C8 74 68 69 73 01 69 73 6C 61 6E 64 01 69 73 01 68 69 64 69 6E 67 C8 6F 6E 65 01 65 6E 6F 72 6D 6F 75 73 01 73 65 63 72 65 74 21 C5 CC 54 72 65 61 73 75 72 65 3F 01 46 6F 73 73 69 6C 73 3F 01 49 C8 63 61 6E 6E 6F 74 01 73 61 79 01 77 68 61 74 01 69 74 01 69 73 01 79 65 74 2E C0</x:v>
      </x:c>
      <x:c r="K497" s="23" t="str">
        <x:v>1CC 014 039 029 001 090 022 028 12E 037 028 1C8 010 036 017 039 084 01F 018 084 023 001 014 021 030 028 084 022 016 029 1C8 01E 019 036 02C 03D 028 001 033 021 023 029 020 084 015 012 084 01D 1C5 1CC 014 039 01A 02E 028 001 118 02F 084 022 029 001 019 028 08A 025 029 1C8 023 03D 084 022 032 027 013 001 02A 02F 021 084 015 010 038 084 01D 07A 1C5 1CC 02E 03E 001 01E 039 084 015 001 014 095 015 001 09E 09D 015 1C8 024 03D 084 01F 015 029 001 03B 015 036 03D 018 084 023 035 1C0</x:v>
      </x:c>
    </x:row>
    <x:row r="498">
      <x:c r="A498" s="22" t="str">
        <x:f>"01"</x:f>
        <x:v>01</x:v>
      </x:c>
      <x:c r="B498" s="22" t="str">
        <x:f>"F0"</x:f>
        <x:v>F0</x:v>
      </x:c>
      <x:c r="C498" s="22" t="str">
        <x:f>"0x01F0"</x:f>
        <x:v>0x01F0</x:v>
      </x:c>
      <x:c r="D498" s="21" t="str">
        <x:v>&lt;SPEAKER&gt;「おとなの人って ほんと よくばり!&lt;WAIT&gt;&lt;SPEAKER&gt;「だって サジクさんが 化石を
発見したとたん みんな きゅうに
宝さがしを はじめるんだもん&lt;WAIT&gt;&lt;SPEAKER&gt;「あーあ サジクさんは いったい
どこに いっちゃったのかなあ
生きていれば いいけど ぐすっ</x:v>
      </x:c>
      <x:c r="E498" s="19" t="str">
        <x:v>&lt;SPEAKER&gt;Adults are so greedy!&lt;WAIT&gt;&lt;SPEAKER&gt;The moment Sajik found
that fossil, everyone suddenly
started hunting for treasure.&lt;WAIT&gt;&lt;SPEAKER&gt;Where did Sajik
go, anyway? I just
hope he is still alive...</x:v>
      </x:c>
      <x:c r="F498" s="20" t="str"/>
      <x:c r="G498" s="20" t="str"/>
      <x:c r="H498" s="23" t="str">
        <x:v>SPEAKER WAIT SPEAKER NEWLINE NEWLINE WAIT SPEAKER NEWLINE NEWLINE END</x:v>
      </x:c>
      <x:c r="I498" s="23" t="str">
        <x:v>EA:6959</x:v>
      </x:c>
      <x:c r="J498" s="23" t="str">
        <x:v>CC 41 64 75 6C 74 73 01 61 72 65 01 73 6F 01 67 72 65 65 64 79 21 C5 CC 54 68 65 01 6D 6F 6D 65 6E 74 01 53 61 6A 69 6B 01 66 6F 75 6E 64 C8 74 68 61 74 01 66 6F 73 73 69 6C 2C 01 65 76 65 72 79 6F 6E 65 01 73 75 64 64 65 6E 6C 79 C8 73 74 61 72 74 65 64 01 68 75 6E 74 69 6E 67 01 66 6F 72 01 74 72 65 61 73 75 72 65 2E C5 CC 57 68 65 72 65 01 64 69 64 01 53 61 6A 69 6B C8 67 6F 2C 01 61 6E 79 77 61 79 3F 01 49 01 6A 75 73 74 C8 68 6F 70 65 01 68 65 01 69 73 01 73 74 69 6C 6C 01 61 6C 69 76 65 2E 2E 2E C0</x:v>
      </x:c>
      <x:c r="K498" s="23" t="str">
        <x:v>1CC 014 023 024 028 091 03E 022 001 02D 03D 023 001 035 017 084 029 037 07A 1C5 1CC 084 01F 03E 022 001 04C 084 04D 049 01A 03D 084 015 001 09E 09D 03C 1C8 0C8 090 01B 01F 023 01F 03D 001 02F 03D 024 001 016 040 012 025 1C8 095 01A 084 015 01B 03C 001 029 084 01B 031 038 03D 084 01F 032 03D 1C5 1CC 010 078 010 001 04C 084 04D 049 01A 03D 029 001 011 03E 01F 011 1C8 084 023 019 025 001 011 03E 020 03F 03E 01F 028 015 024 010 1C8 09B 016 022 011 039 084 029 001 011 011 018 084 023 001 084 017 01C 03E 1C0</x:v>
      </x:c>
    </x:row>
    <x:row r="499">
      <x:c r="A499" s="22" t="str">
        <x:f>"01"</x:f>
        <x:v>01</x:v>
      </x:c>
      <x:c r="B499" s="22" t="str">
        <x:f>"F1"</x:f>
        <x:v>F1</x:v>
      </x:c>
      <x:c r="C499" s="22" t="str">
        <x:f>"0x01F1"</x:f>
        <x:v>0x01F1</x:v>
      </x:c>
      <x:c r="D499" s="21" t="str">
        <x:v>&lt;CLEAR&gt;
レディは お墓を しらべた</x:v>
      </x:c>
      <x:c r="E499" s="19" t="str">
        <x:v>&lt;CLEAR&gt;Lady examined the grave.</x:v>
      </x:c>
      <x:c r="F499" s="20" t="str"/>
      <x:c r="G499" s="20" t="str"/>
      <x:c r="H499" s="23" t="str">
        <x:v>CLEAR END</x:v>
      </x:c>
      <x:c r="I499" s="23" t="str">
        <x:v>EA:6A03</x:v>
      </x:c>
      <x:c r="J499" s="23" t="str">
        <x:v>D0 4C 61 64 79 01 65 78 61 6D 69 6E 65 64 01 74 68 65 01 67 72 61 76 65 2E C0</x:v>
      </x:c>
      <x:c r="K499" s="23" t="str">
        <x:v>1D0 06B 084 054 075 029 001 014 0D7 03C 001 01B 036 084 02C 01F 1C0</x:v>
      </x:c>
    </x:row>
    <x:row r="500">
      <x:c r="A500" s="22" t="str">
        <x:f>"01"</x:f>
        <x:v>01</x:v>
      </x:c>
      <x:c r="B500" s="22" t="str">
        <x:f>"F2"</x:f>
        <x:v>F2</x:v>
      </x:c>
      <x:c r="C500" s="22" t="str">
        <x:f>"0x01F2"</x:f>
        <x:v>0x01F2</x:v>
      </x:c>
      <x:c r="D500" s="21" t="str">
        <x:v>&lt;CLEAR&gt;
まあたらしい お墓がある
今年の 日付が きざまれている</x:v>
      </x:c>
      <x:c r="E500" s="19" t="str">
        <x:v>&lt;CLEAR&gt;A brand-new grave. This
year is carved on it.</x:v>
      </x:c>
      <x:c r="F500" s="20" t="str"/>
      <x:c r="G500" s="20" t="str"/>
      <x:c r="H500" s="23" t="str">
        <x:v>CLEAR NEWLINE END</x:v>
      </x:c>
      <x:c r="I500" s="23" t="str">
        <x:v>EA:6A1D</x:v>
      </x:c>
      <x:c r="J500" s="23" t="str">
        <x:v>D0 41 01 62 72 61 6E 64 2D 6E 65 77 01 67 72 61 76 65 2E 01 54 68 69 73 C8 79 65 61 72 01 69 73 01 63 61 72 76 65 64 01 6F 6E 01 69 74 2E C0</x:v>
      </x:c>
      <x:c r="K500" s="23" t="str">
        <x:v>1D0 02E 010 01F 036 01B 011 001 014 0D7 084 015 010 038 1C8 150 0CA 028 001 120 108 084 015 001 016 084 01A 02E 039 022 011 038 1C0</x:v>
      </x:c>
    </x:row>
    <x:row r="501">
      <x:c r="A501" s="22" t="str">
        <x:f>"01"</x:f>
        <x:v>01</x:v>
      </x:c>
      <x:c r="B501" s="22" t="str">
        <x:f>"F3"</x:f>
        <x:v>F3</x:v>
      </x:c>
      <x:c r="C501" s="22" t="str">
        <x:f>"0x01F3"</x:f>
        <x:v>0x01F3</x:v>
      </x:c>
      <x:c r="D501" s="21" t="str">
        <x:v>&lt;CLEAR&gt;
誰かが いそいで そうじを
していったようだ・・・</x:v>
      </x:c>
      <x:c r="E501" s="19" t="str">
        <x:v>&lt;CLEAR&gt;Someone seems to have
cleaned up in a hurry...</x:v>
      </x:c>
      <x:c r="F501" s="20" t="str"/>
      <x:c r="G501" s="20" t="str"/>
      <x:c r="H501" s="23" t="str">
        <x:v>CLEAR NEWLINE END</x:v>
      </x:c>
      <x:c r="I501" s="23" t="str">
        <x:v>EA:6A4C</x:v>
      </x:c>
      <x:c r="J501" s="23" t="str">
        <x:v>D0 53 6F 6D 65 6F 6E 65 01 73 65 65 6D 73 01 74 6F 01 68 61 76 65 C8 63 6C 65 61 6E 65 64 01 75 70 01 69 6E 01 61 01 68 75 72 72 79 2E 2E 2E C0</x:v>
      </x:c>
      <x:c r="K501" s="23" t="str">
        <x:v>1D0 0FA 015 084 015 001 011 01E 011 084 022 001 01E 012 084 01B 03C 1C8 01B 022 011 03E 01F 035 012 084 01F 081 081 081 1C0</x:v>
      </x:c>
    </x:row>
    <x:row r="502">
      <x:c r="A502" s="22" t="str">
        <x:f>"01"</x:f>
        <x:v>01</x:v>
      </x:c>
      <x:c r="B502" s="22" t="str">
        <x:f>"F4"</x:f>
        <x:v>F4</x:v>
      </x:c>
      <x:c r="C502" s="22" t="str">
        <x:f>"0x01F4"</x:f>
        <x:v>0x01F4</x:v>
      </x:c>
      <x:c r="D502" s="21" t="str">
        <x:v>&lt;SPEAKER&gt;「この町も えらいさわぎだよ!&lt;WAIT&gt;&lt;SPEAKER&gt;「北の 鉱山とやらで
はたらかされてた 囚人が
おおぜい にげて来てよー&lt;WAIT&gt;&lt;SPEAKER&gt;「伝説の ばけもんの
はなしを したもんだから&lt;WAIT&gt;&lt;SPEAKER&gt;「町の みんなは あわてて
ひなんしちまったよ!&lt;WAIT&gt;&lt;SPEAKER&gt;「いったい この島は
どうなっちまうんだ?</x:v>
      </x:c>
      <x:c r="E502" s="19" t="str">
        <x:v>&lt;SPEAKER&gt;This town's in an uproar!&lt;WAIT&gt;&lt;SPEAKER&gt;Prisoners escaped from
the northern mine and fled here.&lt;WAIT&gt;&lt;SPEAKER&gt;They told everyone
about a legendary monster.&lt;WAIT&gt;&lt;SPEAKER&gt;The whole town
panicked and evacuated!&lt;WAIT&gt;&lt;SPEAKER&gt;What's happening
to this island?</x:v>
      </x:c>
      <x:c r="F502" s="20" t="str"/>
      <x:c r="G502" s="20" t="str"/>
      <x:c r="H502" s="23" t="str">
        <x:v>SPEAKER WAIT SPEAKER NEWLINE WAIT SPEAKER NEWLINE WAIT SPEAKER NEWLINE WAIT SPEAKER NEWLINE END</x:v>
      </x:c>
      <x:c r="I502" s="23" t="str">
        <x:v>EA:6A7C</x:v>
      </x:c>
      <x:c r="J502" s="23" t="str">
        <x:v>CC 54 68 69 73 01 74 6F 77 6E 27 73 01 69 6E 01 61 6E 01 75 70 72 6F 61 72 21 C5 CC 50 72 69 73 6F 6E 65 72 73 01 65 73 63 61 70 65 64 01 66 72 6F 6D C8 74 68 65 01 6E 6F 72 74 68 65 72 6E 01 6D 69 6E 65 01 61 6E 64 01 66 6C 65 64 01 68 65 72 65 2E C5 CC 54 68 65 79 01 74 6F 6C 64 01 65 76 65 72 79 6F 6E 65 C8 61 62 6F 75 74 01 61 01 6C 65 67 65 6E 64 61 72 79 01 6D 6F 6E 73 74 65 72 2E C5 CC 54 68 65 01 77 68 6F 6C 65 01 74 6F 77 6E C8 70 61 6E 69 63 6B 65 64 01 61 6E 64 01 65 76 61 63 75 61 74 65 64 21 C5 CC 57 68 61 74 27 73 01 68 61 70 70 65 6E 69 6E 67 C8 74 6F 01 74 68 69 73 01 69 73 6C 61 6E 64 3F C0</x:v>
      </x:c>
      <x:c r="K502" s="23" t="str">
        <x:v>1CC 019 028 0C9 032 001 013 036 011 01A 03B 084 016 084 01F 035 07A 1C5 1CC 09C 028 001 10B 10C 023 033 036 084 022 1C8 029 01F 036 015 01A 039 022 01F 001 113 091 084 015 1C8 014 014 084 01D 011 001 025 084 018 022 097 022 035 078 1C5 1CC 092 08F 028 001 084 029 018 032 03D 028 1C8 029 024 01B 03C 001 01B 01F 032 03D 084 01F 015 036 1C5 1CC 0C9 028 001 02F 03D 024 029 001 010 03B 022 022 1C8 02A 024 03D 01B 020 02E 03E 01F 035 07A 1C5 1CC 011 03E 01F 011 001 019 028 08A 029 1C8 084 023 012 024 03E 020 02E 012 03D 084 01F 079 1C0</x:v>
      </x:c>
    </x:row>
    <x:row r="503">
      <x:c r="A503" s="22" t="str">
        <x:f>"01"</x:f>
        <x:v>01</x:v>
      </x:c>
      <x:c r="B503" s="22" t="str">
        <x:f>"F5"</x:f>
        <x:v>F5</x:v>
      </x:c>
      <x:c r="C503" s="22" t="str">
        <x:f>"0x01F5"</x:f>
        <x:v>0x01F5</x:v>
      </x:c>
      <x:c r="D503" s="21" t="str">
        <x:v>&lt;SPEAKER&gt;「くっそー 化け物のやつ
世界中の 強いやつを
宝で おびきよせて&lt;WAIT&gt;&lt;SPEAKER&gt;「つぎから つぎへと
かんづめに していたなんて
うーむ・・・・・&lt;WAIT&gt;&lt;SPEAKER&gt;「化け物に してみれば
いっせき にちょうだな&lt;WAIT&gt;&lt;SPEAKER&gt;「なんという わるぢえの
はたらくやつ!</x:v>
      </x:c>
      <x:c r="E503" s="19" t="str">
        <x:v>&lt;SPEAKER&gt;Damn that monster! It
lured the strongest people in
the world here with treasure.&lt;WAIT&gt;&lt;SPEAKER&gt;Then it trapped them one
after another like canned food.&lt;WAIT&gt;&lt;SPEAKER&gt;For the monster, that
solves two problems at once.&lt;WAIT&gt;&lt;SPEAKER&gt;What a rotten,
scheming piece of work!</x:v>
      </x:c>
      <x:c r="F503" s="20" t="str"/>
      <x:c r="G503" s="20" t="str"/>
      <x:c r="H503" s="23" t="str">
        <x:v>SPEAKER NEWLINE NEWLINE WAIT SPEAKER NEWLINE WAIT SPEAKER NEWLINE WAIT SPEAKER NEWLINE END</x:v>
      </x:c>
      <x:c r="I503" s="23" t="str">
        <x:v>EA:6B49</x:v>
      </x:c>
      <x:c r="J503" s="23" t="str">
        <x:v>CC 44 61 6D 6E 01 74 68 61 74 01 6D 6F 6E 73 74 65 72 21 01 49 74 C8 6C 75 72 65 64 01 74 68 65 01 73 74 72 6F 6E 67 65 73 74 01 70 65 6F 70 6C 65 01 69 6E C8 74 68 65 01 77 6F 72 6C 64 01 68 65 72 65 01 77 69 74 68 01 74 72 65 61 73 75 72 65 2E C5 CC 54 68 65 6E 01 69 74 01 74 72 61 70 70 65 64 01 74 68 65 6D 01 6F 6E 65 C8 61 66 74 65 72 01 61 6E 6F 74 68 65 72 01 6C 69 6B 65 01 63 61 6E 6E 65 64 01 66 6F 6F 64 2E C5 CC 46 6F 72 01 74 68 65 01 6D 6F 6E 73 74 65 72 2C 01 74 68 61 74 C8 73 6F 6C 76 65 73 01 74 77 6F 01 70 72 6F 62 6C 65 6D 73 01 61 74 01 6F 6E 63 65 2E C5 CC 57 68 61 74 01 61 01 72 6F 74 74 65 6E 2C C8 73 63 68 65 6D 69 6E 67 01 70 69 65 63 65 01 6F 66 01 77 6F 72 6B 21 C0</x:v>
      </x:c>
      <x:c r="K503" s="23" t="str">
        <x:v>1CC 017 03E 01E 078 001 09E 018 08B 028 033 021 1C8 0A9 103 0A1 028 001 138 011 033 021 03C 1C8 095 084 022 001 014 084 02A 016 035 01D 022 1C5 1CC 021 084 016 015 036 001 021 084 016 02C 023 1C8 015 03D 084 021 031 025 001 01B 022 011 01F 024 03D 022 1C8 012 078 030 081 081 081 081 081 1C5 1CC 09E 018 08B 025 001 01B 022 02F 039 084 029 1C8 011 03E 01D 016 001 025 020 041 012 084 01F 024 1C5 1CC 024 03D 023 011 012 001 03B 038 084 020 013 028 1C8 029 01F 036 017 033 021 07A 1C0</x:v>
      </x:c>
    </x:row>
    <x:row r="504">
      <x:c r="A504" s="22" t="str">
        <x:f>"01"</x:f>
        <x:v>01</x:v>
      </x:c>
      <x:c r="B504" s="22" t="str">
        <x:f>"F6"</x:f>
        <x:v>F6</x:v>
      </x:c>
      <x:c r="C504" s="22" t="str">
        <x:f>"0x01F6"</x:f>
        <x:v>0x01F6</x:v>
      </x:c>
      <x:c r="D504" s="21" t="str">
        <x:v>&lt;SPEAKER&gt;「囚人どもの はなしが
ほんとうなら この島は
もう おわりだな</x:v>
      </x:c>
      <x:c r="E504" s="19" t="str">
        <x:v>&lt;SPEAKER&gt;If those prisoners
were telling the truth,
this island is finished.</x:v>
      </x:c>
      <x:c r="F504" s="20" t="str"/>
      <x:c r="G504" s="20" t="str"/>
      <x:c r="H504" s="23" t="str">
        <x:v>SPEAKER NEWLINE NEWLINE END</x:v>
      </x:c>
      <x:c r="I504" s="23" t="str">
        <x:v>EA:6C32</x:v>
      </x:c>
      <x:c r="J504" s="23" t="str">
        <x:v>CC 49 66 01 74 68 6F 73 65 01 70 72 69 73 6F 6E 65 72 73 C8 77 65 72 65 01 74 65 6C 6C 69 6E 67 01 74 68 65 01 74 72 75 74 68 2C C8 74 68 69 73 01 69 73 6C 61 6E 64 01 69 73 01 66 69 6E 69 73 68 65 64 2E C0</x:v>
      </x:c>
      <x:c r="K504" s="23" t="str">
        <x:v>1CC 113 091 084 023 032 028 001 029 024 01B 084 015 1C8 02D 03D 023 012 024 036 001 019 028 08A 029 1C8 032 012 001 014 03B 037 084 01F 024 1C0</x:v>
      </x:c>
    </x:row>
    <x:row r="505">
      <x:c r="A505" s="22" t="str">
        <x:f>"01"</x:f>
        <x:v>01</x:v>
      </x:c>
      <x:c r="B505" s="22" t="str">
        <x:f>"F7"</x:f>
        <x:v>F7</x:v>
      </x:c>
      <x:c r="C505" s="22" t="str">
        <x:f>"0x01F7"</x:f>
        <x:v>0x01F7</x:v>
      </x:c>
      <x:c r="D505" s="21" t="str">
        <x:v>&lt;SPEAKER&gt;「おんな こどもは
とりあえず ひなんさせたよ&lt;WAIT&gt;&lt;SPEAKER&gt;「わしら 男どもで
なんとか この島を
まもらんといかん</x:v>
      </x:c>
      <x:c r="E505" s="19" t="str">
        <x:v>&lt;SPEAKER&gt;We evacuated the
women and children for now.&lt;WAIT&gt;&lt;SPEAKER&gt;The men who
remain have to defend
this island somehow.</x:v>
      </x:c>
      <x:c r="F505" s="20" t="str"/>
      <x:c r="G505" s="20" t="str"/>
      <x:c r="H505" s="23" t="str">
        <x:v>SPEAKER NEWLINE WAIT SPEAKER NEWLINE NEWLINE END</x:v>
      </x:c>
      <x:c r="I505" s="23" t="str">
        <x:v>EA:6C77</x:v>
      </x:c>
      <x:c r="J505" s="23" t="str">
        <x:v>CC 57 65 01 65 76 61 63 75 61 74 65 64 01 74 68 65 C8 77 6F 6D 65 6E 01 61 6E 64 01 63 68 69 6C 64 72 65 6E 01 66 6F 72 01 6E 6F 77 2E C5 CC 54 68 65 01 6D 65 6E 01 77 68 6F C8 72 65 6D 61 69 6E 01 68 61 76 65 01 74 6F 01 64 65 66 65 6E 64 C8 74 68 69 73 01 69 73 6C 61 6E 64 01 73 6F 6D 65 68 6F 77 2E C0</x:v>
      </x:c>
      <x:c r="K505" s="23" t="str">
        <x:v>1CC 014 03D 024 001 019 084 023 032 029 1C8 023 037 010 013 084 01C 001 02A 024 03D 01A 01D 01F 035 1C5 1CC 03B 01B 036 001 190 084 023 032 084 022 1C8 024 03D 023 015 001 019 028 08A 03C 1C8 02E 032 036 03D 023 011 015 03D 1C0</x:v>
      </x:c>
    </x:row>
    <x:row r="506">
      <x:c r="A506" s="22" t="str">
        <x:f>"01"</x:f>
        <x:v>01</x:v>
      </x:c>
      <x:c r="B506" s="22" t="str">
        <x:f>"F8"</x:f>
        <x:v>F8</x:v>
      </x:c>
      <x:c r="C506" s="22" t="str">
        <x:f>"0x01F8"</x:f>
        <x:v>0x01F8</x:v>
      </x:c>
      <x:c r="D506" s="21" t="str">
        <x:v>&lt;SPEAKER&gt;「ぼくは いまほど 兵士という
しごとを やめたいと
おもったことは ないですよ&lt;WAIT&gt;&lt;SPEAKER&gt;「こんな へんぴな ところで
ばかでかい モンスターあいてに
たたかうなんて とほほ</x:v>
      </x:c>
      <x:c r="E506" s="19" t="str">
        <x:v>&lt;SPEAKER&gt;I have never wanted
to quit being a soldier
more than I do right now.&lt;WAIT&gt;&lt;SPEAKER&gt;Fighting gigantic
monsters in a remote
dump like this? Why me...?</x:v>
      </x:c>
      <x:c r="F506" s="20" t="str"/>
      <x:c r="G506" s="20" t="str"/>
      <x:c r="H506" s="23" t="str">
        <x:v>SPEAKER NEWLINE NEWLINE WAIT SPEAKER NEWLINE NEWLINE END</x:v>
      </x:c>
      <x:c r="I506" s="23" t="str">
        <x:v>EA:6CDD</x:v>
      </x:c>
      <x:c r="J506" s="23" t="str">
        <x:v>CC 49 01 68 61 76 65 01 6E 65 76 65 72 01 77 61 6E 74 65 64 C8 74 6F 01 71 75 69 74 01 62 65 69 6E 67 01 61 01 73 6F 6C 64 69 65 72 C8 6D 6F 72 65 01 74 68 61 6E 01 49 01 64 6F 01 72 69 67 68 74 01 6E 6F 77 2E C5 CC 46 69 67 68 74 69 6E 67 01 67 69 67 61 6E 74 69 63 C8 6D 6F 6E 73 74 65 72 73 01 69 6E 01 61 01 72 65 6D 6F 74 65 C8 64 75 6D 70 01 6C 69 6B 65 01 74 68 69 73 3F 01 57 68 79 01 6D 65 2E 2E 2E 3F C0</x:v>
      </x:c>
      <x:c r="K506" s="23" t="str">
        <x:v>1CC 084 02D 017 029 001 011 02E 02D 084 023 001 13B 13C 023 011 012 1C8 01B 084 019 023 03C 001 033 031 01F 011 023 1C8 014 032 03E 01F 019 023 029 001 024 011 084 022 01C 035 1C5 1CC 019 03D 024 001 02C 03D 083 02A 024 001 023 019 03A 084 022 1C8 084 029 015 084 022 015 011 001 064 06F 04E 051 078 010 011 022 025 1C8 01F 01F 015 012 024 03D 022 001 023 02D 02D 1C0</x:v>
      </x:c>
    </x:row>
    <x:row r="507">
      <x:c r="A507" s="22" t="str">
        <x:f>"01"</x:f>
        <x:v>01</x:v>
      </x:c>
      <x:c r="B507" s="22" t="str">
        <x:f>"F9"</x:f>
        <x:v>F9</x:v>
      </x:c>
      <x:c r="C507" s="22" t="str">
        <x:f>"0x01F9"</x:f>
        <x:v>0x01F9</x:v>
      </x:c>
      <x:c r="D507" s="21" t="str">
        <x:v>&lt;SPEAKER&gt;「お嬢さん! カクテルなぞ
いかがかな おすすめは
デスランドパンチですな!</x:v>
      </x:c>
      <x:c r="E507" s="19" t="str">
        <x:v>&lt;SPEAKER&gt;Young lady! A cocktail?
May I recommend our house
drink, the Deathland Punch?</x:v>
      </x:c>
      <x:c r="F507" s="20" t="str"/>
      <x:c r="G507" s="20" t="str"/>
      <x:c r="H507" s="23" t="str">
        <x:v>SPEAKER NEWLINE NEWLINE END</x:v>
      </x:c>
      <x:c r="I507" s="23" t="str">
        <x:v>EA:6D67</x:v>
      </x:c>
      <x:c r="J507" s="23" t="str">
        <x:v>CC 59 6F 75 6E 67 01 6C 61 64 79 21 01 41 01 63 6F 63 6B 74 61 69 6C 3F C8 4D 61 79 01 49 01 72 65 63 6F 6D 6D 65 6E 64 01 6F 75 72 01 68 6F 75 73 65 C8 64 72 69 6E 6B 2C 01 74 68 65 01 44 65 61 74 68 6C 61 6E 64 01 50 75 6E 63 68 3F C0</x:v>
      </x:c>
      <x:c r="K507" s="23" t="str">
        <x:v>1CC 014 0D8 01A 03D 07A 001 047 049 054 06A 024 084 01E 1C8 011 015 084 015 015 024 001 014 01C 01C 031 029 1C8 084 054 04E 068 06F 084 055 083 05B 06F 052 084 022 01C 024 07A 1C0</x:v>
      </x:c>
    </x:row>
    <x:row r="508">
      <x:c r="A508" s="22" t="str">
        <x:f>"01"</x:f>
        <x:v>01</x:v>
      </x:c>
      <x:c r="B508" s="22" t="str">
        <x:f>"FA"</x:f>
        <x:v>FA</x:v>
      </x:c>
      <x:c r="C508" s="22" t="str">
        <x:f>"0x01FA"</x:f>
        <x:v>0x01FA</x:v>
      </x:c>
      <x:c r="D508" s="21" t="str">
        <x:v>&lt;SPEAKER&gt;「おう おう おう おれはよー!
きのう バロン城によー ういー
行ってきちまったのよー ういー&lt;WAIT&gt;&lt;SPEAKER&gt;「それでよー ひっく あのよー
ひっく こ こわくてよー
にげてきちまったのよー ういー</x:v>
      </x:c>
      <x:c r="E508" s="19" t="str">
        <x:v>&lt;SPEAKER&gt;Hey! Listen! Hic!
Yesterday I went to Baron
Castle! I really went! Hic!&lt;WAIT&gt;&lt;SPEAKER&gt;And then... hic... well... I
got scared and ran away! Hic!</x:v>
      </x:c>
      <x:c r="F508" s="20" t="str"/>
      <x:c r="G508" s="20" t="str"/>
      <x:c r="H508" s="23" t="str">
        <x:v>SPEAKER NEWLINE NEWLINE WAIT SPEAKER NEWLINE END</x:v>
      </x:c>
      <x:c r="I508" s="23" t="str">
        <x:v>EA:6DB6</x:v>
      </x:c>
      <x:c r="J508" s="23" t="str">
        <x:v>CC 48 65 79 21 01 4C 69 73 74 65 6E 21 01 48 69 63 21 C8 59 65 73 74 65 72 64 61 79 01 49 01 77 65 6E 74 01 74 6F 01 42 61 72 6F 6E C8 43 61 73 74 6C 65 21 01 49 01 72 65 61 6C 6C 79 01 77 65 6E 74 21 01 48 69 63 21 C5 CC 41 6E 64 01 74 68 65 6E 2E 2E 2E 01 68 69 63 2E 2E 2E 01 77 65 6C 6C 2E 2E 2E 01 49 C8 67 6F 74 01 73 63 61 72 65 64 01 61 6E 64 01 72 61 6E 01 61 77 61 79 21 01 48 69 63 21 C0</x:v>
      </x:c>
      <x:c r="K508" s="23" t="str">
        <x:v>1CC 014 012 001 014 012 001 014 012 001 014 039 029 035 078 07A 1C8 016 028 012 001 084 05B 06C 06F 08C 025 035 078 001 012 011 078 1C8 08D 03E 022 016 020 02E 03E 01F 028 035 078 001 012 011 078 1C5 1CC 01E 039 084 022 035 078 001 02A 03E 017 001 010 028 035 078 1C8 02A 03E 017 001 019 001 019 03B 017 022 035 078 1C8 025 084 018 022 016 020 02E 03E 01F 028 035 078 001 012 011 078 1C0</x:v>
      </x:c>
    </x:row>
    <x:row r="509">
      <x:c r="A509" s="22" t="str">
        <x:f>"01"</x:f>
        <x:v>01</x:v>
      </x:c>
      <x:c r="B509" s="22" t="str">
        <x:f>"FB"</x:f>
        <x:v>FB</x:v>
      </x:c>
      <x:c r="C509" s="22" t="str">
        <x:f>"0x01FB"</x:f>
        <x:v>0x01FB</x:v>
      </x:c>
      <x:c r="D509" s="21" t="str">
        <x:v>&lt;SPEAKER&gt;「だはははははは けっさくだぜ!
にげかえって来ただと がはは
この男 こしぬけだぜ!</x:v>
      </x:c>
      <x:c r="E509" s="19" t="str">
        <x:v>&lt;SPEAKER&gt;Ha ha ha! What a
story! You ran all the way
back? This guy is a coward!</x:v>
      </x:c>
      <x:c r="F509" s="20" t="str"/>
      <x:c r="G509" s="20" t="str"/>
      <x:c r="H509" s="23" t="str">
        <x:v>SPEAKER NEWLINE NEWLINE END</x:v>
      </x:c>
      <x:c r="I509" s="23" t="str">
        <x:v>EA:6E3B</x:v>
      </x:c>
      <x:c r="J509" s="23" t="str">
        <x:v>CC 48 61 01 68 61 01 68 61 21 01 57 68 61 74 01 61 C8 73 74 6F 72 79 21 01 59 6F 75 01 72 61 6E 01 61 6C 6C 01 74 68 65 01 77 61 79 C8 62 61 63 6B 3F 01 54 68 69 73 01 67 75 79 01 69 73 01 61 01 63 6F 77 61 72 64 21 C0</x:v>
      </x:c>
      <x:c r="K509" s="23" t="str">
        <x:v>1CC 084 01F 029 029 029 029 029 029 001 018 03E 01A 017 084 01F 084 01D 07A 1C8 025 084 018 015 013 03E 022 097 01F 084 01F 023 001 084 015 029 029 1C8 019 028 190 001 019 01B 026 018 084 01F 084 01D 07A 1C0</x:v>
      </x:c>
    </x:row>
    <x:row r="510">
      <x:c r="A510" s="22" t="str">
        <x:f>"01"</x:f>
        <x:v>01</x:v>
      </x:c>
      <x:c r="B510" s="22" t="str">
        <x:f>"FC"</x:f>
        <x:v>FC</x:v>
      </x:c>
      <x:c r="C510" s="22" t="str">
        <x:f>"0x01FC"</x:f>
        <x:v>0x01FC</x:v>
      </x:c>
      <x:c r="D510" s="21" t="str">
        <x:v>&lt;SPEAKER&gt;「ちょっと前までは いわゆる
考古学者くらいしか この島に
やって来んかったじゃ&lt;WAIT&gt;&lt;SPEAKER&gt;「じゃが 化石が みつかっていらい
わけのわからん連中が
ぎょうさん 来よる</x:v>
      </x:c>
      <x:c r="E510" s="19" t="str">
        <x:v>&lt;SPEAKER&gt;Not long ago, only
archaeologists and such
ever came to this island.&lt;WAIT&gt;&lt;SPEAKER&gt;But since the fossil
was found, all kinds of strange
people have been flooding in.</x:v>
      </x:c>
      <x:c r="F510" s="20" t="str"/>
      <x:c r="G510" s="20" t="str"/>
      <x:c r="H510" s="23" t="str">
        <x:v>SPEAKER NEWLINE NEWLINE WAIT SPEAKER NEWLINE NEWLINE END</x:v>
      </x:c>
      <x:c r="I510" s="23" t="str">
        <x:v>EA:6E84</x:v>
      </x:c>
      <x:c r="J510" s="23" t="str">
        <x:v>CC 4E 6F 74 01 6C 6F 6E 67 01 61 67 6F 2C 01 6F 6E 6C 79 C8 61 72 63 68 61 65 6F 6C 6F 67 69 73 74 73 01 61 6E 64 01 73 75 63 68 C8 65 76 65 72 01 63 61 6D 65 01 74 6F 01 74 68 69 73 01 69 73 6C 61 6E 64 2E C5 CC 42 75 74 01 73 69 6E 63 65 01 74 68 65 01 66 6F 73 73 69 6C C8 77 61 73 01 66 6F 75 6E 64 2C 01 61 6C 6C 01 6B 69 6E 64 73 01 6F 66 01 73 74 72 61 6E 67 65 C8 70 65 6F 70 6C 65 01 68 61 76 65 01 62 65 65 6E 01 66 6C 6F 6F 64 69 6E 67 01 69 6E 2E C0</x:v>
      </x:c>
      <x:c r="K510" s="23" t="str">
        <x:v>1CC 020 041 03E 023 0C3 02E 084 022 029 001 011 03B 034 038 1C8 0DB 096 0B7 0A7 017 036 011 01B 015 001 019 028 08A 025 1C8 033 03E 022 097 03D 015 03E 01F 084 01B 03F 1C5 1CC 084 01B 03F 084 015 001 09E 09D 084 015 001 02F 021 015 03E 022 011 036 011 1C8 03B 018 028 03B 015 036 03D 0D1 0A1 084 015 1C8 084 016 041 012 01A 03D 001 097 035 038 1C0</x:v>
      </x:c>
    </x:row>
    <x:row r="511">
      <x:c r="A511" s="22" t="str">
        <x:f>"01"</x:f>
        <x:v>01</x:v>
      </x:c>
      <x:c r="B511" s="22" t="str">
        <x:f>"FD"</x:f>
        <x:v>FD</x:v>
      </x:c>
      <x:c r="C511" s="22" t="str">
        <x:f>"0x01FD"</x:f>
        <x:v>0x01FD</x:v>
      </x:c>
      <x:c r="D511" s="21" t="str">
        <x:v>&lt;SPEAKER&gt;「おほほほ 島に 観光客が
ふえて この店の うりあげも
ばいぞうしましたわ</x:v>
      </x:c>
      <x:c r="E511" s="19" t="str">
        <x:v>&lt;SPEAKER&gt;Oh-ho-ho! More
tourists means this shop
has doubled its sales!</x:v>
      </x:c>
      <x:c r="F511" s="20" t="str"/>
      <x:c r="G511" s="20" t="str"/>
      <x:c r="H511" s="23" t="str">
        <x:v>SPEAKER NEWLINE NEWLINE END</x:v>
      </x:c>
      <x:c r="I511" s="23" t="str">
        <x:v>EA:6F1E</x:v>
      </x:c>
      <x:c r="J511" s="23" t="str">
        <x:v>CC 4F 68 2D 68 6F 2D 68 6F 21 01 4D 6F 72 65 C8 74 6F 75 72 69 73 74 73 01 6D 65 61 6E 73 01 74 68 69 73 01 73 68 6F 70 C8 68 61 73 01 64 6F 75 62 6C 65 64 01 69 74 73 01 73 61 6C 65 73 21 C0</x:v>
      </x:c>
      <x:c r="K511" s="23" t="str">
        <x:v>1CC 014 02D 02D 02D 001 08A 025 001 149 14A 0FD 084 015 1C8 02B 013 022 001 019 028 129 028 001 012 037 010 084 018 032 1C8 084 029 011 084 01E 012 01B 02E 01B 01F 03B 1C0</x:v>
      </x:c>
    </x:row>
    <x:row r="512">
      <x:c r="A512" s="22" t="str">
        <x:f>"01"</x:f>
        <x:v>01</x:v>
      </x:c>
      <x:c r="B512" s="22" t="str">
        <x:f>"FE"</x:f>
        <x:v>FE</x:v>
      </x:c>
      <x:c r="C512" s="22" t="str">
        <x:f>"0x01FE"</x:f>
        <x:v>0x01FE</x:v>
      </x:c>
      <x:c r="D512" s="21" t="str">
        <x:v>&lt;SPEAKER&gt;「どこかに コレクタとかいう
やつがいて ひかるビーダマを
集めているそうなんだ&lt;WAIT&gt;&lt;SPEAKER&gt;「コレクタに ビーダマをやると
おれいに すんばらしい
プレゼントを くれるんだそうだ&lt;WAIT&gt;&lt;SPEAKER&gt;「ひかるビーダマを 見つけたら
じゃまになるようなら 道具として
使うといいよ&lt;WAIT&gt;&lt;SPEAKER&gt;「すると ビーダマは とんでいって
コレクタのところで 預かってもらえる
そういう ふしぎな ビーダマなんだ</x:v>
      </x:c>
      <x:c r="E512" s="19" t="str">
        <x:v>&lt;SPEAKER&gt;They say someone
called the Collector
gathers Shining Marbles.&lt;WAIT&gt;&lt;SPEAKER&gt;Give him a marble
and he supposedly rewards
you with something wonderful.&lt;WAIT&gt;&lt;SPEAKER&gt;If a Shining Marble
is taking up room, use
it like an ordinary item.&lt;WAIT&gt;&lt;SPEAKER&gt;It will fly away and
the Collector will hold it. That
is how strange they are.</x:v>
      </x:c>
      <x:c r="F512" s="20" t="str"/>
      <x:c r="G512" s="20" t="str"/>
      <x:c r="H512" s="23" t="str">
        <x:v>SPEAKER NEWLINE NEWLINE WAIT SPEAKER NEWLINE NEWLINE WAIT SPEAKER NEWLINE NEWLINE WAIT SPEAKER NEWLINE NEWLINE END</x:v>
      </x:c>
      <x:c r="I512" s="23" t="str">
        <x:v>EA:6F5E</x:v>
      </x:c>
      <x:c r="J512" s="23" t="str">
        <x:v>CC 54 68 65 79 01 73 61 79 01 73 6F 6D 65 6F 6E 65 C8 63 61 6C 6C 65 64 01 74 68 65 01 43 6F 6C 6C 65 63 74 6F 72 C8 67 61 74 68 65 72 73 01 53 68 69 6E 69 6E 67 01 4D 61 72 62 6C 65 73 2E C5 CC 47 69 76 65 01 68 69 6D 01 61 01 6D 61 72 62 6C 65 C8 61 6E 64 01 68 65 01 73 75 70 70 6F 73 65 64 6C 79 01 72 65 77 61 72 64 73 C8 79 6F 75 01 77 69 74 68 01 73 6F 6D 65 74 68 69 6E 67 01 77 6F 6E 64 65 72 66 75 6C 2E C5 CC 49 66 01 61 01 53 68 69 6E 69 6E 67 01 4D 61 72 62 6C 65 C8 69 73 01 74 61 6B 69 6E 67 01 75 70 01 72 6F 6F 6D 2C 01 75 73 65 C8 69 74 01 6C 69 6B 65 01 61 6E 01 6F 72 64 69 6E 61 72 79 01 69 74 65 6D 2E C5 CC 49 74 01 77 69 6C 6C 01 66 6C 79 01 61 77 61 79 01 61 6E 64 C8 74 68 65 01 43 6F 6C 6C 65 63 74 6F 72 01 77 69 6C 6C 01 68 6F 6C 64 01 69 74 2E 01 54 68 61 74 C8 69 73 01 68 6F 77 01 73 74 72 61 6E 67 65 01 74 68 65 79 01 61 72 65 2E C0</x:v>
      </x:c>
      <x:c r="K512" s="23" t="str">
        <x:v>1CC 084 023 019 015 025 001 04B 06B 049 051 023 015 011 012 1C8 033 021 084 015 011 022 001 02A 015 038 084 05C 078 084 051 060 03C 1C8 1AC 031 022 011 038 01E 012 024 03D 084 01F 1C5 1CC 04B 06B 049 051 025 001 084 05C 078 084 051 060 03C 033 038 023 1C8 014 039 011 025 001 01C 03D 084 029 036 01B 011 1C8 083 05D 06B 084 04F 06F 055 03C 001 017 039 038 03D 084 01F 01E 012 084 01F 1C5 1CC 02A 015 038 084 05C 078 084 051 060 03C 001 090 021 018 01F 036 1C8 084 01B 03F 02E 025 024 038 035 012 024 036 001 0C7 124 023 01B 022 1C8 123 012 023 011 011 035 1C5 1CC 01C 038 023 001 084 05C 078 084 051 060 029 001 023 03D 084 022 011 03E 022 1C8 04B 06B 049 051 028 023 019 03A 084 022 001 111 015 03E 022 032 036 013 038 1C8 01E 012 011 012 001 02B 01B 084 016 024 001 084 05C 078 084 051 060 024 03D 084 01F 1C0</x:v>
      </x:c>
    </x:row>
    <x:row r="513">
      <x:c r="A513" s="22" t="str">
        <x:f>"01"</x:f>
        <x:v>01</x:v>
      </x:c>
      <x:c r="B513" s="22" t="str">
        <x:f>"FF"</x:f>
        <x:v>FF</x:v>
      </x:c>
      <x:c r="C513" s="22" t="str">
        <x:f>"0x01FF"</x:f>
        <x:v>0x01FF</x:v>
      </x:c>
      <x:c r="D513" s="21" t="str">
        <x:v>&lt;SPEAKER&gt;「いやはや もう この島は
こりつじょうたい ですよ&lt;WAIT&gt;&lt;SPEAKER&gt;「船は つきに 一度しか
こないし たすけてくれそうな
うでっぷしの 強い人は&lt;WAIT&gt;&lt;SPEAKER&gt;「みんな すでに かんづめに
されちゃった みたいだし
おてあげって やつですかい</x:v>
      </x:c>
      <x:c r="E513" s="19" t="str">
        <x:v>&lt;SPEAKER&gt;This island
is isolated now.&lt;WAIT&gt;&lt;SPEAKER&gt;A ship comes only
monthly, and every strong
fighter who could help is gone.&lt;WAIT&gt;&lt;SPEAKER&gt;Looks like they were
all sealed in cans. We're stuck.</x:v>
      </x:c>
      <x:c r="F513" s="20" t="str"/>
      <x:c r="G513" s="20" t="str"/>
      <x:c r="H513" s="23" t="str">
        <x:v>SPEAKER NEWLINE WAIT SPEAKER NEWLINE NEWLINE WAIT SPEAKER NEWLINE END</x:v>
      </x:c>
      <x:c r="I513" s="23" t="str">
        <x:v>EA:707F</x:v>
      </x:c>
      <x:c r="J513" s="23" t="str">
        <x:v>CC 54 68 69 73 01 69 73 6C 61 6E 64 C8 69 73 01 69 73 6F 6C 61 74 65 64 01 6E 6F 77 2E C5 CC 41 01 73 68 69 70 01 63 6F 6D 65 73 01 6F 6E 6C 79 C8 6D 6F 6E 74 68 6C 79 2C 01 61 6E 64 01 65 76 65 72 79 01 73 74 72 6F 6E 67 C8 66 69 67 68 74 65 72 01 77 68 6F 01 63 6F 75 6C 64 01 68 65 6C 70 01 69 73 01 67 6F 6E 65 2E C5 CC 4C 6F 6F 6B 73 01 6C 69 6B 65 01 74 68 65 79 01 77 65 72 65 C8 61 6C 6C 01 73 65 61 6C 65 64 01 69 6E 01 63 61 6E 73 2E 01 57 65 27 72 65 01 73 74 75 63 6B 2E C0</x:v>
      </x:c>
      <x:c r="K513" s="23" t="str">
        <x:v>1CC 011 033 029 033 001 032 012 001 019 028 08A 029 1C8 019 037 021 084 01B 041 012 01F 011 001 084 022 01C 035 1C5 1CC 19B 029 001 021 016 025 001 0AF 13E 01B 015 1C8 019 024 011 01B 001 01F 01C 018 022 017 039 01E 012 024 1C8 012 084 022 03E 083 02B 01B 028 001 138 011 091 029 1C5 1CC 02F 03D 024 001 01C 084 022 025 001 015 03D 084 021 031 025 1C8 01A 039 020 03F 03E 01F 001 02F 01F 011 084 01F 01B 1C8 014 022 010 084 018 03E 022 001 033 021 084 022 01C 015 011 1C0</x:v>
      </x:c>
    </x:row>
    <x:row r="514">
      <x:c r="A514" s="22" t="str">
        <x:f>"02"</x:f>
        <x:v>02</x:v>
      </x:c>
      <x:c r="B514" s="22" t="str">
        <x:f>"00"</x:f>
        <x:v>00</x:v>
      </x:c>
      <x:c r="C514" s="22" t="str">
        <x:f>"0x0200"</x:f>
        <x:v>0x0200</x:v>
      </x:c>
      <x:c r="D514" s="21" t="str">
        <x:v>&lt;SPEAKER&gt;「わしは この島で
生まれ そだったんじゃ&lt;WAIT&gt;&lt;SPEAKER&gt;「だから 何が おきようとも
この島を はなれんぞい</x:v>
      </x:c>
      <x:c r="E514" s="19" t="str">
        <x:v>&lt;SPEAKER&gt;I was born and
raised on this island.&lt;WAIT&gt;&lt;SPEAKER&gt;No matter what
happens, I am not leaving it.</x:v>
      </x:c>
      <x:c r="F514" s="20" t="str"/>
      <x:c r="G514" s="20" t="str"/>
      <x:c r="H514" s="23" t="str">
        <x:v>SPEAKER NEWLINE WAIT SPEAKER NEWLINE END</x:v>
      </x:c>
      <x:c r="I514" s="23" t="str">
        <x:v>EA:7121</x:v>
      </x:c>
      <x:c r="J514" s="23" t="str">
        <x:v>CC 49 01 77 61 73 01 62 6F 72 6E 01 61 6E 64 C8 72 61 69 73 65 64 01 6F 6E 01 74 68 69 73 01 69 73 6C 61 6E 64 2E C5 CC 4E 6F 01 6D 61 74 74 65 72 01 77 68 61 74 C8 68 61 70 70 65 6E 73 2C 01 49 01 61 6D 01 6E 6F 74 01 6C 65 61 76 69 6E 67 01 69 74 2E C0</x:v>
      </x:c>
      <x:c r="K514" s="23" t="str">
        <x:v>1CC 03B 01B 029 001 019 028 08A 084 022 1C8 09B 02E 039 001 01E 084 01F 03E 01F 03D 084 01B 03F 1C5 1CC 084 01F 015 036 001 093 084 015 001 014 016 035 012 023 032 1C8 019 028 08A 03C 001 029 024 039 03D 084 01E 011 1C0</x:v>
      </x:c>
    </x:row>
    <x:row r="515">
      <x:c r="A515" s="22" t="str">
        <x:f>"02"</x:f>
        <x:v>02</x:v>
      </x:c>
      <x:c r="B515" s="22" t="str">
        <x:f>"01"</x:f>
        <x:v>01</x:v>
      </x:c>
      <x:c r="C515" s="22" t="str">
        <x:f>"0x0201"</x:f>
        <x:v>0x0201</x:v>
      </x:c>
      <x:c r="D515" s="21" t="str">
        <x:v>&lt;SPEAKER&gt;「にげて来た 囚人が
デスベガスで コレクタに
会ったっていうんだ&lt;WAIT&gt;&lt;SPEAKER&gt;「あれから おれもさがして
一コ みつけたけど あんなとこ
生きて たどりつけないや&lt;WAIT&gt;&lt;SPEAKER&gt;「よかったら あんたたち このビーダマ
100エンドルで かわないか?</x:v>
      </x:c>
      <x:c r="E515" s="19" t="str">
        <x:v>&lt;SPEAKER&gt;An escaped
prisoner said he met the
Collector in Deathvegas.&lt;WAIT&gt;&lt;SPEAKER&gt;I searched and found
one marble, but I would never
survive the trip to where he is.&lt;WAIT&gt;&lt;SPEAKER&gt;Want to buy this
marble from me for 100 Endol?</x:v>
      </x:c>
      <x:c r="F515" s="20" t="str"/>
      <x:c r="G515" s="20" t="str"/>
      <x:c r="H515" s="23" t="str">
        <x:v>SPEAKER NEWLINE NEWLINE WAIT SPEAKER NEWLINE NEWLINE WAIT SPEAKER NEWLINE END</x:v>
      </x:c>
      <x:c r="I515" s="23" t="str">
        <x:v>EA:7176</x:v>
      </x:c>
      <x:c r="J515" s="23" t="str">
        <x:v>CC 41 6E 01 65 73 63 61 70 65 64 C8 70 72 69 73 6F 6E 65 72 01 73 61 69 64 01 68 65 01 6D 65 74 01 74 68 65 C8 43 6F 6C 6C 65 63 74 6F 72 01 69 6E 01 44 65 61 74 68 76 65 67 61 73 2E C5 CC 49 01 73 65 61 72 63 68 65 64 01 61 6E 64 01 66 6F 75 6E 64 C8 6F 6E 65 01 6D 61 72 62 6C 65 2C 01 62 75 74 01 49 01 77 6F 75 6C 64 01 6E 65 76 65 72 C8 73 75 72 76 69 76 65 01 74 68 65 01 74 72 69 70 01 74 6F 01 77 68 65 72 65 01 68 65 01 69 73 2E C5 CC 57 61 6E 74 01 74 6F 01 62 75 79 01 74 68 69 73 C8 6D 61 72 62 6C 65 01 66 72 6F 6D 01 6D 65 01 66 6F 72 01 31 30 30 01 45 6E 64 6F 6C 3F C0</x:v>
      </x:c>
      <x:c r="K515" s="23" t="str">
        <x:v>1CC 025 084 018 022 097 01F 001 113 091 084 015 1C8 084 054 04E 084 05E 084 047 04E 084 022 001 04B 06B 049 051 025 1C8 11E 03E 01F 03E 022 011 012 03D 084 01F 1C5 1CC 010 039 015 036 001 014 039 032 01A 084 015 01B 022 1C8 0AF 04B 001 02F 021 018 01F 018 084 023 001 010 03D 024 023 019 1C8 09B 016 022 001 01F 084 023 037 021 018 024 011 033 1C5 1CC 035 015 03E 01F 036 001 010 03D 01F 01F 020 001 019 028 084 05C 078 084 051 060 1C8 003 002 002 045 06F 084 055 06A 084 022 001 015 03B 024 011 015 079 1C0</x:v>
      </x:c>
    </x:row>
    <x:row r="516">
      <x:c r="A516" s="22" t="str">
        <x:f>"02"</x:f>
        <x:v>02</x:v>
      </x:c>
      <x:c r="B516" s="22" t="str">
        <x:f>"02"</x:f>
        <x:v>02</x:v>
      </x:c>
      <x:c r="C516" s="22" t="str">
        <x:f>"0x0202"</x:f>
        <x:v>0x0202</x:v>
      </x:c>
      <x:c r="D516" s="21" t="str">
        <x:v>&lt;SPEAKER&gt;「コレクタに あおうと
この島で ねばってたけど
これで せいせいしたよ</x:v>
      </x:c>
      <x:c r="E516" s="19" t="str">
        <x:v>&lt;SPEAKER&gt;I stayed here hoping
to meet the Collector. Now
I can finally move on.</x:v>
      </x:c>
      <x:c r="F516" s="20" t="str"/>
      <x:c r="G516" s="20" t="str"/>
      <x:c r="H516" s="23" t="str">
        <x:v>SPEAKER NEWLINE NEWLINE END</x:v>
      </x:c>
      <x:c r="I516" s="23" t="str">
        <x:v>EA:7239</x:v>
      </x:c>
      <x:c r="J516" s="23" t="str">
        <x:v>CC 49 01 73 74 61 79 65 64 01 68 65 72 65 01 68 6F 70 69 6E 67 C8 74 6F 01 6D 65 65 74 01 74 68 65 01 43 6F 6C 6C 65 63 74 6F 72 2E 01 4E 6F 77 C8 49 01 63 61 6E 01 66 69 6E 61 6C 6C 79 01 6D 6F 76 65 01 6F 6E 2E C0</x:v>
      </x:c>
      <x:c r="K516" s="23" t="str">
        <x:v>1CC 04B 06B 049 051 025 001 010 014 012 023 1C8 019 028 08A 084 022 001 027 084 029 03E 022 01F 018 084 023 1C8 019 039 084 022 001 01D 011 01D 011 01B 01F 035 1C0</x:v>
      </x:c>
    </x:row>
    <x:row r="517">
      <x:c r="A517" s="22" t="str">
        <x:f>"02"</x:f>
        <x:v>02</x:v>
      </x:c>
      <x:c r="B517" s="22" t="str">
        <x:f>"03"</x:f>
        <x:v>03</x:v>
      </x:c>
      <x:c r="C517" s="22" t="str">
        <x:f>"0x0203"</x:f>
        <x:v>0x0203</x:v>
      </x:c>
      <x:c r="D517" s="21" t="str">
        <x:v>&lt;SPEAKER&gt;「え そうかい</x:v>
      </x:c>
      <x:c r="E517" s="19" t="str">
        <x:v>&lt;SPEAKER&gt;Oh. All right.</x:v>
      </x:c>
      <x:c r="F517" s="20" t="str"/>
      <x:c r="G517" s="20" t="str"/>
      <x:c r="H517" s="23" t="str">
        <x:v>SPEAKER END</x:v>
      </x:c>
      <x:c r="I517" s="23" t="str">
        <x:v>EA:7281</x:v>
      </x:c>
      <x:c r="J517" s="23" t="str">
        <x:v>CC 4F 68 2E 01 41 6C 6C 01 72 69 67 68 74 2E C0</x:v>
      </x:c>
      <x:c r="K517" s="23" t="str">
        <x:v>1CC 013 001 01E 012 015 011 1C0</x:v>
      </x:c>
    </x:row>
    <x:row r="518">
      <x:c r="A518" s="22" t="str">
        <x:f>"02"</x:f>
        <x:v>02</x:v>
      </x:c>
      <x:c r="B518" s="22" t="str">
        <x:f>"04"</x:f>
        <x:v>04</x:v>
      </x:c>
      <x:c r="C518" s="22" t="str">
        <x:f>"0x0204"</x:f>
        <x:v>0x0204</x:v>
      </x:c>
      <x:c r="D518" s="21" t="str">
        <x:v>&lt;SPEAKER&gt;「なんだ お金が ないのかい
まあいいや 持ってけ!</x:v>
      </x:c>
      <x:c r="E518" s="19" t="str">
        <x:v>&lt;SPEAKER&gt;No money? Ah,
forget it. Take it anyway!</x:v>
      </x:c>
      <x:c r="F518" s="20" t="str"/>
      <x:c r="G518" s="20" t="str"/>
      <x:c r="H518" s="23" t="str">
        <x:v>SPEAKER NEWLINE END</x:v>
      </x:c>
      <x:c r="I518" s="23" t="str">
        <x:v>EA:7291</x:v>
      </x:c>
      <x:c r="J518" s="23" t="str">
        <x:v>CC 4E 6F 01 6D 6F 6E 65 79 3F 01 41 68 2C C8 66 6F 72 67 65 74 01 69 74 2E 01 54 61 6B 65 01 69 74 01 61 6E 79 77 61 79 21 C0</x:v>
      </x:c>
      <x:c r="K518" s="23" t="str">
        <x:v>1CC 024 03D 084 01F 001 014 094 084 015 001 024 011 028 015 011 1C8 02E 010 011 011 033 001 0D3 03E 022 018 07A 1C0</x:v>
      </x:c>
    </x:row>
    <x:row r="519">
      <x:c r="A519" s="22" t="str">
        <x:f>"02"</x:f>
        <x:v>02</x:v>
      </x:c>
      <x:c r="B519" s="22" t="str">
        <x:f>"05"</x:f>
        <x:v>05</x:v>
      </x:c>
      <x:c r="C519" s="22" t="str">
        <x:f>"0x0205"</x:f>
        <x:v>0x0205</x:v>
      </x:c>
      <x:c r="D519" s="21" t="str">
        <x:v>&lt;SPEAKER&gt;「おっと それじゃ
にもつを せいりして
また来てくれよ</x:v>
      </x:c>
      <x:c r="E519" s="19" t="str">
        <x:v>&lt;SPEAKER&gt;Your bags are full. Make
some room and come back.</x:v>
      </x:c>
      <x:c r="F519" s="20" t="str"/>
      <x:c r="G519" s="20" t="str"/>
      <x:c r="H519" s="23" t="str">
        <x:v>SPEAKER NEWLINE END</x:v>
      </x:c>
      <x:c r="I519" s="23" t="str">
        <x:v>EA:72BB</x:v>
      </x:c>
      <x:c r="J519" s="23" t="str">
        <x:v>CC 59 6F 75 72 01 62 61 67 73 01 61 72 65 01 66 75 6C 6C 2E 01 4D 61 6B 65 C8 73 6F 6D 65 01 72 6F 6F 6D 01 61 6E 64 01 63 6F 6D 65 01 62 61 63 6B 2E C0</x:v>
      </x:c>
      <x:c r="K519" s="23" t="str">
        <x:v>1CC 014 03E 023 001 01E 039 084 01B 03F 1C8 025 032 021 03C 001 01D 011 037 01B 022 1C8 02E 01F 097 022 017 039 035 1C0</x:v>
      </x:c>
    </x:row>
    <x:row r="520">
      <x:c r="A520" s="22" t="str">
        <x:f>"02"</x:f>
        <x:v>02</x:v>
      </x:c>
      <x:c r="B520" s="22" t="str">
        <x:f>"06"</x:f>
        <x:v>06</x:v>
      </x:c>
      <x:c r="C520" s="22" t="str">
        <x:f>"0x0206"</x:f>
        <x:v>0x0206</x:v>
      </x:c>
      <x:c r="D520" s="21" t="str">
        <x:v>&lt;SPEAKER&gt;「げー この島に みれんは
なくなったけど よくかんがえたら
船がないから にげられないじゃん!</x:v>
      </x:c>
      <x:c r="E520" s="19" t="str">
        <x:v>&lt;SPEAKER&gt;I have no attachment
to this island anymore... Wait.
There is no ship to escape on!</x:v>
      </x:c>
      <x:c r="F520" s="20" t="str"/>
      <x:c r="G520" s="20" t="str"/>
      <x:c r="H520" s="23" t="str">
        <x:v>SPEAKER NEWLINE NEWLINE END</x:v>
      </x:c>
      <x:c r="I520" s="23" t="str">
        <x:v>EA:72EE</x:v>
      </x:c>
      <x:c r="J520" s="23" t="str">
        <x:v>CC 49 01 68 61 76 65 01 6E 6F 01 61 74 74 61 63 68 6D 65 6E 74 C8 74 6F 01 74 68 69 73 01 69 73 6C 61 6E 64 01 61 6E 79 6D 6F 72 65 2E 2E 2E 01 57 61 69 74 2E C8 54 68 65 72 65 01 69 73 01 6E 6F 01 73 68 69 70 01 74 6F 01 65 73 63 61 70 65 01 6F 6E 21 C0</x:v>
      </x:c>
      <x:c r="K520" s="23" t="str">
        <x:v>1CC 084 018 078 001 019 028 08A 025 001 02F 039 03D 029 1C8 024 017 024 03E 01F 018 084 023 001 035 017 015 03D 084 015 013 01F 036 1C8 19B 084 015 024 011 015 036 001 025 084 018 036 039 024 011 084 01B 03F 03D 07A 1C0</x:v>
      </x:c>
    </x:row>
    <x:row r="521">
      <x:c r="A521" s="22" t="str">
        <x:f>"02"</x:f>
        <x:v>02</x:v>
      </x:c>
      <x:c r="B521" s="22" t="str">
        <x:f>"07"</x:f>
        <x:v>07</x:v>
      </x:c>
      <x:c r="C521" s="22" t="str">
        <x:f>"0x0207"</x:f>
        <x:v>0x0207</x:v>
      </x:c>
      <x:c r="D521" s="21" t="str">
        <x:v>&lt;SPEAKER&gt;「おれは 情報屋のボブだ
50Yで 島の情報を売るぜ</x:v>
      </x:c>
      <x:c r="E521" s="19" t="str">
        <x:v>&lt;SPEAKER&gt;Name is Bob. I sell
island information for 50 Endol.</x:v>
      </x:c>
      <x:c r="F521" s="20" t="str"/>
      <x:c r="G521" s="20" t="str"/>
      <x:c r="H521" s="23" t="str">
        <x:v>SPEAKER NEWLINE END</x:v>
      </x:c>
      <x:c r="I521" s="23" t="str">
        <x:v>EA:7343</x:v>
      </x:c>
      <x:c r="J521" s="23" t="str">
        <x:v>CC 4E 61 6D 65 01 69 73 01 42 6F 62 2E 01 49 01 73 65 6C 6C C8 69 73 6C 61 6E 64 01 69 6E 66 6F 72 6D 61 74 69 6F 6E 01 66 6F 72 01 35 30 01 45 6E 64 6F 6C 2E C0</x:v>
      </x:c>
      <x:c r="K521" s="23" t="str">
        <x:v>1CC 014 039 029 001 0AD 0AE 0B3 028 084 05F 084 05D 084 01F 1C8 007 002 00F 084 022 001 08A 028 0AD 0AE 03C 0A2 038 084 01D 1C0</x:v>
      </x:c>
    </x:row>
    <x:row r="522">
      <x:c r="A522" s="22" t="str">
        <x:f>"02"</x:f>
        <x:v>02</x:v>
      </x:c>
      <x:c r="B522" s="22" t="str">
        <x:f>"08"</x:f>
        <x:v>08</x:v>
      </x:c>
      <x:c r="C522" s="22" t="str">
        <x:f>"0x0208"</x:f>
        <x:v>0x0208</x:v>
      </x:c>
      <x:c r="D522" s="21" t="str">
        <x:v>&lt;SPEAKER&gt;「よく ききな ねーちゃん!&lt;WAIT&gt;&lt;SPEAKER&gt;「この島はな 北側はんぶん以上が
ぜっぺきと 樹海に おおわれていて
どうなってるか 解んねえんだ!&lt;WAIT&gt;&lt;SPEAKER&gt;「解んねえもんだから いろいろと
やれ古代の宝だ 金銀 宝石だの
うわさが たつってわけよ!&lt;WAIT&gt;&lt;SPEAKER&gt;「ま おかげで おれみてえな
情報屋が 商売として なりたつって
わけだな! おっと 話がそれたな&lt;WAIT&gt;&lt;SPEAKER&gt;「とにかくだ! 島の 北側に
行かなきゃ うわさが ほんとか
どうか わからんってわけよ</x:v>
      </x:c>
      <x:c r="E522" s="19" t="str">
        <x:v>&lt;SPEAKER&gt;Listen closely, sister!&lt;WAIT&gt;&lt;SPEAKER&gt;More than half the north
is covered by sheer cliffs and
dense forest. Nobody knows it.&lt;WAIT&gt;&lt;SPEAKER&gt;Because nobody knows,
rumors spread about ancient
riches, gold, jewels, you name it.&lt;WAIT&gt;&lt;SPEAKER&gt;That is why a broker
like me can make a living here!
But I am getting off track.&lt;WAIT&gt;&lt;SPEAKER&gt;Bottom line: head
north to learn whether those
rumors are true or not.</x:v>
      </x:c>
      <x:c r="F522" s="20" t="str"/>
      <x:c r="G522" s="20" t="str"/>
      <x:c r="H522" s="23" t="str">
        <x:v>SPEAKER WAIT SPEAKER NEWLINE NEWLINE WAIT SPEAKER NEWLINE NEWLINE WAIT SPEAKER NEWLINE NEWLINE WAIT SPEAKER NEWLINE NEWLINE END</x:v>
      </x:c>
      <x:c r="I522" s="23" t="str">
        <x:v>EA:7379</x:v>
      </x:c>
      <x:c r="J522" s="23" t="str">
        <x:v>CC 4C 69 73 74 65 6E 01 63 6C 6F 73 65 6C 79 2C 01 73 69 73 74 65 72 21 C5 CC 4D 6F 72 65 01 74 68 61 6E 01 68 61 6C 66 01 74 68 65 01 6E 6F 72 74 68 C8 69 73 01 63 6F 76 65 72 65 64 01 62 79 01 73 68 65 65 72 01 63 6C 69 66 66 73 01 61 6E 64 C8 64 65 6E 73 65 01 66 6F 72 65 73 74 2E 01 4E 6F 62 6F 64 79 01 6B 6E 6F 77 73 01 69 74 2E C5 CC 42 65 63 61 75 73 65 01 6E 6F 62 6F 64 79 01 6B 6E 6F 77 73 2C C8 72 75 6D 6F 72 73 01 73 70 72 65 61 64 01 61 62 6F 75 74 01 61 6E 63 69 65 6E 74 C8 72 69 63 68 65 73 2C 01 67 6F 6C 64 2C 01 6A 65 77 65 6C 73 2C 01 79 6F 75 01 6E 61 6D 65 01 69 74 2E C5 CC 54 68 61 74 01 69 73 01 77 68 79 01 61 01 62 72 6F 6B 65 72 C8 6C 69 6B 65 01 6D 65 01 63 61 6E 01 6D 61 6B 65 01 61 01 6C 69 76 69 6E 67 01 68 65 72 65 21 C8 42 75 74 01 49 01 61 6D 01 67 65 74 74 69 6E 67 01 6F 66 66 01 74 72 61 63 6B 2E C5 CC 42 6F 74 74 6F 6D 01 6C 69 6E 65 3A 01 68 65 61 64 C8 6E 6F 72 74 68 01 74 6F 01 6C 65 61 72 6E 01 77 68 65 74 68 65 72 01 74 68 6F 73 65 C8 72 75 6D 6F 72 73 01 61 72 65 01 74 72 75 65 01 6F 72 01 6E 6F 74 2E C0</x:v>
      </x:c>
      <x:c r="K522" s="23" t="str">
        <x:v>1CC 035 017 001 016 016 024 001 027 078 020 03F 03D 07A 1C5 1CC 019 028 08A 029 024 001 09C 0BE 029 03D 084 02B 03D 0F4 128 084 015 1C8 084 01D 03E 083 02C 016 023 001 17D 162 025 001 014 014 03B 039 022 011 022 1C8 084 023 012 024 03E 022 038 015 001 0FE 03D 027 013 03D 084 01F 07A 1C5 1CC 0FE 03D 027 013 032 03D 084 01F 015 036 001 011 03A 011 03A 023 1C8 033 039 096 09F 028 095 084 01F 001 094 0EC 001 095 09D 084 01F 028 1C8 012 03B 01A 084 015 001 01F 021 03E 022 03B 018 035 07A 1C5 1CC 02E 001 014 015 084 018 084 022 001 014 039 02F 022 013 024 1C8 0AD 0AE 0B3 084 015 001 109 0A2 023 01B 022 001 024 037 01F 021 03E 022 1C8 03B 018 084 01F 024 07A 001 014 03E 023 001 0A0 084 015 01E 039 01F 024 1C5 1CC 023 025 015 017 084 01F 07A 001 08A 028 001 09C 0BE 025 1C8 08D 015 024 016 03F 001 012 03B 01A 084 015 001 02D 03D 023 015 1C8 084 023 012 015 001 03B 015 036 03D 03E 022 03B 018 035 1C0</x:v>
      </x:c>
    </x:row>
    <x:row r="523">
      <x:c r="A523" s="22" t="str">
        <x:f>"02"</x:f>
        <x:v>02</x:v>
      </x:c>
      <x:c r="B523" s="22" t="str">
        <x:f>"09"</x:f>
        <x:v>09</x:v>
      </x:c>
      <x:c r="C523" s="22" t="str">
        <x:f>"0x0209"</x:f>
        <x:v>0x0209</x:v>
      </x:c>
      <x:c r="D523" s="21" t="str">
        <x:v>&lt;SPEAKER&gt;「だがな べっぴんさんよ!
どっから 行けば いいのか?
これが また やっかいなんだ&lt;WAIT&gt;&lt;SPEAKER&gt;「ここから さらに 北に行くと
バロン城っていう 城があるんだ
ところが ここが くせものなんだな&lt;WAIT&gt;&lt;SPEAKER&gt;「古い 書物によるとだな
バロン城から 島の北側にぬける
はずなんだが ところがどっこい&lt;WAIT&gt;&lt;SPEAKER&gt;「城の中は じごくのような わなや
仕掛けが やまのように あるんだな
おまけに モンスターも うようよ!&lt;WAIT&gt;&lt;SPEAKER&gt;「まいにち いろんな やつらが
でかけて行くけど ほとんどが
こしぬかして かえってくるか・・・&lt;WAIT&gt;&lt;SPEAKER&gt;「とちゅうで あの世へ行くか
どっちかだな おかげで 墓石屋まで
はんじょう してるって 話だぜ!&lt;WAIT&gt;&lt;SPEAKER&gt;「どうだい べっぴんさんよ!
もういちど 話そうか?</x:v>
      </x:c>
      <x:c r="E523" s="19" t="str">
        <x:v>&lt;SPEAKER&gt;But here is the trouble,
beautiful: how do you get there?&lt;WAIT&gt;&lt;SPEAKER&gt;Farther north from here
stands a place called Baron
Castle. That castle is the problem.&lt;WAIT&gt;&lt;SPEAKER&gt;Old books say the
castle should lead to the
north side of the island. But...&lt;WAIT&gt;&lt;SPEAKER&gt;inside are mountains
of traps, horrible mechanisms,
and monsters everywhere.&lt;WAIT&gt;&lt;SPEAKER&gt;People leave for it every
day. Most come back terrified...&lt;WAIT&gt;&lt;SPEAKER&gt;or die on the way.
Even the gravestone shop
is booming because of it!&lt;WAIT&gt;&lt;SPEAKER&gt;So, beautiful? Want
me to tell it all again?</x:v>
      </x:c>
      <x:c r="F523" s="20" t="str"/>
      <x:c r="G523" s="20" t="str"/>
      <x:c r="H523" s="23" t="str">
        <x:v>SPEAKER NEWLINE WAIT SPEAKER NEWLINE NEWLINE WAIT SPEAKER NEWLINE NEWLINE WAIT SPEAKER NEWLINE NEWLINE WAIT SPEAKER NEWLINE WAIT SPEAKER NEWLINE NEWLINE WAIT SPEAKER NEWLINE END</x:v>
      </x:c>
      <x:c r="I523" s="23" t="str">
        <x:v>EA:74DA</x:v>
      </x:c>
      <x:c r="J523" s="23" t="str">
        <x:v>CC 42 75 74 01 68 65 72 65 01 69 73 01 74 68 65 01 74 72 6F 75 62 6C 65 2C C8 62 65 61 75 74 69 66 75 6C 3A 01 68 6F 77 01 64 6F 01 79 6F 75 01 67 65 74 01 74 68 65 72 65 3F C5 CC 46 61 72 74 68 65 72 01 6E 6F 72 74 68 01 66 72 6F 6D 01 68 65 72 65 C8 73 74 61 6E 64 73 01 61 01 70 6C 61 63 65 01 63 61 6C 6C 65 64 01 42 61 72 6F 6E C8 43 61 73 74 6C 65 2E 01 54 68 61 74 01 63 61 73 74 6C 65 01 69 73 01 74 68 65 01 70 72 6F 62 6C 65 6D 2E C5 CC 4F 6C 64 01 62 6F 6F 6B 73 01 73 61 79 01 74 68 65 C8 63 61 73 74 6C 65 01 73 68 6F 75 6C 64 01 6C 65 61 64 01 74 6F 01 74 68 65 C8 6E 6F 72 74 68 01 73 69 64 65 01 6F 66 01 74 68 65 01 69 73 6C 61 6E 64 2E 01 42 75 74 2E 2E 2E C5 CC 69 6E 73 69 64 65 01 61 72 65 01 6D 6F 75 6E 74 61 69 6E 73 C8 6F 66 01 74 72 61 70 73 2C 01 68 6F 72 72 69 62 6C 65 01 6D 65 63 68 61 6E 69 73 6D 73 2C C8 61 6E 64 01 6D 6F 6E 73 74 65 72 73 01 65 76 65 72 79 77 68 65 72 65 2E C5 CC 50 65 6F 70 6C 65 01 6C 65 61 76 65 01 66 6F 72 01 69 74 01 65 76 65 72 79 C8 64 61 79 2E 01 4D 6F 73 74 01 63 6F 6D 65 01 62 61 63 6B 01 74 65 72 72 69 66 69 65 64 2E 2E 2E C5 CC 6F 72 01 64 69 65 01 6F 6E 01 74 68 65 01 77 61 79 2E C8 45 76 65 6E 01 74 68 65 01 67 72 61 76 65 73 74 6F 6E 65 01 73 68 6F 70 C8 69 73 01 62 6F 6F 6D 69 6E 67 01 62 65 63 61 75 73 65 01 6F 66 01 69 74 21 C5 CC 53 6F 2C 01 62 65 61 75 74 69 66 75 6C 3F 01 57 61 6E 74 C8 6D 65 01 74 6F 01 74 65 6C 6C 01 69 74 01 61 6C 6C 01 61 67 61 69 6E 3F C0</x:v>
      </x:c>
      <x:c r="K523" s="23" t="str">
        <x:v>1CC 084 01F 084 015 024 001 084 02C 03E 083 02A 03D 01A 03D 035 07A 1C8 084 023 03E 015 036 001 08D 018 084 029 001 011 011 028 015 079 1C8 019 039 084 015 001 02E 01F 001 033 03E 015 011 024 03D 084 01F 1C5 1CC 019 019 015 036 001 01A 036 025 001 09C 025 08D 017 023 1C8 084 05B 06C 06F 08C 03E 022 011 012 001 08C 084 015 010 038 03D 084 01F 1C8 023 019 03A 084 015 001 019 019 084 015 001 017 01D 032 028 024 03D 084 01F 024 1C5 1CC 096 011 001 098 08B 025 035 038 023 084 01F 024 1C8 084 05B 06C 06F 08C 015 036 001 08A 028 09C 0BE 025 026 018 038 1C8 029 084 01C 024 03D 084 01F 084 015 001 023 019 03A 084 015 084 023 03E 019 011 1C5 1CC 08C 028 0A1 029 001 084 01B 084 019 017 028 035 012 024 001 03B 024 033 1C8 18F 195 018 084 015 001 033 02E 028 035 012 025 001 010 038 03D 084 01F 024 1C8 014 02E 018 025 001 064 06F 04E 051 078 032 001 012 035 012 035 07A 1C5 1CC 02E 011 025 020 001 011 03A 03D 024 001 033 021 036 084 015 1C8 084 022 015 018 022 08D 017 018 084 023 001 02D 023 03D 084 023 084 015 1C8 019 01B 026 015 01B 022 001 015 013 03E 022 017 038 015 081 081 081 1C5 1CC 023 020 040 012 084 022 001 010 028 0A9 02C 08D 017 015 1C8 084 023 03E 020 015 084 01F 024 001 014 015 084 018 084 022 001 0D7 09D 0B3 02E 084 022 1C8 029 03D 084 01B 041 012 001 01B 022 038 03E 022 001 0A0 084 01F 084 01D 07A 1C5 1CC 084 023 012 084 01F 011 001 084 02C 03E 083 02A 03D 01A 03D 035 07A 1C8 032 012 011 020 084 023 001 0A0 01E 012 015 079 1C0</x:v>
      </x:c>
    </x:row>
    <x:row r="524">
      <x:c r="A524" s="22" t="str">
        <x:f>"02"</x:f>
        <x:v>02</x:v>
      </x:c>
      <x:c r="B524" s="22" t="str">
        <x:f>"0A"</x:f>
        <x:v>0A</x:v>
      </x:c>
      <x:c r="C524" s="22" t="str">
        <x:f>"0x020A"</x:f>
        <x:v>0x020A</x:v>
      </x:c>
      <x:c r="D524" s="21" t="str">
        <x:v>&lt;SPEAKER&gt;「よし じゃ おちかづきのしるしに
いいものを やろう!</x:v>
      </x:c>
      <x:c r="E524" s="19" t="str">
        <x:v>&lt;SPEAKER&gt;All right. Here, a little
gift to mark our acquaintance!</x:v>
      </x:c>
      <x:c r="F524" s="20" t="str"/>
      <x:c r="G524" s="20" t="str"/>
      <x:c r="H524" s="23" t="str">
        <x:v>SPEAKER NEWLINE END</x:v>
      </x:c>
      <x:c r="I524" s="23" t="str">
        <x:v>EA:76BB</x:v>
      </x:c>
      <x:c r="J524" s="23" t="str">
        <x:v>CC 41 6C 6C 01 72 69 67 68 74 2E 01 48 65 72 65 2C 01 61 01 6C 69 74 74 6C 65 C8 67 69 66 74 01 74 6F 01 6D 61 72 6B 01 6F 75 72 01 61 63 71 75 61 69 6E 74 61 6E 63 65 21 C0</x:v>
      </x:c>
      <x:c r="K524" s="23" t="str">
        <x:v>1CC 035 01B 001 084 01B 03F 001 014 020 015 084 021 016 028 01B 038 01B 025 1C8 011 011 032 028 03C 001 033 03A 012 07A 1C0</x:v>
      </x:c>
    </x:row>
    <x:row r="525">
      <x:c r="A525" s="22" t="str">
        <x:f>"02"</x:f>
        <x:v>02</x:v>
      </x:c>
      <x:c r="B525" s="22" t="str">
        <x:f>"0B"</x:f>
        <x:v>0B</x:v>
      </x:c>
      <x:c r="C525" s="22" t="str">
        <x:f>"0x020B"</x:f>
        <x:v>0x020B</x:v>
      </x:c>
      <x:c r="D525" s="21" t="str">
        <x:v>&lt;SPEAKER&gt;「ま 墓は 立ててやるぜ!
情報料に こみに してやるよ!
べっぴんさんだからな ぐはは!</x:v>
      </x:c>
      <x:c r="E525" s="19" t="str">
        <x:v>&lt;SPEAKER&gt;I will put up your grave!
Call it part of the info fee.
Special deal for a beauty! Ha!</x:v>
      </x:c>
      <x:c r="F525" s="20" t="str"/>
      <x:c r="G525" s="20" t="str"/>
      <x:c r="H525" s="23" t="str">
        <x:v>SPEAKER NEWLINE NEWLINE END</x:v>
      </x:c>
      <x:c r="I525" s="23" t="str">
        <x:v>EA:76F5</x:v>
      </x:c>
      <x:c r="J525" s="23" t="str">
        <x:v>CC 49 01 77 69 6C 6C 01 70 75 74 01 75 70 01 79 6F 75 72 01 67 72 61 76 65 21 C8 43 61 6C 6C 01 69 74 01 70 61 72 74 01 6F 66 01 74 68 65 01 69 6E 66 6F 01 66 65 65 2E C8 53 70 65 63 69 61 6C 01 64 65 61 6C 01 66 6F 72 01 61 01 62 65 61 75 74 79 21 01 48 61 21 C0</x:v>
      </x:c>
      <x:c r="K525" s="23" t="str">
        <x:v>1CC 02E 001 0D7 029 001 0FF 022 022 033 038 084 01D 07A 1C8 0AD 0AE 101 025 001 019 02F 025 001 01B 022 033 038 035 07A 1C8 084 02C 03E 083 02A 03D 01A 03D 084 01F 015 036 024 001 084 017 029 029 07A 1C0</x:v>
      </x:c>
    </x:row>
    <x:row r="526">
      <x:c r="A526" s="22" t="str">
        <x:f>"02"</x:f>
        <x:v>02</x:v>
      </x:c>
      <x:c r="B526" s="22" t="str">
        <x:f>"0C"</x:f>
        <x:v>0C</x:v>
      </x:c>
      <x:c r="C526" s="22" t="str">
        <x:f>"0x020C"</x:f>
        <x:v>0x020C</x:v>
      </x:c>
      <x:c r="D526" s="21" t="str">
        <x:v>&lt;SPEAKER&gt;「ようの ないやつは 帰ってくれ</x:v>
      </x:c>
      <x:c r="E526" s="19" t="str">
        <x:v>&lt;SPEAKER&gt;If you have
no business, get out.</x:v>
      </x:c>
      <x:c r="F526" s="20" t="str"/>
      <x:c r="G526" s="20" t="str"/>
      <x:c r="H526" s="23" t="str">
        <x:v>SPEAKER NEWLINE END</x:v>
      </x:c>
      <x:c r="I526" s="23" t="str">
        <x:v>EA:774D</x:v>
      </x:c>
      <x:c r="J526" s="23" t="str">
        <x:v>CC 49 66 01 79 6F 75 01 68 61 76 65 C8 6E 6F 01 62 75 73 69 6E 65 73 73 2C 01 67 65 74 01 6F 75 74 2E C0</x:v>
      </x:c>
      <x:c r="K526" s="23" t="str">
        <x:v>1CC 035 012 028 001 024 011 033 021 029 001 13D 03E 022 017 039 1C0</x:v>
      </x:c>
    </x:row>
    <x:row r="527">
      <x:c r="A527" s="22" t="str">
        <x:f>"02"</x:f>
        <x:v>02</x:v>
      </x:c>
      <x:c r="B527" s="22" t="str">
        <x:f>"0D"</x:f>
        <x:v>0D</x:v>
      </x:c>
      <x:c r="C527" s="22" t="str">
        <x:f>"0x020D"</x:f>
        <x:v>0x020D</x:v>
      </x:c>
      <x:c r="D527" s="21" t="str">
        <x:v>&lt;SPEAKER&gt;「なんでえ! 金が たりねーぞ!
なめんなよ! ねーちゃん!</x:v>
      </x:c>
      <x:c r="E527" s="19" t="str">
        <x:v>&lt;SPEAKER&gt;What the hell? You
do not have enough money!
Do not mess with me, sister!</x:v>
      </x:c>
      <x:c r="F527" s="20" t="str"/>
      <x:c r="G527" s="20" t="str"/>
      <x:c r="H527" s="23" t="str">
        <x:v>SPEAKER NEWLINE NEWLINE END</x:v>
      </x:c>
      <x:c r="I527" s="23" t="str">
        <x:v>EA:7770</x:v>
      </x:c>
      <x:c r="J527" s="23" t="str">
        <x:v>CC 57 68 61 74 01 74 68 65 01 68 65 6C 6C 3F 01 59 6F 75 C8 64 6F 01 6E 6F 74 01 68 61 76 65 01 65 6E 6F 75 67 68 01 6D 6F 6E 65 79 21 C8 44 6F 01 6E 6F 74 01 6D 65 73 73 01 77 69 74 68 01 6D 65 2C 01 73 69 73 74 65 72 21 C0</x:v>
      </x:c>
      <x:c r="K527" s="23" t="str">
        <x:v>1CC 024 03D 084 022 013 07A 001 094 084 015 001 01F 037 027 078 084 01E 07A 1C8 024 031 03D 024 035 07A 001 027 078 020 03F 03D 07A 1C0</x:v>
      </x:c>
    </x:row>
    <x:row r="528">
      <x:c r="A528" s="22" t="str">
        <x:f>"02"</x:f>
        <x:v>02</x:v>
      </x:c>
      <x:c r="B528" s="22" t="str">
        <x:f>"0E"</x:f>
        <x:v>0E</x:v>
      </x:c>
      <x:c r="C528" s="22" t="str">
        <x:f>"0x020E"</x:f>
        <x:v>0x020E</x:v>
      </x:c>
      <x:c r="D528" s="21" t="str">
        <x:v>&lt;SPEAKER&gt;「どんな城だろうが かんけいねえ!
こけつに 入らずんば こじを えず
おーし! やったるぜい おーし!</x:v>
      </x:c>
      <x:c r="E528" s="19" t="str">
        <x:v>&lt;SPEAKER&gt;Castle or not, I do
not care! No risk, no reward!
All right! I am doing this!</x:v>
      </x:c>
      <x:c r="F528" s="20" t="str"/>
      <x:c r="G528" s="20" t="str"/>
      <x:c r="H528" s="23" t="str">
        <x:v>SPEAKER NEWLINE NEWLINE END</x:v>
      </x:c>
      <x:c r="I528" s="23" t="str">
        <x:v>EA:77BB</x:v>
      </x:c>
      <x:c r="J528" s="23" t="str">
        <x:v>CC 43 61 73 74 6C 65 01 6F 72 01 6E 6F 74 2C 01 49 01 64 6F C8 6E 6F 74 01 63 61 72 65 21 01 4E 6F 01 72 69 73 6B 2C 01 6E 6F 01 72 65 77 61 72 64 21 C8 41 6C 6C 01 72 69 67 68 74 21 01 49 01 61 6D 01 64 6F 69 6E 67 01 74 68 69 73 21 C0</x:v>
      </x:c>
      <x:c r="K528" s="23" t="str">
        <x:v>1CC 084 023 03D 024 08C 084 01F 03A 012 084 015 001 015 03D 018 011 027 013 07A 1C8 019 018 021 025 001 08E 036 084 01C 03D 084 029 001 019 084 01B 03C 001 013 084 01C 1C8 014 078 01B 07A 001 033 03E 01F 038 084 01D 011 001 014 078 01B 07A 1C0</x:v>
      </x:c>
    </x:row>
    <x:row r="529">
      <x:c r="A529" s="22" t="str">
        <x:f>"02"</x:f>
        <x:v>02</x:v>
      </x:c>
      <x:c r="B529" s="22" t="str">
        <x:f>"0F"</x:f>
        <x:v>0F</x:v>
      </x:c>
      <x:c r="C529" s="22" t="str">
        <x:f>"0x020F"</x:f>
        <x:v>0x020F</x:v>
      </x:c>
      <x:c r="D529" s="21" t="str">
        <x:v>&lt;SPEAKER&gt;「もう あんたらしかいねえ!&lt;WAIT&gt;&lt;SPEAKER&gt;「うでっぷしの 強いやつは
みんな 墓場か かんづめの中に
はいっちまったよ!&lt;WAIT&gt;&lt;SPEAKER&gt;「この島を 化け物から
とりもどす ためなら このボブ
命がけで 情報を あつめるぜ!</x:v>
      </x:c>
      <x:c r="E529" s="19" t="str">
        <x:v>&lt;SPEAKER&gt;You are
our only hope now!&lt;WAIT&gt;&lt;SPEAKER&gt;Every strong fighter
is either in the graveyard or
trapped in one of those cans!&lt;WAIT&gt;&lt;SPEAKER&gt;If it helps take this
island back from the monsters,
Bob will risk his life for intel!</x:v>
      </x:c>
      <x:c r="F529" s="20" t="str"/>
      <x:c r="G529" s="20" t="str"/>
      <x:c r="H529" s="23" t="str">
        <x:v>SPEAKER NEWLINE WAIT SPEAKER NEWLINE NEWLINE WAIT SPEAKER NEWLINE NEWLINE END</x:v>
      </x:c>
      <x:c r="I529" s="23" t="str">
        <x:v>EA:780A</x:v>
      </x:c>
      <x:c r="J529" s="23" t="str">
        <x:v>CC 59 6F 75 01 61 72 65 C8 6F 75 72 01 6F 6E 6C 79 01 68 6F 70 65 01 6E 6F 77 21 C5 CC 45 76 65 72 79 01 73 74 72 6F 6E 67 01 66 69 67 68 74 65 72 C8 69 73 01 65 69 74 68 65 72 01 69 6E 01 74 68 65 01 67 72 61 76 65 79 61 72 64 01 6F 72 C8 74 72 61 70 70 65 64 01 69 6E 01 6F 6E 65 01 6F 66 01 74 68 6F 73 65 01 63 61 6E 73 21 C5 CC 49 66 01 69 74 01 68 65 6C 70 73 01 74 61 6B 65 01 74 68 69 73 C8 69 73 6C 61 6E 64 01 62 61 63 6B 01 66 72 6F 6D 01 74 68 65 01 6D 6F 6E 73 74 65 72 73 2C C8 42 6F 62 01 77 69 6C 6C 01 72 69 73 6B 01 68 69 73 01 6C 69 66 65 01 66 6F 72 01 69 6E 74 65 6C 21 C0</x:v>
      </x:c>
      <x:c r="K529" s="23" t="str">
        <x:v>1CC 032 012 001 010 03D 01F 036 01B 015 011 027 013 07A 1C5 1CC 012 084 022 03E 083 02B 01B 028 001 138 011 033 021 029 1C8 02F 03D 024 001 0D7 0A5 015 001 015 03D 084 021 031 028 0A1 025 1C8 029 011 03E 020 02E 03E 01F 035 07A 1C5 1CC 019 028 08A 03C 001 09E 018 08B 015 036 1C8 023 037 032 084 023 01C 001 01F 031 024 036 001 019 028 084 05F 084 05D 1C8 0EE 084 015 018 084 022 001 0AD 0AE 03C 001 010 021 031 038 084 01D 07A 1C0</x:v>
      </x:c>
    </x:row>
    <x:row r="530">
      <x:c r="A530" s="22" t="str">
        <x:f>"02"</x:f>
        <x:v>02</x:v>
      </x:c>
      <x:c r="B530" s="22" t="str">
        <x:f>"10"</x:f>
        <x:v>10</x:v>
      </x:c>
      <x:c r="C530" s="22" t="str">
        <x:f>"0x0210"</x:f>
        <x:v>0x0210</x:v>
      </x:c>
      <x:c r="D530" s="21" t="str">
        <x:v>&lt;SPEAKER&gt;「そういえば 囚人を しきっていた
ヘブリって じいさんが
じつは モンスターだったらしいぜ&lt;WAIT&gt;&lt;SPEAKER&gt;「デスベガスは おおさわぎだよ
あんたも 行ってみれば
どうですかい?</x:v>
      </x:c>
      <x:c r="E530" s="19" t="str">
        <x:v>&lt;SPEAKER&gt;Come to think of it, old
Hebri, who ran the prisoners,
was apparently a monster himself.&lt;WAIT&gt;&lt;SPEAKER&gt;Deathvegas is in chaos.
You should go see it yourself.</x:v>
      </x:c>
      <x:c r="F530" s="20" t="str"/>
      <x:c r="G530" s="20" t="str"/>
      <x:c r="H530" s="23" t="str">
        <x:v>SPEAKER NEWLINE NEWLINE WAIT SPEAKER NEWLINE END</x:v>
      </x:c>
      <x:c r="I530" s="23" t="str">
        <x:v>EA:78D0</x:v>
      </x:c>
      <x:c r="J530" s="23" t="str">
        <x:v>CC 43 6F 6D 65 01 74 6F 01 74 68 69 6E 6B 01 6F 66 01 69 74 2C 01 6F 6C 64 C8 48 65 62 72 69 2C 01 77 68 6F 01 72 61 6E 01 74 68 65 01 70 72 69 73 6F 6E 65 72 73 2C C8 77 61 73 01 61 70 70 61 72 65 6E 74 6C 79 01 61 01 6D 6F 6E 73 74 65 72 01 68 69 6D 73 65 6C 66 2E C5 CC 44 65 61 74 68 76 65 67 61 73 01 69 73 01 69 6E 01 63 68 61 6F 73 2E C8 59 6F 75 01 73 68 6F 75 6C 64 01 67 6F 01 73 65 65 01 69 74 01 79 6F 75 72 73 65 6C 66 2E C0</x:v>
      </x:c>
      <x:c r="K530" s="23" t="str">
        <x:v>1CC 01E 012 011 013 084 029 001 113 091 03C 001 01B 016 03E 022 011 01F 1C8 05E 084 05D 069 03E 022 001 084 01B 011 01A 03D 084 015 1C8 084 01B 021 029 001 064 06F 04E 051 078 084 01F 03E 01F 036 01B 011 084 01D 1C5 1CC 084 054 04E 084 05E 084 047 04E 029 001 014 014 01A 03B 084 016 084 01F 035 1C8 010 03D 01F 032 001 08D 03E 022 02F 039 084 029 1C8 084 023 012 084 022 01C 015 011 079 1C0</x:v>
      </x:c>
    </x:row>
    <x:row r="531">
      <x:c r="A531" s="22" t="str">
        <x:f>"02"</x:f>
        <x:v>02</x:v>
      </x:c>
      <x:c r="B531" s="22" t="str">
        <x:f>"11"</x:f>
        <x:v>11</x:v>
      </x:c>
      <x:c r="C531" s="22" t="str">
        <x:f>"0x0211"</x:f>
        <x:v>0x0211</x:v>
      </x:c>
      <x:c r="D531" s="21" t="str">
        <x:v>&lt;SPEAKER&gt;「その まものエキスを 使えば
モンスターの かくれがにも
侵入できるかもな!</x:v>
      </x:c>
      <x:c r="E531" s="19" t="str">
        <x:v>&lt;SPEAKER&gt;Use that Monster Extract
and you might be able to
enter the monsters' hideout!</x:v>
      </x:c>
      <x:c r="F531" s="20" t="str"/>
      <x:c r="G531" s="20" t="str"/>
      <x:c r="H531" s="23" t="str">
        <x:v>SPEAKER NEWLINE NEWLINE END</x:v>
      </x:c>
      <x:c r="I531" s="23" t="str">
        <x:v>EA:7962</x:v>
      </x:c>
      <x:c r="J531" s="23" t="str">
        <x:v>CC 55 73 65 01 74 68 61 74 01 4D 6F 6E 73 74 65 72 01 45 78 74 72 61 63 74 C8 61 6E 64 01 79 6F 75 01 6D 69 67 68 74 01 62 65 01 61 62 6C 65 01 74 6F C8 65 6E 74 65 72 01 74 68 65 01 6D 6F 6E 73 74 65 72 73 27 01 68 69 64 65 6F 75 74 21 C0</x:v>
      </x:c>
      <x:c r="K531" s="23" t="str">
        <x:v>1CC 01E 028 001 02E 032 028 045 048 04E 03C 001 123 013 084 029 1C8 064 06F 04E 051 078 028 001 015 017 039 084 015 025 032 1C8 14D 08E 084 022 016 038 015 032 024 07A 1C0</x:v>
      </x:c>
    </x:row>
    <x:row r="532">
      <x:c r="A532" s="22" t="str">
        <x:f>"02"</x:f>
        <x:v>02</x:v>
      </x:c>
      <x:c r="B532" s="22" t="str">
        <x:f>"12"</x:f>
        <x:v>12</x:v>
      </x:c>
      <x:c r="C532" s="22" t="str">
        <x:f>"0x0212"</x:f>
        <x:v>0x0212</x:v>
      </x:c>
      <x:c r="D532" s="21" t="str">
        <x:v>&lt;SPEAKER&gt;「こんごも 命がけで
情報を あつめるから
あんたも がんばってくれよな!</x:v>
      </x:c>
      <x:c r="E532" s="19" t="str">
        <x:v>&lt;SPEAKER&gt;I will keep risking
my neck for information.
You keep fighting too!</x:v>
      </x:c>
      <x:c r="F532" s="20" t="str"/>
      <x:c r="G532" s="20" t="str"/>
      <x:c r="H532" s="23" t="str">
        <x:v>SPEAKER NEWLINE NEWLINE END</x:v>
      </x:c>
      <x:c r="I532" s="23" t="str">
        <x:v>EA:79B2</x:v>
      </x:c>
      <x:c r="J532" s="23" t="str">
        <x:v>CC 49 01 77 69 6C 6C 01 6B 65 65 70 01 72 69 73 6B 69 6E 67 C8 6D 79 01 6E 65 63 6B 01 66 6F 72 01 69 6E 66 6F 72 6D 61 74 69 6F 6E 2E C8 59 6F 75 01 6B 65 65 70 01 66 69 67 68 74 69 6E 67 01 74 6F 6F 21 C0</x:v>
      </x:c>
      <x:c r="K532" s="23" t="str">
        <x:v>1CC 019 03D 084 019 032 001 0EE 084 015 018 084 022 1C8 0AD 0AE 03C 001 010 021 031 038 015 036 1C8 010 03D 01F 032 001 084 015 03D 084 029 03E 022 017 039 035 024 07A 1C0</x:v>
      </x:c>
    </x:row>
    <x:row r="533">
      <x:c r="A533" s="22" t="str">
        <x:f>"02"</x:f>
        <x:v>02</x:v>
      </x:c>
      <x:c r="B533" s="22" t="str">
        <x:f>"13"</x:f>
        <x:v>13</x:v>
      </x:c>
      <x:c r="C533" s="22" t="str">
        <x:f>"0x0213"</x:f>
        <x:v>0x0213</x:v>
      </x:c>
      <x:c r="D533" s="21" t="str">
        <x:v>&lt;SPEAKER&gt;「では これを うけとってくれよ!</x:v>
      </x:c>
      <x:c r="E533" s="19" t="str">
        <x:v>&lt;SPEAKER&gt;Here. Take this!</x:v>
      </x:c>
      <x:c r="F533" s="20" t="str"/>
      <x:c r="G533" s="20" t="str"/>
      <x:c r="H533" s="23" t="str">
        <x:v>SPEAKER END</x:v>
      </x:c>
      <x:c r="I533" s="23" t="str">
        <x:v>EA:79F7</x:v>
      </x:c>
      <x:c r="J533" s="23" t="str">
        <x:v>CC 48 65 72 65 2E 01 54 61 6B 65 01 74 68 69 73 21 C0</x:v>
      </x:c>
      <x:c r="K533" s="23" t="str">
        <x:v>1CC 084 022 029 001 019 039 03C 001 012 018 023 03E 022 017 039 035 07A 1C0</x:v>
      </x:c>
    </x:row>
    <x:row r="534">
      <x:c r="A534" s="22" t="str">
        <x:f>"02"</x:f>
        <x:v>02</x:v>
      </x:c>
      <x:c r="B534" s="22" t="str">
        <x:f>"14"</x:f>
        <x:v>14</x:v>
      </x:c>
      <x:c r="C534" s="22" t="str">
        <x:f>"0x0214"</x:f>
        <x:v>0x0214</x:v>
      </x:c>
      <x:c r="D534" s="21" t="str">
        <x:v>&lt;SPEAKER&gt;「それじゃ おれが
装備させてやるぜ
むひ むひ むひひひ・・・</x:v>
      </x:c>
      <x:c r="E534" s="19" t="str">
        <x:v>&lt;SPEAKER&gt;Then I will equip it for
you myself. Heh... heh heh heh...</x:v>
      </x:c>
      <x:c r="F534" s="20" t="str"/>
      <x:c r="G534" s="20" t="str"/>
      <x:c r="H534" s="23" t="str">
        <x:v>SPEAKER NEWLINE END</x:v>
      </x:c>
      <x:c r="I534" s="23" t="str">
        <x:v>EA:7A09</x:v>
      </x:c>
      <x:c r="J534" s="23" t="str">
        <x:v>CC 54 68 65 6E 01 49 01 77 69 6C 6C 01 65 71 75 69 70 01 69 74 01 66 6F 72 C8 79 6F 75 01 6D 79 73 65 6C 66 2E 01 48 65 68 2E 2E 2E 01 68 65 68 01 68 65 68 01 68 65 68 2E 2E 2E C0</x:v>
      </x:c>
      <x:c r="K534" s="23" t="str">
        <x:v>1CC 01E 039 084 01B 03F 001 014 039 084 015 1C8 0C2 0C4 01A 01D 022 033 038 084 01D 1C8 030 02A 001 030 02A 001 030 02A 02A 02A 081 081 081 1C0</x:v>
      </x:c>
    </x:row>
    <x:row r="535">
      <x:c r="A535" s="22" t="str">
        <x:f>"02"</x:f>
        <x:v>02</x:v>
      </x:c>
      <x:c r="B535" s="22" t="str">
        <x:f>"15"</x:f>
        <x:v>15</x:v>
      </x:c>
      <x:c r="C535" s="22" t="str">
        <x:f>"0x0215"</x:f>
        <x:v>0x0215</x:v>
      </x:c>
      <x:c r="D535" s="21" t="str">
        <x:v>&lt;SPEAKER&gt;「おっと じゃあ
このつぎに しようか</x:v>
      </x:c>
      <x:c r="E535" s="19" t="str">
        <x:v>&lt;SPEAKER&gt;Oops. Then let
us do that another time.</x:v>
      </x:c>
      <x:c r="F535" s="20" t="str"/>
      <x:c r="G535" s="20" t="str"/>
      <x:c r="H535" s="23" t="str">
        <x:v>SPEAKER NEWLINE END</x:v>
      </x:c>
      <x:c r="I535" s="23" t="str">
        <x:v>EA:7A45</x:v>
      </x:c>
      <x:c r="J535" s="23" t="str">
        <x:v>CC 4F 6F 70 73 2E 01 54 68 65 6E 01 6C 65 74 C8 75 73 01 64 6F 01 74 68 61 74 01 61 6E 6F 74 68 65 72 01 74 69 6D 65 2E C0</x:v>
      </x:c>
      <x:c r="K535" s="23" t="str">
        <x:v>1CC 014 03E 023 001 084 01B 03F 010 1C8 019 028 021 084 016 025 001 01B 035 012 015 1C0</x:v>
      </x:c>
    </x:row>
    <x:row r="536">
      <x:c r="A536" s="22" t="str">
        <x:f>"02"</x:f>
        <x:v>02</x:v>
      </x:c>
      <x:c r="B536" s="22" t="str">
        <x:f>"16"</x:f>
        <x:v>16</x:v>
      </x:c>
      <x:c r="C536" s="22" t="str">
        <x:f>"0x0216"</x:f>
        <x:v>0x0216</x:v>
      </x:c>
      <x:c r="D536" s="21" t="str">
        <x:v>&lt;SPEAKER&gt;「バロン城は のろわれた城・・・
悪魔の すみかといわれています&lt;WAIT&gt;&lt;SPEAKER&gt;「きっと キングバロンの
ぼうれいが やどっているに
ちがいないですわ</x:v>
      </x:c>
      <x:c r="E536" s="19" t="str">
        <x:v>&lt;SPEAKER&gt;Baron Castle is cursed...
They say it is home to demons.&lt;WAIT&gt;&lt;SPEAKER&gt;King Baron's ghost
must still haunt that place.</x:v>
      </x:c>
      <x:c r="F536" s="20" t="str"/>
      <x:c r="G536" s="20" t="str"/>
      <x:c r="H536" s="23" t="str">
        <x:v>SPEAKER NEWLINE WAIT SPEAKER NEWLINE END</x:v>
      </x:c>
      <x:c r="I536" s="23" t="str">
        <x:v>EA:7A6E</x:v>
      </x:c>
      <x:c r="J536" s="23" t="str">
        <x:v>CC 42 61 72 6F 6E 01 43 61 73 74 6C 65 01 69 73 01 63 75 72 73 65 64 2E 2E 2E C8 54 68 65 79 01 73 61 79 01 69 74 01 69 73 01 68 6F 6D 65 01 74 6F 01 64 65 6D 6F 6E 73 2E C5 CC 4B 69 6E 67 01 42 61 72 6F 6E 27 73 01 67 68 6F 73 74 C8 6D 75 73 74 01 73 74 69 6C 6C 01 68 61 75 6E 74 01 74 68 61 74 01 70 6C 61 63 65 2E C0</x:v>
      </x:c>
      <x:c r="K536" s="23" t="str">
        <x:v>1CC 084 05B 06C 06F 08C 029 001 028 03A 03B 039 01F 08C 081 081 081 1C8 0B5 09A 028 001 01C 02F 015 023 011 03B 039 022 011 02E 01C 1C5 1CC 016 03E 023 001 048 06F 084 049 084 05B 06C 06F 028 1C8 084 02D 012 039 011 084 015 001 033 084 023 03E 022 011 038 025 1C8 020 084 015 011 024 011 084 022 01C 03B 1C0</x:v>
      </x:c>
    </x:row>
    <x:row r="537">
      <x:c r="A537" s="22" t="str">
        <x:f>"02"</x:f>
        <x:v>02</x:v>
      </x:c>
      <x:c r="B537" s="22" t="str">
        <x:f>"17"</x:f>
        <x:v>17</x:v>
      </x:c>
      <x:c r="C537" s="22" t="str">
        <x:f>"0x0217"</x:f>
        <x:v>0x0217</x:v>
      </x:c>
      <x:c r="D537" s="21" t="str">
        <x:v>&lt;SPEAKER&gt;「情報屋の ボブには 会ったか?</x:v>
      </x:c>
      <x:c r="E537" s="19" t="str">
        <x:v>&lt;SPEAKER&gt;Have you met Bob,
the information broker?</x:v>
      </x:c>
      <x:c r="F537" s="20" t="str"/>
      <x:c r="G537" s="20" t="str"/>
      <x:c r="H537" s="23" t="str">
        <x:v>SPEAKER NEWLINE END</x:v>
      </x:c>
      <x:c r="I537" s="23" t="str">
        <x:v>EA:7AD9</x:v>
      </x:c>
      <x:c r="J537" s="23" t="str">
        <x:v>CC 48 61 76 65 01 79 6F 75 01 6D 65 74 01 42 6F 62 2C C8 74 68 65 01 69 6E 66 6F 72 6D 61 74 69 6F 6E 01 62 72 6F 6B 65 72 3F C0</x:v>
      </x:c>
      <x:c r="K537" s="23" t="str">
        <x:v>1CC 0AD 0AE 0B3 028 001 084 05F 084 05D 025 029 001 11E 03E 01F 015 079 1C0</x:v>
      </x:c>
    </x:row>
    <x:row r="538">
      <x:c r="A538" s="22" t="str">
        <x:f>"02"</x:f>
        <x:v>02</x:v>
      </x:c>
      <x:c r="B538" s="22" t="str">
        <x:f>"18"</x:f>
        <x:v>18</x:v>
      </x:c>
      <x:c r="C538" s="22" t="str">
        <x:f>"0x0218"</x:f>
        <x:v>0x0218</x:v>
      </x:c>
      <x:c r="D538" s="21" t="str">
        <x:v>&lt;SPEAKER&gt;「そうか まあ おたがい
がんばろう まだ 命は
おとしたく ないからな</x:v>
      </x:c>
      <x:c r="E538" s="19" t="str">
        <x:v>&lt;SPEAKER&gt;I see. Let us
both do our best. I am
not ready to die yet.</x:v>
      </x:c>
      <x:c r="F538" s="20" t="str"/>
      <x:c r="G538" s="20" t="str"/>
      <x:c r="H538" s="23" t="str">
        <x:v>SPEAKER NEWLINE NEWLINE END</x:v>
      </x:c>
      <x:c r="I538" s="23" t="str">
        <x:v>EA:7B04</x:v>
      </x:c>
      <x:c r="J538" s="23" t="str">
        <x:v>CC 49 01 73 65 65 2E 01 4C 65 74 01 75 73 C8 62 6F 74 68 01 64 6F 01 6F 75 72 01 62 65 73 74 2E 01 49 01 61 6D C8 6E 6F 74 01 72 65 61 64 79 01 74 6F 01 64 69 65 01 79 65 74 2E C0</x:v>
      </x:c>
      <x:c r="K538" s="23" t="str">
        <x:v>1CC 01E 012 015 001 02E 010 001 014 01F 084 015 011 1C8 084 015 03D 084 029 03A 012 001 02E 084 01F 001 0EE 029 1C8 014 023 01B 01F 017 001 024 011 015 036 024 1C0</x:v>
      </x:c>
    </x:row>
    <x:row r="539">
      <x:c r="A539" s="22" t="str">
        <x:f>"02"</x:f>
        <x:v>02</x:v>
      </x:c>
      <x:c r="B539" s="22" t="str">
        <x:f>"19"</x:f>
        <x:v>19</x:v>
      </x:c>
      <x:c r="C539" s="22" t="str">
        <x:f>"0x0219"</x:f>
        <x:v>0x0219</x:v>
      </x:c>
      <x:c r="D539" s="21" t="str">
        <x:v>&lt;SPEAKER&gt;「おれたちみたいな 賞金かせぎに
いろんな 情報を 売っている男さ
けっこう 役にたつ らしいぜ</x:v>
      </x:c>
      <x:c r="E539" s="19" t="str">
        <x:v>&lt;SPEAKER&gt;He sells all kinds of
information to bounty hunters like
us. Apparently it is useful stuff.</x:v>
      </x:c>
      <x:c r="F539" s="20" t="str"/>
      <x:c r="G539" s="20" t="str"/>
      <x:c r="H539" s="23" t="str">
        <x:v>SPEAKER NEWLINE NEWLINE END</x:v>
      </x:c>
      <x:c r="I539" s="23" t="str">
        <x:v>EA:7B40</x:v>
      </x:c>
      <x:c r="J539" s="23" t="str">
        <x:v>CC 48 65 01 73 65 6C 6C 73 01 61 6C 6C 01 6B 69 6E 64 73 01 6F 66 C8 69 6E 66 6F 72 6D 61 74 69 6F 6E 01 74 6F 01 62 6F 75 6E 74 79 01 68 75 6E 74 65 72 73 01 6C 69 6B 65 C8 75 73 2E 01 41 70 70 61 72 65 6E 74 6C 79 01 69 74 01 69 73 01 75 73 65 66 75 6C 01 73 74 75 66 66 2E C0</x:v>
      </x:c>
      <x:c r="K539" s="23" t="str">
        <x:v>1CC 014 039 01F 020 02F 01F 011 024 001 0C6 094 015 01D 084 016 025 1C8 011 03A 03D 024 001 0AD 0AE 03C 001 0A2 03E 022 011 038 190 01A 1C8 018 03E 019 012 001 15E 025 01F 021 001 036 01B 011 084 01D 1C0</x:v>
      </x:c>
    </x:row>
    <x:row r="540">
      <x:c r="A540" s="22" t="str">
        <x:f>"02"</x:f>
        <x:v>02</x:v>
      </x:c>
      <x:c r="B540" s="22" t="str">
        <x:f>"1A"</x:f>
        <x:v>1A</x:v>
      </x:c>
      <x:c r="C540" s="22" t="str">
        <x:f>"0x021A"</x:f>
        <x:v>0x021A</x:v>
      </x:c>
      <x:c r="D540" s="21" t="str">
        <x:v>&lt;SPEAKER&gt;「あんた
ウィップとブーツの
二つの武器の ちがいがわかる?&lt;WAIT&gt;&lt;SPEAKER&gt;「ウィップは ひろい間あいで
こうげきできる 武器なのよ&lt;WAIT&gt;&lt;SPEAKER&gt;「でも ブーツの方が
こうげき力は 高いのよねー&lt;WAIT&gt;&lt;SPEAKER&gt;「あいにく ウィップとブーツは
どうじに 装備できないのよ
気をつけてね</x:v>
      </x:c>
      <x:c r="E540" s="19" t="str">
        <x:v>&lt;SPEAKER&gt;Do you know
the difference between
whips and boots?&lt;WAIT&gt;&lt;SPEAKER&gt;A whip lets you
attack from farther away.&lt;WAIT&gt;&lt;SPEAKER&gt;Boots hit harder, though.&lt;WAIT&gt;&lt;SPEAKER&gt;You cannot equip
both a whip and boots
at once. Remember that.</x:v>
      </x:c>
      <x:c r="F540" s="20" t="str"/>
      <x:c r="G540" s="20" t="str"/>
      <x:c r="H540" s="23" t="str">
        <x:v>SPEAKER NEWLINE NEWLINE WAIT SPEAKER NEWLINE WAIT SPEAKER WAIT SPEAKER NEWLINE NEWLINE END</x:v>
      </x:c>
      <x:c r="I540" s="23" t="str">
        <x:v>EA:7B9D</x:v>
      </x:c>
      <x:c r="J540" s="23" t="str">
        <x:v>CC 44 6F 01 79 6F 75 01 6B 6E 6F 77 C8 74 68 65 01 64 69 66 66 65 72 65 6E 63 65 01 62 65 74 77 65 65 6E C8 77 68 69 70 73 01 61 6E 64 01 62 6F 6F 74 73 3F C5 CC 41 01 77 68 69 70 01 6C 65 74 73 01 79 6F 75 C8 61 74 74 61 63 6B 01 66 72 6F 6D 01 66 61 72 74 68 65 72 01 61 77 61 79 2E C5 CC 42 6F 6F 74 73 01 68 69 74 01 68 61 72 64 65 72 2C 01 74 68 6F 75 67 68 2E C5 CC 59 6F 75 01 63 61 6E 6E 6F 74 01 65 71 75 69 70 C8 62 6F 74 68 01 61 01 77 68 69 70 01 61 6E 64 01 62 6F 6F 74 73 C8 61 74 01 6F 6E 63 65 2E 01 52 65 6D 65 6D 62 65 72 01 74 68 61 74 2E C0</x:v>
      </x:c>
      <x:c r="K540" s="23" t="str">
        <x:v>1CC 010 03D 01F 1C8 044 075 070 083 05D 023 084 05D 078 053 028 1C8 189 021 028 0CB 12A 028 001 020 084 015 011 084 015 03B 015 038 079 1C5 1CC 044 075 070 083 05D 029 001 02A 03A 011 0E3 010 011 084 022 1C8 019 012 084 018 016 084 022 016 038 001 0CB 12A 024 028 035 1C5 1CC 084 022 032 001 084 05D 078 053 028 0B9 084 015 1C8 019 012 084 018 016 107 029 001 105 011 028 035 027 078 1C5 1CC 010 011 025 017 001 044 075 070 083 05D 023 084 05D 078 053 029 1C8 084 023 012 084 01B 025 001 0C2 0C4 084 022 016 024 011 028 035 1C8 099 03C 021 018 022 027 1C0</x:v>
      </x:c>
    </x:row>
    <x:row r="541">
      <x:c r="A541" s="22" t="str">
        <x:f>"02"</x:f>
        <x:v>02</x:v>
      </x:c>
      <x:c r="B541" s="22" t="str">
        <x:f>"1B"</x:f>
        <x:v>1B</x:v>
      </x:c>
      <x:c r="C541" s="22" t="str">
        <x:f>"0x021B"</x:f>
        <x:v>0x021B</x:v>
      </x:c>
      <x:c r="D541" s="21" t="str">
        <x:v>&lt;SPEAKER&gt;「バロン城は この町から
すこし 北に行ったところだよ</x:v>
      </x:c>
      <x:c r="E541" s="19" t="str">
        <x:v>&lt;SPEAKER&gt;Baron Castle is
just a little north of town.</x:v>
      </x:c>
      <x:c r="F541" s="20" t="str"/>
      <x:c r="G541" s="20" t="str"/>
      <x:c r="H541" s="23" t="str">
        <x:v>SPEAKER NEWLINE END</x:v>
      </x:c>
      <x:c r="I541" s="23" t="str">
        <x:v>EA:7C58</x:v>
      </x:c>
      <x:c r="J541" s="23" t="str">
        <x:v>CC 42 61 72 6F 6E 01 43 61 73 74 6C 65 01 69 73 C8 6A 75 73 74 01 61 01 6C 69 74 74 6C 65 01 6E 6F 72 74 68 01 6F 66 01 74 6F 77 6E 2E C0</x:v>
      </x:c>
      <x:c r="K541" s="23" t="str">
        <x:v>1CC 084 05B 06C 06F 08C 029 001 019 028 0C9 015 036 1C8 01C 019 01B 001 09C 025 08D 03E 01F 023 019 03A 084 01F 035 1C0</x:v>
      </x:c>
    </x:row>
    <x:row r="542">
      <x:c r="A542" s="22" t="str">
        <x:f>"02"</x:f>
        <x:v>02</x:v>
      </x:c>
      <x:c r="B542" s="22" t="str">
        <x:f>"1C"</x:f>
        <x:v>1C</x:v>
      </x:c>
      <x:c r="C542" s="22" t="str">
        <x:f>"0x021C"</x:f>
        <x:v>0x021C</x:v>
      </x:c>
      <x:c r="D542" s="21" t="str">
        <x:v>&lt;SPEAKER&gt;「はー・・・・
あ ごめんなさい&lt;WAIT&gt;&lt;SPEAKER&gt;「あまった にもつや
よぶんな お金は メグのそうこに
おまかせください・・・</x:v>
      </x:c>
      <x:c r="E542" s="19" t="str">
        <x:v>&lt;SPEAKER&gt;Sigh... Oh, sorry.&lt;WAIT&gt;&lt;SPEAKER&gt;Leave extra belongings or
spare money with Meg's Storage...</x:v>
      </x:c>
      <x:c r="F542" s="20" t="str"/>
      <x:c r="G542" s="20" t="str"/>
      <x:c r="H542" s="23" t="str">
        <x:v>SPEAKER WAIT SPEAKER NEWLINE END</x:v>
      </x:c>
      <x:c r="I542" s="23" t="str">
        <x:v>EA:7C86</x:v>
      </x:c>
      <x:c r="J542" s="23" t="str">
        <x:v>CC 53 69 67 68 2E 2E 2E 01 4F 68 2C 01 73 6F 72 72 79 2E C5 CC 4C 65 61 76 65 01 65 78 74 72 61 01 62 65 6C 6F 6E 67 69 6E 67 73 01 6F 72 C8 73 70 61 72 65 01 6D 6F 6E 65 79 01 77 69 74 68 01 4D 65 67 27 73 01 53 74 6F 72 61 67 65 2E 2E 2E C0</x:v>
      </x:c>
      <x:c r="K542" s="23" t="str">
        <x:v>1CC 029 078 081 081 081 081 1C8 010 001 084 019 031 03D 024 01A 011 1C5 1CC 010 02E 03E 01F 001 025 032 021 033 1C8 035 084 02B 03D 024 001 014 094 029 001 063 084 049 028 01E 012 019 025 1C8 014 02E 015 01D 017 084 01F 01A 011 081 081 081 1C0</x:v>
      </x:c>
    </x:row>
    <x:row r="543">
      <x:c r="A543" s="22" t="str">
        <x:f>"02"</x:f>
        <x:v>02</x:v>
      </x:c>
      <x:c r="B543" s="22" t="str">
        <x:f>"1D"</x:f>
        <x:v>1D</x:v>
      </x:c>
      <x:c r="C543" s="22" t="str">
        <x:f>"0x021D"</x:f>
        <x:v>0x021D</x:v>
      </x:c>
      <x:c r="D543" s="21" t="str">
        <x:v>&lt;SPEAKER&gt;「こうして 店ばんを してる方が
ふっと 主人が 帰ってくる気がして
なんだか 気が まぎれるんです</x:v>
      </x:c>
      <x:c r="E543" s="19" t="str">
        <x:v>&lt;SPEAKER&gt;Working the shop helps.
I keep thinking my husband
might come home any moment.</x:v>
      </x:c>
      <x:c r="F543" s="20" t="str"/>
      <x:c r="G543" s="20" t="str"/>
      <x:c r="H543" s="23" t="str">
        <x:v>SPEAKER NEWLINE NEWLINE END</x:v>
      </x:c>
      <x:c r="I543" s="23" t="str">
        <x:v>EA:7CD7</x:v>
      </x:c>
      <x:c r="J543" s="23" t="str">
        <x:v>CC 57 6F 72 6B 69 6E 67 01 74 68 65 01 73 68 6F 70 01 68 65 6C 70 73 2E C8 49 01 6B 65 65 70 01 74 68 69 6E 6B 69 6E 67 01 6D 79 01 68 75 73 62 61 6E 64 C8 6D 69 67 68 74 01 63 6F 6D 65 01 68 6F 6D 65 01 61 6E 79 01 6D 6F 6D 65 6E 74 2E C0</x:v>
      </x:c>
      <x:c r="K543" s="23" t="str">
        <x:v>1CC 019 012 01B 022 001 129 084 029 03D 03C 001 01B 022 038 0B9 084 015 1C8 02B 03E 023 001 12C 091 084 015 001 13D 03E 022 017 038 099 084 015 01B 022 1C8 024 03D 084 01F 015 001 099 084 015 001 02E 084 016 039 038 03D 084 022 01C 1C0</x:v>
      </x:c>
    </x:row>
    <x:row r="544">
      <x:c r="A544" s="22" t="str">
        <x:f>"02"</x:f>
        <x:v>02</x:v>
      </x:c>
      <x:c r="B544" s="22" t="str">
        <x:f>"1E"</x:f>
        <x:v>1E</x:v>
      </x:c>
      <x:c r="C544" s="22" t="str">
        <x:f>"0x021E"</x:f>
        <x:v>0x021E</x:v>
      </x:c>
      <x:c r="D544" s="21" t="str">
        <x:v>&lt;SPEAKER&gt;「主人は きっと 生きていますわ
サジクが この家に もどるまで
わたし しっかりしなきゃ!&lt;WAIT&gt;&lt;SPEAKER&gt;「あまった にもつや
よぶんな お金は
メグのそうこに おまかせください!</x:v>
      </x:c>
      <x:c r="E544" s="19" t="str">
        <x:v>&lt;SPEAKER&gt;My husband is alive.
Until Sajik comes home,
I have to stay strong!&lt;WAIT&gt;&lt;SPEAKER&gt;Leave extra belongings or
spare money with Meg's Storage!</x:v>
      </x:c>
      <x:c r="F544" s="20" t="str"/>
      <x:c r="G544" s="20" t="str"/>
      <x:c r="H544" s="23" t="str">
        <x:v>SPEAKER NEWLINE NEWLINE WAIT SPEAKER NEWLINE END</x:v>
      </x:c>
      <x:c r="I544" s="23" t="str">
        <x:v>EA:7D27</x:v>
      </x:c>
      <x:c r="J544" s="23" t="str">
        <x:v>CC 4D 79 01 68 75 73 62 61 6E 64 01 69 73 01 61 6C 69 76 65 2E C8 55 6E 74 69 6C 01 53 61 6A 69 6B 01 63 6F 6D 65 73 01 68 6F 6D 65 2C C8 49 01 68 61 76 65 01 74 6F 01 73 74 61 79 01 73 74 72 6F 6E 67 21 C5 CC 4C 65 61 76 65 01 65 78 74 72 61 01 62 65 6C 6F 6E 67 69 6E 67 73 01 6F 72 C8 73 70 61 72 65 01 6D 6F 6E 65 79 01 77 69 74 68 01 4D 65 67 27 73 01 53 74 6F 72 61 67 65 21 C0</x:v>
      </x:c>
      <x:c r="K544" s="23" t="str">
        <x:v>1CC 12C 091 029 001 016 03E 023 001 09B 016 022 011 02E 01C 03B 1C8 04C 084 04D 049 084 015 001 019 028 161 025 001 032 084 023 038 02E 084 022 1C8 03B 01F 01B 001 01B 03E 015 037 01B 024 016 03F 07A 1C5 1CC 010 02E 03E 01F 001 025 032 021 033 1C8 035 084 02B 03D 024 001 014 094 029 1C8 063 084 049 028 01E 012 019 025 001 014 02E 015 01D 017 084 01F 01A 011 07A 1C0</x:v>
      </x:c>
    </x:row>
    <x:row r="545">
      <x:c r="A545" s="22" t="str">
        <x:f>"02"</x:f>
        <x:v>02</x:v>
      </x:c>
      <x:c r="B545" s="22" t="str">
        <x:f>"1F"</x:f>
        <x:v>1F</x:v>
      </x:c>
      <x:c r="C545" s="22" t="str">
        <x:f>"0x021F"</x:f>
        <x:v>0x021F</x:v>
      </x:c>
      <x:c r="D545" s="21" t="str">
        <x:v>&lt;SPEAKER&gt;「メグさんは 考古学者の
サジクさんの 奥さんでな&lt;WAIT&gt;&lt;SPEAKER&gt;「かわいそうに だんなさんが
行方不明に なってから
ちょっと ぼーっと しとるんじゃよ</x:v>
      </x:c>
      <x:c r="E545" s="19" t="str">
        <x:v>&lt;SPEAKER&gt;Meg is the wife
of the archaeologist Sajik.&lt;WAIT&gt;&lt;SPEAKER&gt;Poor woman
has been dazed since
her husband disappeared.</x:v>
      </x:c>
      <x:c r="F545" s="20" t="str"/>
      <x:c r="G545" s="20" t="str"/>
      <x:c r="H545" s="23" t="str">
        <x:v>SPEAKER NEWLINE WAIT SPEAKER NEWLINE NEWLINE END</x:v>
      </x:c>
      <x:c r="I545" s="23" t="str">
        <x:v>EA:7DA7</x:v>
      </x:c>
      <x:c r="J545" s="23" t="str">
        <x:v>CC 4D 65 67 01 69 73 01 74 68 65 01 77 69 66 65 C8 6F 66 01 74 68 65 01 61 72 63 68 61 65 6F 6C 6F 67 69 73 74 01 53 61 6A 69 6B 2E C5 CC 50 6F 6F 72 01 77 6F 6D 61 6E C8 68 61 73 01 62 65 65 6E 01 64 61 7A 65 64 01 73 69 6E 63 65 C8 68 65 72 01 68 75 73 62 61 6E 64 01 64 69 73 61 70 70 65 61 72 65 64 2E C0</x:v>
      </x:c>
      <x:c r="K545" s="23" t="str">
        <x:v>1CC 063 084 049 01A 03D 029 001 0DB 096 0B7 0A7 028 1C8 04C 084 04D 049 01A 03D 028 001 0ED 01A 03D 084 022 024 1C5 1CC 015 03B 011 01E 012 025 001 084 01F 03D 024 01A 03D 084 015 1C8 08D 0B9 0F7 0BF 025 001 024 03E 022 015 036 1C8 020 041 03E 023 001 084 02D 078 03E 023 001 01B 023 038 03D 084 01B 03F 035 1C0</x:v>
      </x:c>
    </x:row>
    <x:row r="546">
      <x:c r="A546" s="22" t="str">
        <x:f>"02"</x:f>
        <x:v>02</x:v>
      </x:c>
      <x:c r="B546" s="22" t="str">
        <x:f>"20"</x:f>
        <x:v>20</x:v>
      </x:c>
      <x:c r="C546" s="22" t="str">
        <x:f>"0x0220"</x:f>
        <x:v>0x0220</x:v>
      </x:c>
      <x:c r="D546" s="21" t="str">
        <x:v>&lt;SPEAKER&gt;「サジクさんも いいかげん
こまった人じゃな! 奥さんを
こんなに しんぱいさせて!</x:v>
      </x:c>
      <x:c r="E546" s="19" t="str">
        <x:v>&lt;SPEAKER&gt;Sajik is impossible!
Making his wife worry
this much over him!</x:v>
      </x:c>
      <x:c r="F546" s="20" t="str"/>
      <x:c r="G546" s="20" t="str"/>
      <x:c r="H546" s="23" t="str">
        <x:v>SPEAKER NEWLINE NEWLINE END</x:v>
      </x:c>
      <x:c r="I546" s="23" t="str">
        <x:v>EA:7E0E</x:v>
      </x:c>
      <x:c r="J546" s="23" t="str">
        <x:v>CC 53 61 6A 69 6B 01 69 73 01 69 6D 70 6F 73 73 69 62 6C 65 21 C8 4D 61 6B 69 6E 67 01 68 69 73 01 77 69 66 65 01 77 6F 72 72 79 C8 74 68 69 73 01 6D 75 63 68 01 6F 76 65 72 01 68 69 6D 21 C0</x:v>
      </x:c>
      <x:c r="K546" s="23" t="str">
        <x:v>1CC 04C 084 04D 049 01A 03D 032 001 011 011 015 084 018 03D 1C8 019 02E 03E 01F 091 084 01B 03F 024 07A 001 0ED 01A 03D 03C 1C8 019 03D 024 025 001 01B 03D 083 029 011 01A 01D 022 07A 1C0</x:v>
      </x:c>
    </x:row>
    <x:row r="547">
      <x:c r="A547" s="22" t="str">
        <x:f>"02"</x:f>
        <x:v>02</x:v>
      </x:c>
      <x:c r="B547" s="22" t="str">
        <x:f>"21"</x:f>
        <x:v>21</x:v>
      </x:c>
      <x:c r="C547" s="22" t="str">
        <x:f>"0x0221"</x:f>
        <x:v>0x0221</x:v>
      </x:c>
      <x:c r="D547" s="21" t="str">
        <x:v>&lt;SPEAKER&gt;「メグさんと サジクさんは
1階に いますよ! メグさんも
すっかり げんきに なりましてな</x:v>
      </x:c>
      <x:c r="E547" s="19" t="str">
        <x:v>&lt;SPEAKER&gt;Meg and Sajik are
on the first floor. Meg is
doing much better now.</x:v>
      </x:c>
      <x:c r="F547" s="20" t="str"/>
      <x:c r="G547" s="20" t="str"/>
      <x:c r="H547" s="23" t="str">
        <x:v>SPEAKER NEWLINE NEWLINE END</x:v>
      </x:c>
      <x:c r="I547" s="23" t="str">
        <x:v>EA:7E4E</x:v>
      </x:c>
      <x:c r="J547" s="23" t="str">
        <x:v>CC 4D 65 67 01 61 6E 64 01 53 61 6A 69 6B 01 61 72 65 C8 6F 6E 01 74 68 65 01 66 69 72 73 74 01 66 6C 6F 6F 72 2E 01 4D 65 67 01 69 73 C8 64 6F 69 6E 67 01 6D 75 63 68 01 62 65 74 74 65 72 01 6E 6F 77 2E C0</x:v>
      </x:c>
      <x:c r="K547" s="23" t="str">
        <x:v>1CC 063 084 049 01A 03D 023 001 04C 084 04D 049 01A 03D 029 1C8 003 15F 025 001 011 02E 01C 035 07A 001 063 084 049 01A 03D 032 1C8 01C 03E 015 037 001 084 018 03D 016 025 001 024 037 02E 01B 022 024 1C0</x:v>
      </x:c>
    </x:row>
    <x:row r="548">
      <x:c r="A548" s="22" t="str">
        <x:f>"02"</x:f>
        <x:v>02</x:v>
      </x:c>
      <x:c r="B548" s="22" t="str">
        <x:f>"22"</x:f>
        <x:v>22</x:v>
      </x:c>
      <x:c r="C548" s="22" t="str">
        <x:f>"0x0222"</x:f>
        <x:v>0x0222</x:v>
      </x:c>
      <x:c r="D548" s="21" t="str">
        <x:v>&lt;SPEAKER&gt;「レディさん! おれは
情報屋の ボブの むすこです&lt;WAIT&gt;&lt;SPEAKER&gt;「ここで いらなくなった
にもつを 預りますよ!&lt;WAIT&gt;&lt;SPEAKER&gt;「それに この下の フロアにも
防具の 古い そうこが
あるんです!&lt;WAIT&gt;&lt;SPEAKER&gt;「いま うちの じいさんが
せいりしてますから いいものが
でてきたら やすく 売りますよ!</x:v>
      </x:c>
      <x:c r="E548" s="19" t="str">
        <x:v>&lt;SPEAKER&gt;Lady! I am Bob's son.&lt;WAIT&gt;&lt;SPEAKER&gt;I can store belongings
you no longer need right here.&lt;WAIT&gt;&lt;SPEAKER&gt;There is also
an old armor warehouse
on the floor below.&lt;WAIT&gt;&lt;SPEAKER&gt;Grandpa is sorting
it now. If he finds anything
good, he will sell it cheap!</x:v>
      </x:c>
      <x:c r="F548" s="20" t="str"/>
      <x:c r="G548" s="20" t="str"/>
      <x:c r="H548" s="23" t="str">
        <x:v>SPEAKER WAIT SPEAKER NEWLINE WAIT SPEAKER NEWLINE NEWLINE WAIT SPEAKER NEWLINE NEWLINE END</x:v>
      </x:c>
      <x:c r="I548" s="23" t="str">
        <x:v>EA:7E93</x:v>
      </x:c>
      <x:c r="J548" s="23" t="str">
        <x:v>CC 4C 61 64 79 21 01 49 01 61 6D 01 42 6F 62 27 73 01 73 6F 6E 2E C5 CC 49 01 63 61 6E 01 73 74 6F 72 65 01 62 65 6C 6F 6E 67 69 6E 67 73 C8 79 6F 75 01 6E 6F 01 6C 6F 6E 67 65 72 01 6E 65 65 64 01 72 69 67 68 74 01 68 65 72 65 2E C5 CC 54 68 65 72 65 01 69 73 01 61 6C 73 6F C8 61 6E 01 6F 6C 64 01 61 72 6D 6F 72 01 77 61 72 65 68 6F 75 73 65 C8 6F 6E 01 74 68 65 01 66 6C 6F 6F 72 01 62 65 6C 6F 77 2E C5 CC 47 72 61 6E 64 70 61 01 69 73 01 73 6F 72 74 69 6E 67 C8 69 74 01 6E 6F 77 2E 01 49 66 01 68 65 01 66 69 6E 64 73 01 61 6E 79 74 68 69 6E 67 C8 67 6F 6F 64 2C 01 68 65 01 77 69 6C 6C 01 73 65 6C 6C 01 69 74 01 63 68 65 61 70 21 C0</x:v>
      </x:c>
      <x:c r="K548" s="23" t="str">
        <x:v>1CC 06B 084 054 075 01A 03D 07A 001 014 039 029 1C8 0AD 0AE 0B3 028 001 084 05F 084 05D 028 001 030 01C 019 084 022 01C 1C5 1CC 019 019 084 022 001 011 036 024 017 024 03E 01F 1C8 025 032 021 03C 001 111 037 02E 01C 035 07A 1C5 1CC 01E 039 025 001 019 028 0B8 028 001 05D 06C 042 025 032 1C8 151 124 028 001 096 011 001 01E 012 019 084 015 1C8 010 038 03D 084 022 01C 07A 1C5 1CC 011 02E 001 012 020 028 001 084 01B 011 01A 03D 084 015 1C8 01D 011 037 01B 022 02E 01C 015 036 001 011 011 032 028 084 015 1C8 084 022 022 016 01F 036 001 033 01C 017 001 0A2 037 02E 01C 035 07A 1C0</x:v>
      </x:c>
    </x:row>
    <x:row r="549">
      <x:c r="A549" s="22" t="str">
        <x:f>"02"</x:f>
        <x:v>02</x:v>
      </x:c>
      <x:c r="B549" s="22" t="str">
        <x:f>"23"</x:f>
        <x:v>23</x:v>
      </x:c>
      <x:c r="C549" s="22" t="str">
        <x:f>"0x0223"</x:f>
        <x:v>0x0223</x:v>
      </x:c>
      <x:c r="D549" s="21" t="str">
        <x:v>&lt;SPEAKER&gt;「あまった にもつや
よぶんな お金は
メグのそうこに おまかせください!</x:v>
      </x:c>
      <x:c r="E549" s="19" t="str">
        <x:v>&lt;SPEAKER&gt;Leave extra belongings or
spare money with Meg's Storage!</x:v>
      </x:c>
      <x:c r="F549" s="20" t="str"/>
      <x:c r="G549" s="20" t="str"/>
      <x:c r="H549" s="23" t="str">
        <x:v>SPEAKER NEWLINE END</x:v>
      </x:c>
      <x:c r="I549" s="23" t="str">
        <x:v>EA:7F69</x:v>
      </x:c>
      <x:c r="J549" s="23" t="str">
        <x:v>CC 4C 65 61 76 65 01 65 78 74 72 61 01 62 65 6C 6F 6E 67 69 6E 67 73 01 6F 72 C8 73 70 61 72 65 01 6D 6F 6E 65 79 01 77 69 74 68 01 4D 65 67 27 73 01 53 74 6F 72 61 67 65 21 C0</x:v>
      </x:c>
      <x:c r="K549" s="23" t="str">
        <x:v>1CC 010 02E 03E 01F 001 025 032 021 033 1C8 035 084 02B 03D 024 001 014 094 029 1C8 063 084 049 028 01E 012 019 025 001 014 02E 015 01D 017 084 01F 01A 011 07A 1C0</x:v>
      </x:c>
    </x:row>
    <x:row r="550">
      <x:c r="A550" s="22" t="str">
        <x:f>"02"</x:f>
        <x:v>02</x:v>
      </x:c>
      <x:c r="B550" s="22" t="str">
        <x:f>"24"</x:f>
        <x:v>24</x:v>
      </x:c>
      <x:c r="C550" s="22" t="str">
        <x:f>"0x0224"</x:f>
        <x:v>0x0224</x:v>
      </x:c>
      <x:c r="D550" s="21" t="str">
        <x:v>&lt;SPEAKER&gt;「おそらく 塔の中に
バロンロックへ わたる方法の
ひみつが あるに ちがいありません&lt;WAIT&gt;&lt;SPEAKER&gt;「なんとしても 古代の装置の
復活だけは くいとめないと・・・&lt;WAIT&gt;&lt;SPEAKER&gt;「おお そうだ レディさん!
この地図は おわたしします
すこしは お役に たつでしょう</x:v>
      </x:c>
      <x:c r="E550" s="19" t="str">
        <x:v>&lt;SPEAKER&gt;The tower must hide a
way to cross to Baron Rock.&lt;WAIT&gt;&lt;SPEAKER&gt;We must stop
that ancient machine
from ever being revived...&lt;WAIT&gt;&lt;SPEAKER&gt;Oh, Lady! Take this
map. It should be of some help.</x:v>
      </x:c>
      <x:c r="F550" s="20" t="str"/>
      <x:c r="G550" s="20" t="str"/>
      <x:c r="H550" s="23" t="str">
        <x:v>SPEAKER NEWLINE WAIT SPEAKER NEWLINE NEWLINE WAIT SPEAKER NEWLINE END</x:v>
      </x:c>
      <x:c r="I550" s="23" t="str">
        <x:v>EA:7FA4</x:v>
      </x:c>
      <x:c r="J550" s="23" t="str">
        <x:v>CC 54 68 65 01 74 6F 77 65 72 01 6D 75 73 74 01 68 69 64 65 01 61 C8 77 61 79 01 74 6F 01 63 72 6F 73 73 01 74 6F 01 42 61 72 6F 6E 01 52 6F 63 6B 2E C5 CC 57 65 01 6D 75 73 74 01 73 74 6F 70 C8 74 68 61 74 01 61 6E 63 69 65 6E 74 01 6D 61 63 68 69 6E 65 C8 66 72 6F 6D 01 65 76 65 72 01 62 65 69 6E 67 01 72 65 76 69 76 65 64 2E 2E 2E C5 CC 4F 68 2C 01 4C 61 64 79 21 01 54 61 6B 65 01 74 68 69 73 C8 6D 61 70 2E 01 49 74 01 73 68 6F 75 6C 64 01 62 65 01 6F 66 01 73 6F 6D 65 01 68 65 6C 70 2E C0</x:v>
      </x:c>
      <x:c r="K550" s="23" t="str">
        <x:v>1CC 014 01E 036 017 001 154 028 0A1 025 1C8 084 05B 06C 06F 06C 070 049 02C 001 03B 01F 038 0B9 157 028 1C8 02A 02F 021 084 015 001 010 038 025 001 020 084 015 011 010 037 02E 01D 03D 1C5 1CC 024 03D 023 01B 022 032 001 096 09F 028 0C2 19F 028 1C8 18B 0B4 084 01F 018 029 001 017 011 023 031 024 011 023 081 081 081 1C5 1CC 014 014 001 01E 012 084 01F 001 06B 084 054 075 01A 03D 07A 1C8 019 028 0D5 160 029 001 014 03B 01F 01B 01B 02E 01C 1C8 01C 019 01B 029 001 014 15E 025 001 01F 021 084 022 01B 041 012 1C0</x:v>
      </x:c>
    </x:row>
    <x:row r="551">
      <x:c r="A551" s="22" t="str">
        <x:f>"02"</x:f>
        <x:v>02</x:v>
      </x:c>
      <x:c r="B551" s="22" t="str">
        <x:f>"25"</x:f>
        <x:v>25</x:v>
      </x:c>
      <x:c r="C551" s="22" t="str">
        <x:f>"0x0225"</x:f>
        <x:v>0x0225</x:v>
      </x:c>
      <x:c r="D551" s="21" t="str">
        <x:v>&lt;SPEAKER&gt;「この地図を おわたしします
すこしは お役に たつでしょう</x:v>
      </x:c>
      <x:c r="E551" s="19" t="str">
        <x:v>&lt;SPEAKER&gt;Take this map. It
should be of some help.</x:v>
      </x:c>
      <x:c r="F551" s="20" t="str"/>
      <x:c r="G551" s="20" t="str"/>
      <x:c r="H551" s="23" t="str">
        <x:v>SPEAKER NEWLINE END</x:v>
      </x:c>
      <x:c r="I551" s="23" t="str">
        <x:v>EA:804A</x:v>
      </x:c>
      <x:c r="J551" s="23" t="str">
        <x:v>CC 54 61 6B 65 01 74 68 69 73 01 6D 61 70 2E 01 49 74 C8 73 68 6F 75 6C 64 01 62 65 01 6F 66 01 73 6F 6D 65 01 68 65 6C 70 2E C0</x:v>
      </x:c>
      <x:c r="K551" s="23" t="str">
        <x:v>1CC 019 028 0D5 160 03C 001 014 03B 01F 01B 01B 02E 01C 1C8 01C 019 01B 029 001 014 15E 025 001 01F 021 084 022 01B 041 012 1C0</x:v>
      </x:c>
    </x:row>
    <x:row r="552">
      <x:c r="A552" s="22" t="str">
        <x:f>"02"</x:f>
        <x:v>02</x:v>
      </x:c>
      <x:c r="B552" s="22" t="str">
        <x:f>"26"</x:f>
        <x:v>26</x:v>
      </x:c>
      <x:c r="C552" s="22" t="str">
        <x:f>"0x0226"</x:f>
        <x:v>0x0226</x:v>
      </x:c>
      <x:c r="D552" s="21" t="str">
        <x:v>&lt;SPEAKER&gt;「レディさん! なんとか
この島を すくってください!</x:v>
      </x:c>
      <x:c r="E552" s="19" t="str">
        <x:v>&lt;SPEAKER&gt;Lady! Please,
save this island somehow!</x:v>
      </x:c>
      <x:c r="F552" s="20" t="str"/>
      <x:c r="G552" s="20" t="str"/>
      <x:c r="H552" s="23" t="str">
        <x:v>SPEAKER NEWLINE END</x:v>
      </x:c>
      <x:c r="I552" s="23" t="str">
        <x:v>EA:8075</x:v>
      </x:c>
      <x:c r="J552" s="23" t="str">
        <x:v>CC 4C 61 64 79 21 01 50 6C 65 61 73 65 2C C8 73 61 76 65 01 74 68 69 73 01 69 73 6C 61 6E 64 01 73 6F 6D 65 68 6F 77 21 C0</x:v>
      </x:c>
      <x:c r="K552" s="23" t="str">
        <x:v>1CC 06B 084 054 075 01A 03D 07A 001 024 03D 023 015 1C8 019 028 08A 03C 001 01C 017 03E 022 017 084 01F 01A 011 07A 1C0</x:v>
      </x:c>
    </x:row>
    <x:row r="553">
      <x:c r="A553" s="22" t="str">
        <x:f>"02"</x:f>
        <x:v>02</x:v>
      </x:c>
      <x:c r="B553" s="22" t="str">
        <x:f>"27"</x:f>
        <x:v>27</x:v>
      </x:c>
      <x:c r="C553" s="22" t="str">
        <x:f>"0x0227"</x:f>
        <x:v>0x0227</x:v>
      </x:c>
      <x:c r="D553" s="21" t="str">
        <x:v>&lt;SPEAKER&gt;「おっと! では いずれ
おにもつが あいているときに
おわたししましょう</x:v>
      </x:c>
      <x:c r="E553" s="19" t="str">
        <x:v>&lt;SPEAKER&gt;Oh! Your bags
are full. I will give it to
you when you have room.</x:v>
      </x:c>
      <x:c r="F553" s="20" t="str"/>
      <x:c r="G553" s="20" t="str"/>
      <x:c r="H553" s="23" t="str">
        <x:v>SPEAKER NEWLINE NEWLINE END</x:v>
      </x:c>
      <x:c r="I553" s="23" t="str">
        <x:v>EA:809E</x:v>
      </x:c>
      <x:c r="J553" s="23" t="str">
        <x:v>CC 4F 68 21 01 59 6F 75 72 01 62 61 67 73 C8 61 72 65 01 66 75 6C 6C 2E 01 49 01 77 69 6C 6C 01 67 69 76 65 01 69 74 01 74 6F C8 79 6F 75 01 77 68 65 6E 01 79 6F 75 01 68 61 76 65 01 72 6F 6F 6D 2E C0</x:v>
      </x:c>
      <x:c r="K553" s="23" t="str">
        <x:v>1CC 014 03E 023 07A 001 084 022 029 001 011 084 01C 039 1C8 014 025 032 021 084 015 001 010 011 022 011 038 023 016 025 1C8 014 03B 01F 01B 01B 02E 01B 041 012 1C0</x:v>
      </x:c>
    </x:row>
    <x:row r="554">
      <x:c r="A554" s="22" t="str">
        <x:f>"02"</x:f>
        <x:v>02</x:v>
      </x:c>
      <x:c r="B554" s="22" t="str">
        <x:f>"28"</x:f>
        <x:v>28</x:v>
      </x:c>
      <x:c r="C554" s="22" t="str">
        <x:f>"0x0228"</x:f>
        <x:v>0x0228</x:v>
      </x:c>
      <x:c r="D554" s="21" t="str">
        <x:v>&lt;SPEAKER&gt;「おそらく 塔の中に
バロンロックへ わたる方法の
ひみつが かくされているはずです!</x:v>
      </x:c>
      <x:c r="E554" s="19" t="str">
        <x:v>&lt;SPEAKER&gt;The tower must hide
the secret route to Baron Rock!</x:v>
      </x:c>
      <x:c r="F554" s="20" t="str"/>
      <x:c r="G554" s="20" t="str"/>
      <x:c r="H554" s="23" t="str">
        <x:v>SPEAKER NEWLINE END</x:v>
      </x:c>
      <x:c r="I554" s="23" t="str">
        <x:v>EA:80E1</x:v>
      </x:c>
      <x:c r="J554" s="23" t="str">
        <x:v>CC 54 68 65 01 74 6F 77 65 72 01 6D 75 73 74 01 68 69 64 65 C8 74 68 65 01 73 65 63 72 65 74 01 72 6F 75 74 65 01 74 6F 01 42 61 72 6F 6E 01 52 6F 63 6B 21 C0</x:v>
      </x:c>
      <x:c r="K554" s="23" t="str">
        <x:v>1CC 014 01E 036 017 001 154 028 0A1 025 1C8 084 05B 06C 06F 06C 070 049 02C 001 03B 01F 038 0B9 157 028 1C8 02A 02F 021 084 015 001 015 017 01A 039 022 011 038 029 084 01C 084 022 01C 07A 1C0</x:v>
      </x:c>
    </x:row>
    <x:row r="555">
      <x:c r="A555" s="22" t="str">
        <x:f>"02"</x:f>
        <x:v>02</x:v>
      </x:c>
      <x:c r="B555" s="22" t="str">
        <x:f>"29"</x:f>
        <x:v>29</x:v>
      </x:c>
      <x:c r="C555" s="22" t="str">
        <x:f>"0x0229"</x:f>
        <x:v>0x0229</x:v>
      </x:c>
      <x:c r="D555" s="21" t="str">
        <x:v>&lt;SPEAKER&gt;「なんと! バロンロックへ
わたった? それはすごい!&lt;WAIT&gt;&lt;SPEAKER&gt;「ううー わたしも行きたい!
考古学者の ちが さわぐうー!
だが そんな所へ 行ったら むむ&lt;WAIT&gt;&lt;SPEAKER&gt;「こんどは こおりづめでは
すまないだろう・・・</x:v>
      </x:c>
      <x:c r="E555" s="19" t="str">
        <x:v>&lt;SPEAKER&gt;You crossed to Baron
Rock? That is incredible!&lt;WAIT&gt;&lt;SPEAKER&gt;Oh, I want to go
too! My archaeologist blood is
boiling! But if I went there...&lt;WAIT&gt;&lt;SPEAKER&gt;I doubt being frozen
solid would be the worst of it...</x:v>
      </x:c>
      <x:c r="F555" s="20" t="str"/>
      <x:c r="G555" s="20" t="str"/>
      <x:c r="H555" s="23" t="str">
        <x:v>SPEAKER NEWLINE WAIT SPEAKER NEWLINE NEWLINE WAIT SPEAKER NEWLINE END</x:v>
      </x:c>
      <x:c r="I555" s="23" t="str">
        <x:v>EA:8116</x:v>
      </x:c>
      <x:c r="J555" s="23" t="str">
        <x:v>CC 59 6F 75 01 63 72 6F 73 73 65 64 01 74 6F 01 42 61 72 6F 6E C8 52 6F 63 6B 3F 01 54 68 61 74 01 69 73 01 69 6E 63 72 65 64 69 62 6C 65 21 C5 CC 4F 68 2C 01 49 01 77 61 6E 74 01 74 6F 01 67 6F C8 74 6F 6F 21 01 4D 79 01 61 72 63 68 61 65 6F 6C 6F 67 69 73 74 01 62 6C 6F 6F 64 01 69 73 C8 62 6F 69 6C 69 6E 67 21 01 42 75 74 01 69 66 01 49 01 77 65 6E 74 01 74 68 65 72 65 2E 2E 2E C5 CC 49 01 64 6F 75 62 74 01 62 65 69 6E 67 01 66 72 6F 7A 65 6E C8 73 6F 6C 69 64 01 77 6F 75 6C 64 01 62 65 01 74 68 65 01 77 6F 72 73 74 01 6F 66 01 69 74 2E 2E 2E C0</x:v>
      </x:c>
      <x:c r="K555" s="23" t="str">
        <x:v>1CC 024 03D 023 07A 001 084 05B 06C 06F 06C 070 049 02C 1C8 03B 01F 03E 01F 079 001 01E 039 029 01C 084 019 011 07A 1C5 1CC 012 012 078 001 03B 01F 01B 032 08D 016 01F 011 07A 1C8 0DB 096 0B7 0A7 028 001 020 084 015 001 01A 03B 084 017 012 078 07A 1C8 084 01F 084 015 001 01E 03D 024 12F 02C 001 08D 03E 01F 036 001 030 030 1C5 1CC 019 03D 084 023 029 001 019 014 037 084 021 031 084 022 029 1C8 01C 02E 024 011 084 01F 03A 012 081 081 081 1C0</x:v>
      </x:c>
    </x:row>
    <x:row r="556">
      <x:c r="A556" s="22" t="str">
        <x:f>"02"</x:f>
        <x:v>02</x:v>
      </x:c>
      <x:c r="B556" s="22" t="str">
        <x:f>"2A"</x:f>
        <x:v>2A</x:v>
      </x:c>
      <x:c r="C556" s="22" t="str">
        <x:f>"0x022A"</x:f>
        <x:v>0x022A</x:v>
      </x:c>
      <x:c r="D556" s="21" t="str">
        <x:v>&lt;SPEAKER&gt;「古い ぶんけんに よると
キングバロンは かずおおくの
しかけを 作ったと あります&lt;WAIT&gt;&lt;SPEAKER&gt;「気をつけてくださいよ
レディさん! わたしの よみでは
バロンロックは しかけだらけです&lt;WAIT&gt;&lt;SPEAKER&gt;「おそらく 自分の すみかの
手前に しかけだらけの 迷宮を
作っているはずです!</x:v>
      </x:c>
      <x:c r="E556" s="19" t="str">
        <x:v>&lt;SPEAKER&gt;Old documents say
King Baron built countless
devices and mechanisms.&lt;WAIT&gt;&lt;SPEAKER&gt;Be careful, Lady.
My guess is Baron Rock
is packed with mechanisms.&lt;WAIT&gt;&lt;SPEAKER&gt;He probably built
a maze full of them just
before his own dwelling!</x:v>
      </x:c>
      <x:c r="F556" s="20" t="str"/>
      <x:c r="G556" s="20" t="str"/>
      <x:c r="H556" s="23" t="str">
        <x:v>SPEAKER NEWLINE NEWLINE WAIT SPEAKER NEWLINE NEWLINE WAIT SPEAKER NEWLINE NEWLINE END</x:v>
      </x:c>
      <x:c r="I556" s="23" t="str">
        <x:v>EA:81CF</x:v>
      </x:c>
      <x:c r="J556" s="23" t="str">
        <x:v>CC 4F 6C 64 01 64 6F 63 75 6D 65 6E 74 73 01 73 61 79 C8 4B 69 6E 67 01 42 61 72 6F 6E 01 62 75 69 6C 74 01 63 6F 75 6E 74 6C 65 73 73 C8 64 65 76 69 63 65 73 01 61 6E 64 01 6D 65 63 68 61 6E 69 73 6D 73 2E C5 CC 42 65 01 63 61 72 65 66 75 6C 2C 01 4C 61 64 79 2E C8 4D 79 01 67 75 65 73 73 01 69 73 01 42 61 72 6F 6E 01 52 6F 63 6B C8 69 73 01 70 61 63 6B 65 64 01 77 69 74 68 01 6D 65 63 68 61 6E 69 73 6D 73 2E C5 CC 48 65 01 70 72 6F 62 61 62 6C 79 01 62 75 69 6C 74 C8 61 01 6D 61 7A 65 01 66 75 6C 6C 01 6F 66 01 74 68 65 6D 01 6A 75 73 74 C8 62 65 66 6F 72 65 01 68 69 73 01 6F 77 6E 01 64 77 65 6C 6C 69 6E 67 21 C0</x:v>
      </x:c>
      <x:c r="K556" s="23" t="str">
        <x:v>1CC 096 011 001 084 02B 03D 018 03D 025 001 035 038 023 1C8 048 06F 084 049 084 05B 06C 06F 029 001 015 084 01C 014 014 017 028 1C8 01B 015 018 03C 001 0F6 03E 01F 023 001 010 037 02E 01C 1C5 1CC 099 03C 021 018 022 017 084 01F 01A 011 035 1C8 06B 084 054 075 01A 03D 07A 001 03B 01F 01B 028 001 035 02F 084 022 029 1C8 084 05B 06C 06F 06C 070 049 029 001 01B 015 018 084 01F 036 018 084 022 01C 1C5 1CC 014 01E 036 017 001 0E2 16C 028 001 01C 02F 015 028 1C8 177 0C3 025 001 01B 015 018 084 01F 036 018 028 001 1B6 1AD 03C 1C8 0F6 03E 022 011 038 029 084 01C 084 022 01C 07A 1C0</x:v>
      </x:c>
    </x:row>
    <x:row r="557">
      <x:c r="A557" s="22" t="str">
        <x:f>"02"</x:f>
        <x:v>02</x:v>
      </x:c>
      <x:c r="B557" s="22" t="str">
        <x:f>"2B"</x:f>
        <x:v>2B</x:v>
      </x:c>
      <x:c r="C557" s="22" t="str">
        <x:f>"0x022B"</x:f>
        <x:v>0x022B</x:v>
      </x:c>
      <x:c r="D557" s="21" t="str">
        <x:v>&lt;SPEAKER&gt;「ジェイビーとかいう 魔物も
その しかけに てこずるでしょう&lt;WAIT&gt;&lt;SPEAKER&gt;「そのすきに なんとか
古代の装置を はかいできれば
いいのですが・・・・</x:v>
      </x:c>
      <x:c r="E557" s="19" t="str">
        <x:v>&lt;SPEAKER&gt;That monster called J.B.
will struggle with those traps too.&lt;WAIT&gt;&lt;SPEAKER&gt;If you can use
that chance to destroy
the ancient machine...</x:v>
      </x:c>
      <x:c r="F557" s="20" t="str"/>
      <x:c r="G557" s="20" t="str"/>
      <x:c r="H557" s="23" t="str">
        <x:v>SPEAKER NEWLINE WAIT SPEAKER NEWLINE NEWLINE END</x:v>
      </x:c>
      <x:c r="I557" s="23" t="str">
        <x:v>EA:829F</x:v>
      </x:c>
      <x:c r="J557" s="23" t="str">
        <x:v>CC 54 68 61 74 01 6D 6F 6E 73 74 65 72 01 63 61 6C 6C 65 64 01 4A 2E 42 2E C8 77 69 6C 6C 01 73 74 72 75 67 67 6C 65 01 77 69 74 68 01 74 68 6F 73 65 01 74 72 61 70 73 01 74 6F 6F 2E C5 CC 49 66 01 79 6F 75 01 63 61 6E 01 75 73 65 C8 74 68 61 74 01 63 68 61 6E 63 65 01 74 6F 01 64 65 73 74 72 6F 79 C8 74 68 65 01 61 6E 63 69 65 6E 74 01 6D 61 63 68 69 6E 65 2E 2E 2E C0</x:v>
      </x:c>
      <x:c r="K557" s="23" t="str">
        <x:v>1CC 084 04D 076 043 084 05C 078 023 015 011 012 001 09A 08B 032 1C8 01E 028 001 01B 015 018 025 001 022 019 084 01C 038 084 022 01B 041 012 1C5 1CC 01E 028 01C 016 025 001 024 03D 023 015 1C8 096 09F 028 0C2 19F 03C 001 029 015 011 084 022 016 039 084 029 1C8 011 011 028 084 022 01C 084 015 081 081 081 081 1C0</x:v>
      </x:c>
    </x:row>
    <x:row r="558">
      <x:c r="A558" s="22" t="str">
        <x:f>"02"</x:f>
        <x:v>02</x:v>
      </x:c>
      <x:c r="B558" s="22" t="str">
        <x:f>"2C"</x:f>
        <x:v>2C</x:v>
      </x:c>
      <x:c r="C558" s="22" t="str">
        <x:f>"0x022C"</x:f>
        <x:v>0x022C</x:v>
      </x:c>
      <x:c r="D558" s="21" t="str">
        <x:v>&lt;SPEAKER&gt;「うえー! 古代の装置が
復活してしまったー?
うひゃー! うーん・・・・・</x:v>
      </x:c>
      <x:c r="E558" s="19" t="str">
        <x:v>&lt;SPEAKER&gt;What?! The
ancient machine has been
revived? Oh no! Ugh...</x:v>
      </x:c>
      <x:c r="F558" s="20" t="str"/>
      <x:c r="G558" s="20" t="str"/>
      <x:c r="H558" s="23" t="str">
        <x:v>SPEAKER NEWLINE NEWLINE END</x:v>
      </x:c>
      <x:c r="I558" s="23" t="str">
        <x:v>EA:831B</x:v>
      </x:c>
      <x:c r="J558" s="23" t="str">
        <x:v>CC 57 68 61 74 3F 21 01 54 68 65 C8 61 6E 63 69 65 6E 74 01 6D 61 63 68 69 6E 65 01 68 61 73 01 62 65 65 6E C8 72 65 76 69 76 65 64 3F 01 4F 68 01 6E 6F 21 01 55 67 68 2E 2E 2E C0</x:v>
      </x:c>
      <x:c r="K558" s="23" t="str">
        <x:v>1CC 012 013 078 07A 001 096 09F 028 0C2 19F 084 015 1C8 18B 0B4 01B 022 01B 02E 03E 01F 078 079 1C8 012 02A 03F 078 07A 001 012 078 03D 081 081 081 081 081 1C0</x:v>
      </x:c>
    </x:row>
    <x:row r="559">
      <x:c r="A559" s="22" t="str">
        <x:f>"02"</x:f>
        <x:v>02</x:v>
      </x:c>
      <x:c r="B559" s="22" t="str">
        <x:f>"2D"</x:f>
        <x:v>2D</x:v>
      </x:c>
      <x:c r="C559" s="22" t="str">
        <x:f>"0x022D"</x:f>
        <x:v>0x022D</x:v>
      </x:c>
      <x:c r="D559" s="21" t="str">
        <x:v>&lt;CLEAR&gt;
サジクは きぜつ してしまった!</x:v>
      </x:c>
      <x:c r="E559" s="19" t="str">
        <x:v>&lt;CLEAR&gt;Sajik fainted!</x:v>
      </x:c>
      <x:c r="F559" s="20" t="str"/>
      <x:c r="G559" s="20" t="str"/>
      <x:c r="H559" s="23" t="str">
        <x:v>CLEAR END</x:v>
      </x:c>
      <x:c r="I559" s="23" t="str">
        <x:v>EA:8357</x:v>
      </x:c>
      <x:c r="J559" s="23" t="str">
        <x:v>D0 53 61 6A 69 6B 01 66 61 69 6E 74 65 64 21 C0</x:v>
      </x:c>
      <x:c r="K559" s="23" t="str">
        <x:v>1D0 04C 084 04D 049 029 001 016 084 01D 021 001 01B 022 01B 02E 03E 01F 07A 1C0</x:v>
      </x:c>
    </x:row>
    <x:row r="560">
      <x:c r="A560" s="22" t="str">
        <x:f>"02"</x:f>
        <x:v>02</x:v>
      </x:c>
      <x:c r="B560" s="22" t="str">
        <x:f>"2E"</x:f>
        <x:v>2E</x:v>
      </x:c>
      <x:c r="C560" s="22" t="str">
        <x:f>"0x022E"</x:f>
        <x:v>0x022E</x:v>
      </x:c>
      <x:c r="D560" s="21" t="str">
        <x:v>&lt;CLEAR&gt;
サジクは きぜつ している</x:v>
      </x:c>
      <x:c r="E560" s="19" t="str">
        <x:v>&lt;CLEAR&gt;Sajik is unconscious.</x:v>
      </x:c>
      <x:c r="F560" s="20" t="str"/>
      <x:c r="G560" s="20" t="str"/>
      <x:c r="H560" s="23" t="str">
        <x:v>CLEAR END</x:v>
      </x:c>
      <x:c r="I560" s="23" t="str">
        <x:v>EA:8367</x:v>
      </x:c>
      <x:c r="J560" s="23" t="str">
        <x:v>D0 53 61 6A 69 6B 01 69 73 01 75 6E 63 6F 6E 73 63 69 6F 75 73 2E C0</x:v>
      </x:c>
      <x:c r="K560" s="23" t="str">
        <x:v>1D0 04C 084 04D 049 029 001 016 084 01D 021 001 01B 022 011 038 1C0</x:v>
      </x:c>
    </x:row>
    <x:row r="561">
      <x:c r="A561" s="22" t="str">
        <x:f>"02"</x:f>
        <x:v>02</x:v>
      </x:c>
      <x:c r="B561" s="22" t="str">
        <x:f>"2F"</x:f>
        <x:v>2F</x:v>
      </x:c>
      <x:c r="C561" s="22" t="str">
        <x:f>"0x022F"</x:f>
        <x:v>0x022F</x:v>
      </x:c>
      <x:c r="D561" s="21" t="str">
        <x:v>&lt;SPEAKER&gt;「サジクさんの はなしを
きいてやってくれよ!</x:v>
      </x:c>
      <x:c r="E561" s="19" t="str">
        <x:v>&lt;SPEAKER&gt;Please listen to
what Sajik has to say!</x:v>
      </x:c>
      <x:c r="F561" s="20" t="str"/>
      <x:c r="G561" s="20" t="str"/>
      <x:c r="H561" s="23" t="str">
        <x:v>SPEAKER NEWLINE END</x:v>
      </x:c>
      <x:c r="I561" s="23" t="str">
        <x:v>EA:837E</x:v>
      </x:c>
      <x:c r="J561" s="23" t="str">
        <x:v>CC 50 6C 65 61 73 65 01 6C 69 73 74 65 6E 01 74 6F C8 77 68 61 74 01 53 61 6A 69 6B 01 68 61 73 01 74 6F 01 73 61 79 21 C0</x:v>
      </x:c>
      <x:c r="K561" s="23" t="str">
        <x:v>1CC 04C 084 04D 049 01A 03D 028 001 029 024 01B 03C 1C8 016 011 022 033 03E 022 017 039 035 07A 1C0</x:v>
      </x:c>
    </x:row>
    <x:row r="562">
      <x:c r="A562" s="22" t="str">
        <x:f>"02"</x:f>
        <x:v>02</x:v>
      </x:c>
      <x:c r="B562" s="22" t="str">
        <x:f>"30"</x:f>
        <x:v>30</x:v>
      </x:c>
      <x:c r="C562" s="22" t="str">
        <x:f>"0x0230"</x:f>
        <x:v>0x0230</x:v>
      </x:c>
      <x:c r="D562" s="21" t="str">
        <x:v>&lt;SPEAKER&gt;「あんたの 持っている その
石像が 塔と かんけいありそうだな</x:v>
      </x:c>
      <x:c r="E562" s="19" t="str">
        <x:v>&lt;SPEAKER&gt;That statue
you are carrying looks
connected to the tower.</x:v>
      </x:c>
      <x:c r="F562" s="20" t="str"/>
      <x:c r="G562" s="20" t="str"/>
      <x:c r="H562" s="23" t="str">
        <x:v>SPEAKER NEWLINE NEWLINE END</x:v>
      </x:c>
      <x:c r="I562" s="23" t="str">
        <x:v>EA:83A7</x:v>
      </x:c>
      <x:c r="J562" s="23" t="str">
        <x:v>CC 54 68 61 74 01 73 74 61 74 75 65 C8 79 6F 75 01 61 72 65 01 63 61 72 72 79 69 6E 67 01 6C 6F 6F 6B 73 C8 63 6F 6E 6E 65 63 74 65 64 01 74 6F 01 74 68 65 01 74 6F 77 65 72 2E C0</x:v>
      </x:c>
      <x:c r="K562" s="23" t="str">
        <x:v>1CC 010 03D 01F 028 001 0D3 03E 022 011 038 001 01E 028 1C8 09D 159 084 015 001 154 023 001 015 03D 018 011 010 037 01E 012 084 01F 024 1C0</x:v>
      </x:c>
    </x:row>
    <x:row r="563">
      <x:c r="A563" s="22" t="str">
        <x:f>"02"</x:f>
        <x:v>02</x:v>
      </x:c>
      <x:c r="B563" s="22" t="str">
        <x:f>"31"</x:f>
        <x:v>31</x:v>
      </x:c>
      <x:c r="C563" s="22" t="str">
        <x:f>"0x0231"</x:f>
        <x:v>0x0231</x:v>
      </x:c>
      <x:c r="D563" s="21" t="str">
        <x:v>&lt;SPEAKER&gt;「そうか あの石像が
塔に入る カギだったわけか&lt;WAIT&gt;&lt;SPEAKER&gt;「むかしの やつも なかなか
ようじんぶかいんだな</x:v>
      </x:c>
      <x:c r="E563" s="19" t="str">
        <x:v>&lt;SPEAKER&gt;So that statue was
the key to entering the tower.&lt;WAIT&gt;&lt;SPEAKER&gt;Those ancient people
were very cautious indeed.</x:v>
      </x:c>
      <x:c r="F563" s="20" t="str"/>
      <x:c r="G563" s="20" t="str"/>
      <x:c r="H563" s="23" t="str">
        <x:v>SPEAKER NEWLINE WAIT SPEAKER NEWLINE END</x:v>
      </x:c>
      <x:c r="I563" s="23" t="str">
        <x:v>EA:83E3</x:v>
      </x:c>
      <x:c r="J563" s="23" t="str">
        <x:v>CC 53 6F 01 74 68 61 74 01 73 74 61 74 75 65 01 77 61 73 C8 74 68 65 01 6B 65 79 01 74 6F 01 65 6E 74 65 72 69 6E 67 01 74 68 65 01 74 6F 77 65 72 2E C5 CC 54 68 6F 73 65 01 61 6E 63 69 65 6E 74 01 70 65 6F 70 6C 65 C8 77 65 72 65 01 76 65 72 79 01 63 61 75 74 69 6F 75 73 01 69 6E 64 65 65 64 2E C0</x:v>
      </x:c>
      <x:c r="K563" s="23" t="str">
        <x:v>1CC 01E 012 015 001 010 028 09D 159 084 015 1C8 154 025 08E 038 001 047 084 048 084 01F 03E 01F 03B 018 015 1C5 1CC 030 015 01B 028 001 033 021 032 001 024 015 024 015 1C8 035 012 084 01B 03D 084 02B 015 011 03D 084 01F 024 1C0</x:v>
      </x:c>
    </x:row>
    <x:row r="564">
      <x:c r="A564" s="22" t="str">
        <x:f>"02"</x:f>
        <x:v>02</x:v>
      </x:c>
      <x:c r="B564" s="22" t="str">
        <x:f>"32"</x:f>
        <x:v>32</x:v>
      </x:c>
      <x:c r="C564" s="22" t="str">
        <x:f>"0x0232"</x:f>
        <x:v>0x0232</x:v>
      </x:c>
      <x:c r="D564" s="21" t="str">
        <x:v>&lt;SPEAKER&gt;「げええー! バロンロックに
わたった? そいつは たまげた!&lt;WAIT&gt;&lt;SPEAKER&gt;「なに わたったはいいが
だんがい ぜっぺきの 岩場で
さきに行けない?&lt;WAIT&gt;&lt;SPEAKER&gt;「バロンロックと いうだけあって
すげえ 岩場 なんだろうなあ・・・&lt;WAIT&gt;&lt;SPEAKER&gt;「おう そうだ! たしか 囚人が
岩場を のぼる くつが どうとか
いってた きおくが あるな</x:v>
      </x:c>
      <x:c r="E564" s="19" t="str">
        <x:v>&lt;SPEAKER&gt;You crossed to Baron
Rock? Now that is a shock!&lt;WAIT&gt;&lt;SPEAKER&gt;You crossed, but cannot
continue because it is all
sheer cliffs and rock faces?&lt;WAIT&gt;&lt;SPEAKER&gt;It is called Baron Rock. I
guess the cliffs must be brutal...&lt;WAIT&gt;&lt;SPEAKER&gt;Wait! I remember a
prisoner mentioning boots that
could climb rocky ground.</x:v>
      </x:c>
      <x:c r="F564" s="20" t="str"/>
      <x:c r="G564" s="20" t="str"/>
      <x:c r="H564" s="23" t="str">
        <x:v>SPEAKER NEWLINE WAIT SPEAKER NEWLINE NEWLINE WAIT SPEAKER NEWLINE WAIT SPEAKER NEWLINE NEWLINE END</x:v>
      </x:c>
      <x:c r="I564" s="23" t="str">
        <x:v>EA:8447</x:v>
      </x:c>
      <x:c r="J564" s="23" t="str">
        <x:v>CC 59 6F 75 01 63 72 6F 73 73 65 64 01 74 6F 01 42 61 72 6F 6E C8 52 6F 63 6B 3F 01 4E 6F 77 01 74 68 61 74 01 69 73 01 61 01 73 68 6F 63 6B 21 C5 CC 59 6F 75 01 63 72 6F 73 73 65 64 2C 01 62 75 74 01 63 61 6E 6E 6F 74 C8 63 6F 6E 74 69 6E 75 65 01 62 65 63 61 75 73 65 01 69 74 01 69 73 01 61 6C 6C C8 73 68 65 65 72 01 63 6C 69 66 66 73 01 61 6E 64 01 72 6F 63 6B 01 66 61 63 65 73 3F C5 CC 49 74 01 69 73 01 63 61 6C 6C 65 64 01 42 61 72 6F 6E 01 52 6F 63 6B 2E 01 49 C8 67 75 65 73 73 01 74 68 65 01 63 6C 69 66 66 73 01 6D 75 73 74 01 62 65 01 62 72 75 74 61 6C 2E 2E 2E C5 CC 57 61 69 74 21 01 49 01 72 65 6D 65 6D 62 65 72 01 61 C8 70 72 69 73 6F 6E 65 72 01 6D 65 6E 74 69 6F 6E 69 6E 67 01 62 6F 6F 74 73 01 74 68 61 74 C8 63 6F 75 6C 64 01 63 6C 69 6D 62 01 72 6F 63 6B 79 01 67 72 6F 75 6E 64 2E C0</x:v>
      </x:c>
      <x:c r="K564" s="23" t="str">
        <x:v>1CC 084 018 013 013 078 07A 001 084 05B 06C 06F 06C 070 049 025 1C8 03B 01F 03E 01F 079 001 01E 011 021 029 001 01F 02E 084 018 01F 07A 1C5 1CC 024 025 001 03B 01F 03E 01F 029 011 011 084 015 1C8 084 01F 03D 084 015 011 001 084 01D 03E 083 02C 016 028 001 158 0A5 084 022 1C8 01A 016 025 08D 018 024 011 079 1C5 1CC 084 05B 06C 06F 06C 070 049 023 001 011 012 084 01F 018 010 03E 022 1C8 01C 084 018 013 001 158 0A5 001 024 03D 084 01F 03A 012 024 010 081 081 081 1C5 1CC 014 012 001 01E 012 084 01F 07A 001 01F 01B 015 001 113 091 084 015 1C8 158 0A5 03C 001 028 084 02D 038 001 017 021 084 015 001 084 023 012 023 015 1C8 011 03E 022 01F 001 016 014 017 084 015 001 010 038 024 1C0</x:v>
      </x:c>
    </x:row>
    <x:row r="565">
      <x:c r="A565" s="22" t="str">
        <x:f>"02"</x:f>
        <x:v>02</x:v>
      </x:c>
      <x:c r="B565" s="22" t="str">
        <x:f>"33"</x:f>
        <x:v>33</x:v>
      </x:c>
      <x:c r="C565" s="22" t="str">
        <x:f>"0x0233"</x:f>
        <x:v>0x0233</x:v>
      </x:c>
      <x:c r="D565" s="21" t="str">
        <x:v>&lt;SPEAKER&gt;「デスベガスの ドドヘイだ!
ドドヘイが たしか いってたぞ!</x:v>
      </x:c>
      <x:c r="E565" s="19" t="str">
        <x:v>&lt;SPEAKER&gt;Dodohei in Deathvegas!
I am sure Dodohei said it!</x:v>
      </x:c>
      <x:c r="F565" s="20" t="str"/>
      <x:c r="G565" s="20" t="str"/>
      <x:c r="H565" s="23" t="str">
        <x:v>SPEAKER NEWLINE END</x:v>
      </x:c>
      <x:c r="I565" s="23" t="str">
        <x:v>EA:8555</x:v>
      </x:c>
      <x:c r="J565" s="23" t="str">
        <x:v>CC 44 6F 64 6F 68 65 69 01 69 6E 01 44 65 61 74 68 76 65 67 61 73 21 C8 49 01 61 6D 01 73 75 72 65 01 44 6F 64 6F 68 65 69 01 73 61 69 64 01 69 74 21 C0</x:v>
      </x:c>
      <x:c r="K565" s="23" t="str">
        <x:v>1CC 084 054 04E 084 05E 084 047 04E 028 001 084 055 084 055 05E 043 084 01F 07A 1C8 084 055 084 055 05E 043 084 015 001 01F 01B 015 001 011 03E 022 01F 084 01E 07A 1C0</x:v>
      </x:c>
    </x:row>
    <x:row r="566">
      <x:c r="A566" s="22" t="str">
        <x:f>"02"</x:f>
        <x:v>02</x:v>
      </x:c>
      <x:c r="B566" s="22" t="str">
        <x:f>"34"</x:f>
        <x:v>34</x:v>
      </x:c>
      <x:c r="C566" s="22" t="str">
        <x:f>"0x0234"</x:f>
        <x:v>0x0234</x:v>
      </x:c>
      <x:c r="D566" s="21" t="str">
        <x:v>&lt;SPEAKER&gt;「どんな すごい わなや
しかけが でてきても とにかく
れいせいに なるんだ!&lt;WAIT&gt;&lt;SPEAKER&gt;「きっと ガヌビスさまが
護って くださるって!&lt;WAIT&gt;&lt;SPEAKER&gt;「え? ガヌビスさまを 知らない?
どひゃー そりゃ たまげた!</x:v>
      </x:c>
      <x:c r="E566" s="19" t="str">
        <x:v>&lt;SPEAKER&gt;No matter what
trap or mechanism
appears, keep your head!&lt;WAIT&gt;&lt;SPEAKER&gt;I am sure Lord
Ganubis will protect you!&lt;WAIT&gt;&lt;SPEAKER&gt;What? You do not know
Ganubis? Now that is unbelievable!</x:v>
      </x:c>
      <x:c r="F566" s="20" t="str"/>
      <x:c r="G566" s="20" t="str"/>
      <x:c r="H566" s="23" t="str">
        <x:v>SPEAKER NEWLINE NEWLINE WAIT SPEAKER NEWLINE WAIT SPEAKER NEWLINE END</x:v>
      </x:c>
      <x:c r="I566" s="23" t="str">
        <x:v>EA:8588</x:v>
      </x:c>
      <x:c r="J566" s="23" t="str">
        <x:v>CC 4E 6F 01 6D 61 74 74 65 72 01 77 68 61 74 C8 74 72 61 70 01 6F 72 01 6D 65 63 68 61 6E 69 73 6D C8 61 70 70 65 61 72 73 2C 01 6B 65 65 70 01 79 6F 75 72 01 68 65 61 64 21 C5 CC 49 01 61 6D 01 73 75 72 65 01 4C 6F 72 64 C8 47 61 6E 75 62 69 73 01 77 69 6C 6C 01 70 72 6F 74 65 63 74 01 79 6F 75 21 C5 CC 57 68 61 74 3F 01 59 6F 75 01 64 6F 01 6E 6F 74 01 6B 6E 6F 77 C8 47 61 6E 75 62 69 73 3F 01 4E 6F 77 01 74 68 61 74 01 69 73 01 75 6E 62 65 6C 69 65 76 61 62 6C 65 21 C0</x:v>
      </x:c>
      <x:c r="K566" s="23" t="str">
        <x:v>1CC 084 023 03D 024 001 01C 084 019 011 001 03B 024 033 1C8 01B 015 018 084 015 001 084 022 022 016 022 032 001 023 025 015 017 1C8 039 011 01D 011 025 001 024 038 03D 084 01F 07A 1C5 1CC 016 03E 023 001 084 047 058 084 05C 04E 01A 02E 084 015 1C8 146 03E 022 001 017 084 01F 01A 038 03E 022 07A 1C5 1CC 013 079 001 084 047 058 084 05C 04E 01A 02E 03C 001 15C 036 024 011 079 1C8 084 023 02A 03F 078 001 01E 037 03F 001 01F 02E 084 018 01F 07A 1C0</x:v>
      </x:c>
    </x:row>
    <x:row r="567">
      <x:c r="A567" s="22" t="str">
        <x:f>"02"</x:f>
        <x:v>02</x:v>
      </x:c>
      <x:c r="B567" s="22" t="str">
        <x:f>"35"</x:f>
        <x:v>35</x:v>
      </x:c>
      <x:c r="C567" s="22" t="str">
        <x:f>"0x0235"</x:f>
        <x:v>0x0235</x:v>
      </x:c>
      <x:c r="D567" s="21" t="str">
        <x:v>&lt;SPEAKER&gt;「ガヌビスさまは わなや
しかけを 司っていたと
いわれてるんだ&lt;WAIT&gt;&lt;SPEAKER&gt;「その おすがたは
かおが オオカミで
体が 人間なんでさあ&lt;WAIT&gt;&lt;SPEAKER&gt;「キングバロンも きっと
すうはいしてた だろうなあ!</x:v>
      </x:c>
      <x:c r="E567" s="19" t="str">
        <x:v>&lt;SPEAKER&gt;Ganubis is said to rule
over traps and mechanisms.&lt;WAIT&gt;&lt;SPEAKER&gt;He has the face of a
wolf and the body of a man.&lt;WAIT&gt;&lt;SPEAKER&gt;King Baron surely
worshiped him too!</x:v>
      </x:c>
      <x:c r="F567" s="20" t="str"/>
      <x:c r="G567" s="20" t="str"/>
      <x:c r="H567" s="23" t="str">
        <x:v>SPEAKER NEWLINE WAIT SPEAKER NEWLINE WAIT SPEAKER NEWLINE END</x:v>
      </x:c>
      <x:c r="I567" s="23" t="str">
        <x:v>EA:8627</x:v>
      </x:c>
      <x:c r="J567" s="23" t="str">
        <x:v>CC 47 61 6E 75 62 69 73 01 69 73 01 73 61 69 64 01 74 6F 01 72 75 6C 65 C8 6F 76 65 72 01 74 72 61 70 73 01 61 6E 64 01 6D 65 63 68 61 6E 69 73 6D 73 2E C5 CC 48 65 01 68 61 73 01 74 68 65 01 66 61 63 65 01 6F 66 01 61 C8 77 6F 6C 66 01 61 6E 64 01 74 68 65 01 62 6F 64 79 01 6F 66 01 61 01 6D 61 6E 2E C5 CC 4B 69 6E 67 01 42 61 72 6F 6E 01 73 75 72 65 6C 79 C8 77 6F 72 73 68 69 70 65 64 01 68 69 6D 01 74 6F 6F 21 C0</x:v>
      </x:c>
      <x:c r="K567" s="23" t="str">
        <x:v>1CC 084 047 058 084 05C 04E 01A 02E 029 001 03B 024 033 1C8 01B 015 018 03C 001 1AE 03E 022 011 01F 023 1C8 011 03B 039 022 038 03D 084 01F 1C5 1CC 01E 028 001 014 01C 084 015 01F 029 1C8 015 014 084 015 001 046 046 047 061 084 022 1C8 0F0 084 015 001 091 0E3 024 03D 084 022 01A 010 1C5 1CC 048 06F 084 049 084 05B 06C 06F 032 001 016 03E 023 1C8 01C 012 029 011 01B 022 01F 001 084 01F 03A 012 024 010 07A 1C0</x:v>
      </x:c>
    </x:row>
    <x:row r="568">
      <x:c r="A568" s="22" t="str">
        <x:f>"02"</x:f>
        <x:v>02</x:v>
      </x:c>
      <x:c r="B568" s="22" t="str">
        <x:f>"36"</x:f>
        <x:v>36</x:v>
      </x:c>
      <x:c r="C568" s="22" t="str">
        <x:f>"0x0236"</x:f>
        <x:v>0x0236</x:v>
      </x:c>
      <x:c r="D568" s="21" t="str">
        <x:v>&lt;SPEAKER&gt;「うおお! レディさん!
バロンロックのことは さすがの
このボブでも わからないでさあ!</x:v>
      </x:c>
      <x:c r="E568" s="19" t="str">
        <x:v>&lt;SPEAKER&gt;Lady! Even Bob does not
know anything about Baron Rock!</x:v>
      </x:c>
      <x:c r="F568" s="20" t="str"/>
      <x:c r="G568" s="20" t="str"/>
      <x:c r="H568" s="23" t="str">
        <x:v>SPEAKER NEWLINE END</x:v>
      </x:c>
      <x:c r="I568" s="23" t="str">
        <x:v>EA:86B3</x:v>
      </x:c>
      <x:c r="J568" s="23" t="str">
        <x:v>CC 4C 61 64 79 21 01 45 76 65 6E 01 42 6F 62 01 64 6F 65 73 01 6E 6F 74 C8 6B 6E 6F 77 01 61 6E 79 74 68 69 6E 67 01 61 62 6F 75 74 01 42 61 72 6F 6E 01 52 6F 63 6B 21 C0</x:v>
      </x:c>
      <x:c r="K568" s="23" t="str">
        <x:v>1CC 012 014 014 07A 001 06B 084 054 075 01A 03D 07A 1C8 084 05B 06C 06F 06C 070 049 028 019 023 029 001 01A 01C 084 015 028 1C8 019 028 084 05F 084 05D 084 022 032 001 03B 015 036 024 011 084 022 01A 010 07A 1C0</x:v>
      </x:c>
    </x:row>
    <x:row r="569">
      <x:c r="A569" s="22" t="str">
        <x:f>"02"</x:f>
        <x:v>02</x:v>
      </x:c>
      <x:c r="B569" s="22" t="str">
        <x:f>"37"</x:f>
        <x:v>37</x:v>
      </x:c>
      <x:c r="C569" s="22" t="str">
        <x:f>"0x0237"</x:f>
        <x:v>0x0237</x:v>
      </x:c>
      <x:c r="D569" s="21" t="str">
        <x:v>&lt;SPEAKER&gt;「主人から すべて 聞きました
ほんとうに ありがとうございます
命の おんじんですわ</x:v>
      </x:c>
      <x:c r="E569" s="19" t="str">
        <x:v>&lt;SPEAKER&gt;My husband told me
everything. Thank you so very
much. You saved his life.</x:v>
      </x:c>
      <x:c r="F569" s="20" t="str"/>
      <x:c r="G569" s="20" t="str"/>
      <x:c r="H569" s="23" t="str">
        <x:v>SPEAKER NEWLINE NEWLINE END</x:v>
      </x:c>
      <x:c r="I569" s="23" t="str">
        <x:v>EA:86EC</x:v>
      </x:c>
      <x:c r="J569" s="23" t="str">
        <x:v>CC 4D 79 01 68 75 73 62 61 6E 64 01 74 6F 6C 64 01 6D 65 C8 65 76 65 72 79 74 68 69 6E 67 2E 01 54 68 61 6E 6B 01 79 6F 75 01 73 6F 01 76 65 72 79 C8 6D 75 63 68 2E 01 59 6F 75 01 73 61 76 65 64 01 68 69 73 01 6C 69 66 65 2E C0</x:v>
      </x:c>
      <x:c r="K569" s="23" t="str">
        <x:v>1CC 12C 091 015 036 001 01C 084 02C 022 001 0A6 016 02E 01B 01F 1C8 02D 03D 023 012 025 001 010 037 084 015 023 012 084 019 084 01A 011 02E 01C 1C8 0EE 028 001 014 03D 084 01B 03D 084 022 01C 03B 1C0</x:v>
      </x:c>
    </x:row>
    <x:row r="570">
      <x:c r="A570" s="22" t="str">
        <x:f>"02"</x:f>
        <x:v>02</x:v>
      </x:c>
      <x:c r="B570" s="22" t="str">
        <x:f>"38"</x:f>
        <x:v>38</x:v>
      </x:c>
      <x:c r="C570" s="22" t="str">
        <x:f>"0x0238"</x:f>
        <x:v>0x0238</x:v>
      </x:c>
      <x:c r="D570" s="21" t="str">
        <x:v>&lt;SPEAKER&gt;「ごめんなさい 主人は
なやみはじめると 誰の
ことばも 耳に 入らないんです</x:v>
      </x:c>
      <x:c r="E570" s="19" t="str">
        <x:v>&lt;SPEAKER&gt;I am sorry. Once
my husband starts brooding,
he hears no one at all.</x:v>
      </x:c>
      <x:c r="F570" s="20" t="str"/>
      <x:c r="G570" s="20" t="str"/>
      <x:c r="H570" s="23" t="str">
        <x:v>SPEAKER NEWLINE NEWLINE END</x:v>
      </x:c>
      <x:c r="I570" s="23" t="str">
        <x:v>EA:8738</x:v>
      </x:c>
      <x:c r="J570" s="23" t="str">
        <x:v>CC 49 01 61 6D 01 73 6F 72 72 79 2E 01 4F 6E 63 65 C8 6D 79 01 68 75 73 62 61 6E 64 01 73 74 61 72 74 73 01 62 72 6F 6F 64 69 6E 67 2C C8 68 65 01 68 65 61 72 73 01 6E 6F 01 6F 6E 65 01 61 74 01 61 6C 6C 2E C0</x:v>
      </x:c>
      <x:c r="K570" s="23" t="str">
        <x:v>1CC 084 019 031 03D 024 01A 011 001 12C 091 029 1C8 024 033 02F 029 084 01B 031 038 023 001 0FA 028 1C8 019 023 084 029 032 001 19D 025 001 08E 036 024 011 03D 084 022 01C 1C0</x:v>
      </x:c>
    </x:row>
    <x:row r="571">
      <x:c r="A571" s="22" t="str">
        <x:f>"02"</x:f>
        <x:v>02</x:v>
      </x:c>
      <x:c r="B571" s="22" t="str">
        <x:f>"39"</x:f>
        <x:v>39</x:v>
      </x:c>
      <x:c r="C571" s="22" t="str">
        <x:f>"0x0239"</x:f>
        <x:v>0x0239</x:v>
      </x:c>
      <x:c r="D571" s="21" t="str">
        <x:v>&lt;SPEAKER&gt;「わたし もう サジクを
はなしませんわ!&lt;WAIT&gt;&lt;SPEAKER&gt;「リバータウンから いっぽも
そとに 出しません!
・・・と いいたいところですが&lt;WAIT&gt;&lt;SPEAKER&gt;「この人は
そういうふうには きっと
ならないでしょうね・・・</x:v>
      </x:c>
      <x:c r="E571" s="19" t="str">
        <x:v>&lt;SPEAKER&gt;I will never let
Sajik out of my sight again!&lt;WAIT&gt;&lt;SPEAKER&gt;I would love to say
he will never leave Rivertown...&lt;WAIT&gt;&lt;SPEAKER&gt;but I know this man.
That is never going to happen.</x:v>
      </x:c>
      <x:c r="F571" s="20" t="str"/>
      <x:c r="G571" s="20" t="str"/>
      <x:c r="H571" s="23" t="str">
        <x:v>SPEAKER NEWLINE WAIT SPEAKER NEWLINE WAIT SPEAKER NEWLINE END</x:v>
      </x:c>
      <x:c r="I571" s="23" t="str">
        <x:v>EA:877E</x:v>
      </x:c>
      <x:c r="J571" s="23" t="str">
        <x:v>CC 49 01 77 69 6C 6C 01 6E 65 76 65 72 01 6C 65 74 C8 53 61 6A 69 6B 01 6F 75 74 01 6F 66 01 6D 79 01 73 69 67 68 74 01 61 67 61 69 6E 21 C5 CC 49 01 77 6F 75 6C 64 01 6C 6F 76 65 01 74 6F 01 73 61 79 C8 68 65 01 77 69 6C 6C 01 6E 65 76 65 72 01 6C 65 61 76 65 01 52 69 76 65 72 74 6F 77 6E 2E 2E 2E C5 CC 62 75 74 01 49 01 6B 6E 6F 77 01 74 68 69 73 01 6D 61 6E 2E C8 54 68 61 74 01 69 73 01 6E 65 76 65 72 01 67 6F 69 6E 67 01 74 6F 01 68 61 70 70 65 6E 2E C0</x:v>
      </x:c>
      <x:c r="K571" s="23" t="str">
        <x:v>1CC 03B 01F 01B 001 032 012 001 04C 084 04D 049 03C 1C8 029 024 01B 02E 01D 03D 03B 07A 1C5 1CC 069 084 05B 078 051 044 06F 015 036 001 011 03E 083 02D 032 1C8 01E 023 025 001 106 01B 02E 01D 03D 07A 1C8 081 081 081 023 001 011 011 01F 011 023 019 03A 084 022 01C 084 015 1C5 1CC 019 028 091 029 1C8 01E 012 011 012 02B 012 025 029 001 016 03E 023 1C8 024 036 024 011 084 022 01B 041 012 027 081 081 081 1C0</x:v>
      </x:c>
    </x:row>
    <x:row r="572">
      <x:c r="A572" s="22" t="str">
        <x:f>"02"</x:f>
        <x:v>02</x:v>
      </x:c>
      <x:c r="B572" s="22" t="str">
        <x:f>"3A"</x:f>
        <x:v>3A</x:v>
      </x:c>
      <x:c r="C572" s="22" t="str">
        <x:f>"0x023A"</x:f>
        <x:v>0x023A</x:v>
      </x:c>
      <x:c r="D572" s="21" t="str">
        <x:v>&lt;SPEAKER&gt;「ええっ? ジェイビーに
だまされた? まあ! なんて
ひれつな やつなんでしょう!</x:v>
      </x:c>
      <x:c r="E572" s="19" t="str">
        <x:v>&lt;SPEAKER&gt;What? J.B. tricked
him? What a vile creature!</x:v>
      </x:c>
      <x:c r="F572" s="20" t="str"/>
      <x:c r="G572" s="20" t="str"/>
      <x:c r="H572" s="23" t="str">
        <x:v>SPEAKER NEWLINE END</x:v>
      </x:c>
      <x:c r="I572" s="23" t="str">
        <x:v>EA:8818</x:v>
      </x:c>
      <x:c r="J572" s="23" t="str">
        <x:v>CC 57 68 61 74 3F 01 4A 2E 42 2E 01 74 72 69 63 6B 65 64 C8 68 69 6D 3F 01 57 68 61 74 01 61 01 76 69 6C 65 01 63 72 65 61 74 75 72 65 21 C0</x:v>
      </x:c>
      <x:c r="K572" s="23" t="str">
        <x:v>1CC 013 013 03E 079 001 084 04D 076 043 084 05C 078 025 1C8 084 01F 02E 01A 039 01F 079 001 02E 010 07A 001 024 03D 022 1C8 02A 039 021 024 001 033 021 024 03D 084 022 01B 041 012 07A 1C0</x:v>
      </x:c>
    </x:row>
    <x:row r="573">
      <x:c r="A573" s="22" t="str">
        <x:f>"02"</x:f>
        <x:v>02</x:v>
      </x:c>
      <x:c r="B573" s="22" t="str">
        <x:f>"3B"</x:f>
        <x:v>3B</x:v>
      </x:c>
      <x:c r="C573" s="22" t="str">
        <x:f>"0x023B"</x:f>
        <x:v>0x023B</x:v>
      </x:c>
      <x:c r="D573" s="21" t="str">
        <x:v>&lt;SPEAKER&gt;「ごめんなさい 主人は
気を うしなうと
なかなか 目を さまさないんです</x:v>
      </x:c>
      <x:c r="E573" s="19" t="str">
        <x:v>&lt;SPEAKER&gt;I am sorry. When
my husband passes out, he
takes forever to wake up.</x:v>
      </x:c>
      <x:c r="F573" s="20" t="str"/>
      <x:c r="G573" s="20" t="str"/>
      <x:c r="H573" s="23" t="str">
        <x:v>SPEAKER NEWLINE NEWLINE END</x:v>
      </x:c>
      <x:c r="I573" s="23" t="str">
        <x:v>EA:8847</x:v>
      </x:c>
      <x:c r="J573" s="23" t="str">
        <x:v>CC 49 01 61 6D 01 73 6F 72 72 79 2E 01 57 68 65 6E C8 6D 79 01 68 75 73 62 61 6E 64 01 70 61 73 73 65 73 01 6F 75 74 2C 01 68 65 C8 74 61 6B 65 73 01 66 6F 72 65 76 65 72 01 74 6F 01 77 61 6B 65 01 75 70 2E C0</x:v>
      </x:c>
      <x:c r="K573" s="23" t="str">
        <x:v>1CC 084 019 031 03D 024 01A 011 001 12C 091 029 1C8 099 03C 001 012 01B 024 012 023 1C8 024 015 024 015 001 0B6 03C 001 01A 02E 01A 024 011 03D 084 022 01C 1C0</x:v>
      </x:c>
    </x:row>
    <x:row r="574">
      <x:c r="A574" s="22" t="str">
        <x:f>"02"</x:f>
        <x:v>02</x:v>
      </x:c>
      <x:c r="B574" s="22" t="str">
        <x:f>"3C"</x:f>
        <x:v>3C</x:v>
      </x:c>
      <x:c r="C574" s="22" t="str">
        <x:f>"0x023C"</x:f>
        <x:v>0x023C</x:v>
      </x:c>
      <x:c r="D574" s="21" t="str">
        <x:v>&lt;SPEAKER&gt;「いやいや けっこう
せいりするのも 大変じゃ!&lt;WAIT&gt;&lt;SPEAKER&gt;「こしが ぬけるまで
そうこせいりを しますから
この島を すくっておくれ!&lt;WAIT&gt;&lt;SPEAKER&gt;「なにか おいりようの物が
おありかな?</x:v>
      </x:c>
      <x:c r="E574" s="19" t="str">
        <x:v>&lt;SPEAKER&gt;Whew! Sorting this
place is harder than it looks!&lt;WAIT&gt;&lt;SPEAKER&gt;I will keep at it
until my back gives out,
so you save this island!&lt;WAIT&gt;&lt;SPEAKER&gt;Need anything today?</x:v>
      </x:c>
      <x:c r="F574" s="20" t="str"/>
      <x:c r="G574" s="20" t="str"/>
      <x:c r="H574" s="23" t="str">
        <x:v>SPEAKER NEWLINE WAIT SPEAKER NEWLINE NEWLINE WAIT SPEAKER END</x:v>
      </x:c>
      <x:c r="I574" s="23" t="str">
        <x:v>EA:888D</x:v>
      </x:c>
      <x:c r="J574" s="23" t="str">
        <x:v>CC 57 68 65 77 21 01 53 6F 72 74 69 6E 67 01 74 68 69 73 C8 70 6C 61 63 65 01 69 73 01 68 61 72 64 65 72 01 74 68 61 6E 01 69 74 01 6C 6F 6F 6B 73 21 C5 CC 49 01 77 69 6C 6C 01 6B 65 65 70 01 61 74 01 69 74 C8 75 6E 74 69 6C 01 6D 79 01 62 61 63 6B 01 67 69 76 65 73 01 6F 75 74 2C C8 73 6F 01 79 6F 75 01 73 61 76 65 01 74 68 69 73 01 69 73 6C 61 6E 64 21 C5 CC 4E 65 65 64 01 61 6E 79 74 68 69 6E 67 01 74 6F 64 61 79 3F C0</x:v>
      </x:c>
      <x:c r="K574" s="23" t="str">
        <x:v>1CC 011 033 011 033 001 018 03E 019 012 1C8 01D 011 037 01C 038 028 032 001 0AC 178 084 01B 03F 07A 1C5 1CC 019 01B 084 015 001 026 018 038 02E 084 022 1C8 01E 012 019 01D 011 037 03C 001 01B 02E 01C 015 036 1C8 019 028 08A 03C 001 01C 017 03E 022 014 017 039 07A 1C5 1CC 024 025 015 001 014 011 037 035 012 028 08B 084 015 1C8 014 010 037 015 024 079 1C0</x:v>
      </x:c>
    </x:row>
    <x:row r="575">
      <x:c r="A575" s="22" t="str">
        <x:f>"02"</x:f>
        <x:v>02</x:v>
      </x:c>
      <x:c r="B575" s="22" t="str">
        <x:f>"3D"</x:f>
        <x:v>3D</x:v>
      </x:c>
      <x:c r="C575" s="22" t="str">
        <x:f>"0x023D"</x:f>
        <x:v>0x023D</x:v>
      </x:c>
      <x:c r="D575" s="21" t="str">
        <x:v>&lt;SPEAKER&gt;「とんでもねえぜ! あの城は!&lt;WAIT&gt;&lt;SPEAKER&gt;「おれも 世界を またにかけた
冒険男だが こんな ひでえ
ところは はじめてだぜ!</x:v>
      </x:c>
      <x:c r="E575" s="19" t="str">
        <x:v>&lt;SPEAKER&gt;That castle is insane!&lt;WAIT&gt;&lt;SPEAKER&gt;I have traveled the
whole world, but I have never
seen a place that awful!</x:v>
      </x:c>
      <x:c r="F575" s="20" t="str"/>
      <x:c r="G575" s="20" t="str"/>
      <x:c r="H575" s="23" t="str">
        <x:v>SPEAKER WAIT SPEAKER NEWLINE NEWLINE END</x:v>
      </x:c>
      <x:c r="I575" s="23" t="str">
        <x:v>EA:891B</x:v>
      </x:c>
      <x:c r="J575" s="23" t="str">
        <x:v>CC 54 68 61 74 01 63 61 73 74 6C 65 01 69 73 01 69 6E 73 61 6E 65 21 C5 CC 49 01 68 61 76 65 01 74 72 61 76 65 6C 65 64 01 74 68 65 C8 77 68 6F 6C 65 01 77 6F 72 6C 64 2C 01 62 75 74 01 49 01 68 61 76 65 01 6E 65 76 65 72 C8 73 65 65 6E 01 61 01 70 6C 61 63 65 01 74 68 61 74 01 61 77 66 75 6C 21 C0</x:v>
      </x:c>
      <x:c r="K575" s="23" t="str">
        <x:v>1CC 023 03D 084 022 032 027 013 084 01D 07A 001 010 028 08C 029 07A 1C5 1CC 014 039 032 001 0A9 103 03C 001 02E 01F 025 015 018 01F 1C8 0BA 0BB 190 084 01F 084 015 001 019 03D 024 001 02A 084 022 013 1C8 023 019 03A 029 001 029 084 01B 031 022 084 01F 084 01D 07A 1C0</x:v>
      </x:c>
    </x:row>
    <x:row r="576">
      <x:c r="A576" s="22" t="str">
        <x:f>"02"</x:f>
        <x:v>02</x:v>
      </x:c>
      <x:c r="B576" s="22" t="str">
        <x:f>"3E"</x:f>
        <x:v>3E</x:v>
      </x:c>
      <x:c r="C576" s="22" t="str">
        <x:f>"0x023E"</x:f>
        <x:v>0x023E</x:v>
      </x:c>
      <x:c r="D576" s="21" t="str">
        <x:v>&lt;SPEAKER&gt;「入場券は買ったものの
いざとなると びびっちゃって
なかなか 入れないんですよ&lt;WAIT&gt;&lt;SPEAKER&gt;「ここで きねん写真でも
うつして かえろうかなあ うーん</x:v>
      </x:c>
      <x:c r="E576" s="19" t="str">
        <x:v>&lt;SPEAKER&gt;I bought an
admission ticket, but now
I am too scared to enter.&lt;WAIT&gt;&lt;SPEAKER&gt;Maybe I will just take a
souvenir photo here and go home.</x:v>
      </x:c>
      <x:c r="F576" s="20" t="str"/>
      <x:c r="G576" s="20" t="str"/>
      <x:c r="H576" s="23" t="str">
        <x:v>SPEAKER NEWLINE NEWLINE WAIT SPEAKER NEWLINE END</x:v>
      </x:c>
      <x:c r="I576" s="23" t="str">
        <x:v>EA:897F</x:v>
      </x:c>
      <x:c r="J576" s="23" t="str">
        <x:v>CC 49 01 62 6F 75 67 68 74 01 61 6E C8 61 64 6D 69 73 73 69 6F 6E 01 74 69 63 6B 65 74 2C 01 62 75 74 01 6E 6F 77 C8 49 01 61 6D 01 74 6F 6F 01 73 63 61 72 65 64 01 74 6F 01 65 6E 74 65 72 2E C5 CC 4D 61 79 62 65 01 49 01 77 69 6C 6C 01 6A 75 73 74 01 74 61 6B 65 01 61 C8 73 6F 75 76 65 6E 69 72 01 70 68 6F 74 6F 01 68 65 72 65 01 61 6E 64 01 67 6F 01 68 6F 6D 65 2E C0</x:v>
      </x:c>
      <x:c r="K576" s="23" t="str">
        <x:v>1CC 08E 0A5 0E1 029 0A8 03E 01F 032 028 028 1C8 011 084 01A 023 024 038 023 001 084 02A 084 02A 03E 020 03F 03E 022 1C8 024 015 024 015 001 08E 039 024 011 03D 084 022 01C 035 1C5 1CC 019 019 084 022 001 016 027 03D 0C1 0BD 084 022 032 1C8 012 021 01B 022 001 015 013 03A 012 015 024 010 001 012 078 03D 1C0</x:v>
      </x:c>
    </x:row>
    <x:row r="577">
      <x:c r="A577" s="22" t="str">
        <x:f>"02"</x:f>
        <x:v>02</x:v>
      </x:c>
      <x:c r="B577" s="22" t="str">
        <x:f>"3F"</x:f>
        <x:v>3F</x:v>
      </x:c>
      <x:c r="C577" s="22" t="str">
        <x:f>"0x023F"</x:f>
        <x:v>0x023F</x:v>
      </x:c>
      <x:c r="D577" s="21" t="str">
        <x:v>&lt;SPEAKER&gt;「サジクも この城から 島の
北側に いったのかな? うーむ
あいつ ゆうきあるのう!</x:v>
      </x:c>
      <x:c r="E577" s="19" t="str">
        <x:v>&lt;SPEAKER&gt;Did Sajik go through
this castle to reach the north
side too? That man has courage.</x:v>
      </x:c>
      <x:c r="F577" s="20" t="str"/>
      <x:c r="G577" s="20" t="str"/>
      <x:c r="H577" s="23" t="str">
        <x:v>SPEAKER NEWLINE NEWLINE END</x:v>
      </x:c>
      <x:c r="I577" s="23" t="str">
        <x:v>EA:89FB</x:v>
      </x:c>
      <x:c r="J577" s="23" t="str">
        <x:v>CC 44 69 64 01 53 61 6A 69 6B 01 67 6F 01 74 68 72 6F 75 67 68 C8 74 68 69 73 01 63 61 73 74 6C 65 01 74 6F 01 72 65 61 63 68 01 74 68 65 01 6E 6F 72 74 68 C8 73 69 64 65 01 74 6F 6F 3F 01 54 68 61 74 01 6D 61 6E 01 68 61 73 01 63 6F 75 72 61 67 65 2E C0</x:v>
      </x:c>
      <x:c r="K577" s="23" t="str">
        <x:v>1CC 04C 084 04D 049 032 001 019 028 08C 015 036 001 08A 028 1C8 09C 0BE 025 001 011 03E 01F 028 015 024 079 001 012 078 030 1C8 010 011 021 001 034 012 016 010 038 028 012 07A 1C0</x:v>
      </x:c>
    </x:row>
    <x:row r="578">
      <x:c r="A578" s="22" t="str">
        <x:f>"02"</x:f>
        <x:v>02</x:v>
      </x:c>
      <x:c r="B578" s="22" t="str">
        <x:f>"40"</x:f>
        <x:v>40</x:v>
      </x:c>
      <x:c r="C578" s="22" t="str">
        <x:f>"0x0240"</x:f>
        <x:v>0x0240</x:v>
      </x:c>
      <x:c r="D578" s="21" t="str">
        <x:v>&lt;SPEAKER&gt;「ここは バロン城の入り口です
入場料は お一人さま
50エンドルと なっております&lt;WAIT&gt;&lt;SPEAKER&gt;「ご入場なさいますか?</x:v>
      </x:c>
      <x:c r="E578" s="19" t="str">
        <x:v>&lt;SPEAKER&gt;This is the Baron
Castle gate. Admission
is 50 Endol per person.&lt;WAIT&gt;&lt;SPEAKER&gt;Would you like to enter?</x:v>
      </x:c>
      <x:c r="F578" s="20" t="str"/>
      <x:c r="G578" s="20" t="str"/>
      <x:c r="H578" s="23" t="str">
        <x:v>SPEAKER NEWLINE NEWLINE WAIT SPEAKER END</x:v>
      </x:c>
      <x:c r="I578" s="23" t="str">
        <x:v>EA:8A50</x:v>
      </x:c>
      <x:c r="J578" s="23" t="str">
        <x:v>CC 54 68 69 73 01 69 73 01 74 68 65 01 42 61 72 6F 6E C8 43 61 73 74 6C 65 01 67 61 74 65 2E 01 41 64 6D 69 73 73 69 6F 6E C8 69 73 01 35 30 01 45 6E 64 6F 6C 01 70 65 72 01 70 65 72 73 6F 6E 2E C5 CC 57 6F 75 6C 64 01 79 6F 75 01 6C 69 6B 65 01 74 6F 01 65 6E 74 65 72 3F C0</x:v>
      </x:c>
      <x:c r="K578" s="23" t="str">
        <x:v>1CC 019 019 029 001 084 05B 06C 06F 08C 028 08E 037 167 084 022 01C 1C8 08E 0A5 101 029 001 014 0AF 091 01A 02E 1C8 007 002 045 06F 084 055 06A 023 001 024 03E 022 014 037 02E 01C 1C5 1CC 084 019 08E 0A5 024 01A 011 02E 01C 015 079 1C0</x:v>
      </x:c>
    </x:row>
    <x:row r="579">
      <x:c r="A579" s="22" t="str">
        <x:f>"02"</x:f>
        <x:v>02</x:v>
      </x:c>
      <x:c r="B579" s="22" t="str">
        <x:f>"41"</x:f>
        <x:v>41</x:v>
      </x:c>
      <x:c r="C579" s="22" t="str">
        <x:f>"0x0241"</x:f>
        <x:v>0x0241</x:v>
      </x:c>
      <x:c r="D579" s="21" t="str">
        <x:v>&lt;SPEAKER&gt;「はいよっ! これ入場券だよ!
一度 買えば 何回でも
出入り できるからね!</x:v>
      </x:c>
      <x:c r="E579" s="19" t="str">
        <x:v>&lt;SPEAKER&gt;Here is your admission
ticket! Buy it once and you can
enter as many times as you like!</x:v>
      </x:c>
      <x:c r="F579" s="20" t="str"/>
      <x:c r="G579" s="20" t="str"/>
      <x:c r="H579" s="23" t="str">
        <x:v>SPEAKER NEWLINE NEWLINE END</x:v>
      </x:c>
      <x:c r="I579" s="23" t="str">
        <x:v>EA:8AAC</x:v>
      </x:c>
      <x:c r="J579" s="23" t="str">
        <x:v>CC 48 65 72 65 01 69 73 01 79 6F 75 72 01 61 64 6D 69 73 73 69 6F 6E C8 74 69 63 6B 65 74 21 01 42 75 79 01 69 74 01 6F 6E 63 65 01 61 6E 64 01 79 6F 75 01 63 61 6E C8 65 6E 74 65 72 01 61 73 01 6D 61 6E 79 01 74 69 6D 65 73 01 61 73 01 79 6F 75 01 6C 69 6B 65 21 C0</x:v>
      </x:c>
      <x:c r="K579" s="23" t="str">
        <x:v>1CC 029 011 035 03E 07A 001 019 039 08E 0A5 0E1 084 01F 035 07A 1C8 0AF 13E 001 0A8 013 084 029 001 093 169 084 022 032 1C8 106 08E 037 001 084 022 016 038 015 036 027 07A 1C0</x:v>
      </x:c>
    </x:row>
    <x:row r="580">
      <x:c r="A580" s="22" t="str">
        <x:f>"02"</x:f>
        <x:v>02</x:v>
      </x:c>
      <x:c r="B580" s="22" t="str">
        <x:f>"42"</x:f>
        <x:v>42</x:v>
      </x:c>
      <x:c r="C580" s="22" t="str">
        <x:f>"0x0242"</x:f>
        <x:v>0x0242</x:v>
      </x:c>
      <x:c r="D580" s="21" t="str">
        <x:v>&lt;SPEAKER&gt;「城にはいったら じいさんに
こえを かけてごらん!&lt;WAIT&gt;&lt;SPEAKER&gt;「城の中を あんないして
もらえるかも しれませんぜ!</x:v>
      </x:c>
      <x:c r="E580" s="19" t="str">
        <x:v>&lt;SPEAKER&gt;Once you are inside,
try talking to the old man.&lt;WAIT&gt;&lt;SPEAKER&gt;He might give
you a tour of the castle!</x:v>
      </x:c>
      <x:c r="F580" s="20" t="str"/>
      <x:c r="G580" s="20" t="str"/>
      <x:c r="H580" s="23" t="str">
        <x:v>SPEAKER NEWLINE WAIT SPEAKER NEWLINE END</x:v>
      </x:c>
      <x:c r="I580" s="23" t="str">
        <x:v>EA:8B05</x:v>
      </x:c>
      <x:c r="J580" s="23" t="str">
        <x:v>CC 4F 6E 63 65 01 79 6F 75 01 61 72 65 01 69 6E 73 69 64 65 2C C8 74 72 79 01 74 61 6C 6B 69 6E 67 01 74 6F 01 74 68 65 01 6F 6C 64 01 6D 61 6E 2E C5 CC 48 65 01 6D 69 67 68 74 01 67 69 76 65 C8 79 6F 75 01 61 01 74 6F 75 72 01 6F 66 01 74 68 65 01 63 61 73 74 6C 65 21 C0</x:v>
      </x:c>
      <x:c r="K580" s="23" t="str">
        <x:v>1CC 08C 025 029 011 03E 01F 036 001 084 01B 011 01A 03D 025 1C8 019 013 03C 001 015 018 022 084 019 036 03D 07A 1C5 1CC 08C 028 0A1 03C 001 010 03D 024 011 01B 022 1C8 032 036 013 038 015 032 001 01B 039 02E 01D 03D 084 01D 07A 1C0</x:v>
      </x:c>
    </x:row>
    <x:row r="581">
      <x:c r="A581" s="22" t="str">
        <x:f>"02"</x:f>
        <x:v>02</x:v>
      </x:c>
      <x:c r="B581" s="22" t="str">
        <x:f>"43"</x:f>
        <x:v>43</x:v>
      </x:c>
      <x:c r="C581" s="22" t="str">
        <x:f>"0x0243"</x:f>
        <x:v>0x0243</x:v>
      </x:c>
      <x:c r="D581" s="21" t="str">
        <x:v>&lt;SPEAKER&gt;「ありゃりゃ お嬢さん!
にもつがいっぱいで 入場券が
わたせないですぜ!</x:v>
      </x:c>
      <x:c r="E581" s="19" t="str">
        <x:v>&lt;SPEAKER&gt;Oh dear, young lady!
Your bags are too full for
me to hand you the ticket!</x:v>
      </x:c>
      <x:c r="F581" s="20" t="str"/>
      <x:c r="G581" s="20" t="str"/>
      <x:c r="H581" s="23" t="str">
        <x:v>SPEAKER NEWLINE NEWLINE END</x:v>
      </x:c>
      <x:c r="I581" s="23" t="str">
        <x:v>EA:8B60</x:v>
      </x:c>
      <x:c r="J581" s="23" t="str">
        <x:v>CC 4F 68 01 64 65 61 72 2C 01 79 6F 75 6E 67 01 6C 61 64 79 21 C8 59 6F 75 72 01 62 61 67 73 01 61 72 65 01 74 6F 6F 01 66 75 6C 6C 01 66 6F 72 C8 6D 65 01 74 6F 01 68 61 6E 64 01 79 6F 75 01 74 68 65 01 74 69 63 6B 65 74 21 C0</x:v>
      </x:c>
      <x:c r="K581" s="23" t="str">
        <x:v>1CC 010 037 03F 037 03F 001 014 0D8 01A 03D 07A 1C8 025 032 021 084 015 011 03E 083 029 011 084 022 001 08E 0A5 0E1 084 015 1C8 03B 01F 01D 024 011 084 022 01C 084 01D 07A 1C0</x:v>
      </x:c>
    </x:row>
    <x:row r="582">
      <x:c r="A582" s="22" t="str">
        <x:f>"02"</x:f>
        <x:v>02</x:v>
      </x:c>
      <x:c r="B582" s="22" t="str">
        <x:f>"44"</x:f>
        <x:v>44</x:v>
      </x:c>
      <x:c r="C582" s="22" t="str">
        <x:f>"0x0244"</x:f>
        <x:v>0x0244</x:v>
      </x:c>
      <x:c r="D582" s="21" t="str">
        <x:v>&lt;SPEAKER&gt;「ごまかしは だめですぜ!
お金が たりないようですな</x:v>
      </x:c>
      <x:c r="E582" s="19" t="str">
        <x:v>&lt;SPEAKER&gt;No tricks, now! You
do not have enough money.</x:v>
      </x:c>
      <x:c r="F582" s="20" t="str"/>
      <x:c r="G582" s="20" t="str"/>
      <x:c r="H582" s="23" t="str">
        <x:v>SPEAKER NEWLINE END</x:v>
      </x:c>
      <x:c r="I582" s="23" t="str">
        <x:v>EA:8BAC</x:v>
      </x:c>
      <x:c r="J582" s="23" t="str">
        <x:v>CC 4E 6F 01 74 72 69 63 6B 73 2C 01 6E 6F 77 21 01 59 6F 75 C8 64 6F 01 6E 6F 74 01 68 61 76 65 01 65 6E 6F 75 67 68 01 6D 6F 6E 65 79 2E C0</x:v>
      </x:c>
      <x:c r="K582" s="23" t="str">
        <x:v>1CC 084 019 02E 015 01B 029 001 084 01F 031 084 022 01C 084 01D 07A 1C8 014 094 084 015 001 01F 037 024 011 035 012 084 022 01C 024 1C0</x:v>
      </x:c>
    </x:row>
    <x:row r="583">
      <x:c r="A583" s="22" t="str">
        <x:f>"02"</x:f>
        <x:v>02</x:v>
      </x:c>
      <x:c r="B583" s="22" t="str">
        <x:f>"45"</x:f>
        <x:v>45</x:v>
      </x:c>
      <x:c r="C583" s="22" t="str">
        <x:f>"0x0245"</x:f>
        <x:v>0x0245</x:v>
      </x:c>
      <x:c r="D583" s="21" t="str">
        <x:v>&lt;SPEAKER&gt;「え そうですかい</x:v>
      </x:c>
      <x:c r="E583" s="19" t="str">
        <x:v>&lt;SPEAKER&gt;Oh. Very well.</x:v>
      </x:c>
      <x:c r="F583" s="20" t="str"/>
      <x:c r="G583" s="20" t="str"/>
      <x:c r="H583" s="23" t="str">
        <x:v>SPEAKER END</x:v>
      </x:c>
      <x:c r="I583" s="23" t="str">
        <x:v>EA:8BDB</x:v>
      </x:c>
      <x:c r="J583" s="23" t="str">
        <x:v>CC 4F 68 2E 01 56 65 72 79 01 77 65 6C 6C 2E C0</x:v>
      </x:c>
      <x:c r="K583" s="23" t="str">
        <x:v>1CC 013 001 01E 012 084 022 01C 015 011 1C0</x:v>
      </x:c>
    </x:row>
    <x:row r="584">
      <x:c r="A584" s="22" t="str">
        <x:f>"02"</x:f>
        <x:v>02</x:v>
      </x:c>
      <x:c r="B584" s="22" t="str">
        <x:f>"46"</x:f>
        <x:v>46</x:v>
      </x:c>
      <x:c r="C584" s="22" t="str">
        <x:f>"0x0246"</x:f>
        <x:v>0x0246</x:v>
      </x:c>
      <x:c r="D584" s="21" t="str">
        <x:v>&lt;SPEAKER&gt;「一説によると このバロン城の
地下ふかくに 水道があるらしいんだ&lt;WAIT&gt;&lt;SPEAKER&gt;「水道は 島の はるか北の
デスバレー鉱山に 流れていくらしい</x:v>
      </x:c>
      <x:c r="E584" s="19" t="str">
        <x:v>&lt;SPEAKER&gt;One account says
there is a waterway far
beneath Baron Castle.&lt;WAIT&gt;&lt;SPEAKER&gt;It supposedly flows
north all the way to
the mine in Deathvalley.</x:v>
      </x:c>
      <x:c r="F584" s="20" t="str"/>
      <x:c r="G584" s="20" t="str"/>
      <x:c r="H584" s="23" t="str">
        <x:v>SPEAKER NEWLINE NEWLINE WAIT SPEAKER NEWLINE NEWLINE END</x:v>
      </x:c>
      <x:c r="I584" s="23" t="str">
        <x:v>EA:8BEB</x:v>
      </x:c>
      <x:c r="J584" s="23" t="str">
        <x:v>CC 4F 6E 65 01 61 63 63 6F 75 6E 74 01 73 61 79 73 C8 74 68 65 72 65 01 69 73 01 61 01 77 61 74 65 72 77 61 79 01 66 61 72 C8 62 65 6E 65 61 74 68 01 42 61 72 6F 6E 01 43 61 73 74 6C 65 2E C5 CC 49 74 01 73 75 70 70 6F 73 65 64 6C 79 01 66 6C 6F 77 73 C8 6E 6F 72 74 68 01 61 6C 6C 01 74 68 65 01 77 61 79 01 74 6F C8 74 68 65 01 6D 69 6E 65 01 69 6E 01 44 65 61 74 68 76 61 6C 6C 65 79 2E C0</x:v>
      </x:c>
      <x:c r="K584" s="23" t="str">
        <x:v>1CC 0AF 08F 025 035 038 023 001 019 028 084 05B 06C 06F 08C 028 1C8 0D5 0B8 02B 015 017 025 001 0B2 0C7 084 015 010 038 036 01B 011 03D 084 01F 1C5 1CC 0B2 0C7 029 001 08A 028 001 029 038 015 09C 028 1C8 084 054 04E 084 05B 06B 078 10B 10C 025 001 198 039 022 011 017 036 01B 011 1C0</x:v>
      </x:c>
    </x:row>
    <x:row r="585">
      <x:c r="A585" s="22" t="str">
        <x:f>"02"</x:f>
        <x:v>02</x:v>
      </x:c>
      <x:c r="B585" s="22" t="str">
        <x:f>"47"</x:f>
        <x:v>47</x:v>
      </x:c>
      <x:c r="C585" s="22" t="str">
        <x:f>"0x0247"</x:f>
        <x:v>0x0247</x:v>
      </x:c>
      <x:c r="D585" s="21" t="str">
        <x:v>&lt;SPEAKER&gt;「かーちゃんに おこられるから
なにかを買って 宝を
みつけたことにしよう</x:v>
      </x:c>
      <x:c r="E585" s="19" t="str">
        <x:v>&lt;SPEAKER&gt;Mom will yell at me.
I will buy something and
pretend I found treasure.</x:v>
      </x:c>
      <x:c r="F585" s="20" t="str"/>
      <x:c r="G585" s="20" t="str"/>
      <x:c r="H585" s="23" t="str">
        <x:v>SPEAKER NEWLINE NEWLINE END</x:v>
      </x:c>
      <x:c r="I585" s="23" t="str">
        <x:v>EA:8C6E</x:v>
      </x:c>
      <x:c r="J585" s="23" t="str">
        <x:v>CC 4D 6F 6D 01 77 69 6C 6C 01 79 65 6C 6C 01 61 74 01 6D 65 2E C8 49 01 77 69 6C 6C 01 62 75 79 01 73 6F 6D 65 74 68 69 6E 67 01 61 6E 64 C8 70 72 65 74 65 6E 64 01 49 01 66 6F 75 6E 64 01 74 72 65 61 73 75 72 65 2E C0</x:v>
      </x:c>
      <x:c r="K585" s="23" t="str">
        <x:v>1CC 015 078 020 03F 03D 025 001 014 019 036 039 038 015 036 1C8 024 025 015 03C 0A8 03E 022 001 095 03C 1C8 02F 021 018 01F 019 023 025 01B 035 012 1C0</x:v>
      </x:c>
    </x:row>
    <x:row r="586">
      <x:c r="A586" s="22" t="str">
        <x:f>"02"</x:f>
        <x:v>02</x:v>
      </x:c>
      <x:c r="B586" s="22" t="str">
        <x:f>"48"</x:f>
        <x:v>48</x:v>
      </x:c>
      <x:c r="C586" s="22" t="str">
        <x:f>"0x0248"</x:f>
        <x:v>0x0248</x:v>
      </x:c>
      <x:c r="D586" s="21" t="str">
        <x:v>&lt;SPEAKER&gt;「ブルブルブル 城の とちゅうまで
なんとか たどりついたんだけど
み み 見たんだ で で で で&lt;WAIT&gt;&lt;SPEAKER&gt;「で 伝説の でかい モンスターを
た たしかに 見たんだよ ほんと
し しかも 生きていたんだよー&lt;WAIT&gt;&lt;SPEAKER&gt;「し しんじてくれよー こわいよー
ブルブル こわいよー ブルブル</x:v>
      </x:c>
      <x:c r="E586" s="19" t="str">
        <x:v>&lt;SPEAKER&gt;Sh-sh-shiver... I
made it partway into the
castle, and I-I-I saw it!&lt;WAIT&gt;&lt;SPEAKER&gt;A legendary giant monster!
I really saw it! It was alive!&lt;WAIT&gt;&lt;SPEAKER&gt;Please believe me!
It was terrifying! Shiver...</x:v>
      </x:c>
      <x:c r="F586" s="20" t="str"/>
      <x:c r="G586" s="20" t="str"/>
      <x:c r="H586" s="23" t="str">
        <x:v>SPEAKER NEWLINE NEWLINE WAIT SPEAKER NEWLINE WAIT SPEAKER NEWLINE END</x:v>
      </x:c>
      <x:c r="I586" s="23" t="str">
        <x:v>EA:8CB7</x:v>
      </x:c>
      <x:c r="J586" s="23" t="str">
        <x:v>CC 53 68 2D 73 68 2D 73 68 69 76 65 72 2E 2E 2E 01 49 C8 6D 61 64 65 01 69 74 01 70 61 72 74 77 61 79 01 69 6E 74 6F 01 74 68 65 C8 63 61 73 74 6C 65 2C 01 61 6E 64 01 49 2D 49 2D 49 01 73 61 77 01 69 74 21 C5 CC 41 01 6C 65 67 65 6E 64 61 72 79 01 67 69 61 6E 74 01 6D 6F 6E 73 74 65 72 21 C8 49 01 72 65 61 6C 6C 79 01 73 61 77 01 69 74 21 01 49 74 01 77 61 73 01 61 6C 69 76 65 21 C5 CC 50 6C 65 61 73 65 01 62 65 6C 69 65 76 65 01 6D 65 21 C8 49 74 01 77 61 73 01 74 65 72 72 69 66 79 69 6E 67 21 01 53 68 69 76 65 72 2E 2E 2E C0</x:v>
      </x:c>
      <x:c r="K586" s="23" t="str">
        <x:v>1CC 084 05D 06A 084 05D 06A 084 05D 06A 001 08C 028 001 023 020 040 012 02E 084 022 1C8 024 03D 023 015 001 01F 084 023 037 021 011 01F 03D 084 01F 018 084 023 1C8 02F 001 02F 001 090 01F 03D 084 01F 001 084 022 001 084 022 001 084 022 001 084 022 1C5 1CC 084 022 001 092 08F 028 001 084 022 015 011 001 064 06F 04E 051 078 03C 1C8 01F 001 01F 01B 015 025 001 090 01F 03D 084 01F 035 001 02D 03D 023 1C8 01B 001 01B 015 032 001 09B 016 022 011 01F 03D 084 01F 035 078 1C5 1CC 01B 001 01B 03D 084 01B 022 017 039 035 078 001 019 03B 011 035 078 1C8 084 05D 06A 084 05D 06A 001 019 03B 011 035 078 001 084 05D 06A 084 05D 06A 1C0</x:v>
      </x:c>
    </x:row>
    <x:row r="587">
      <x:c r="A587" s="22" t="str">
        <x:f>"02"</x:f>
        <x:v>02</x:v>
      </x:c>
      <x:c r="B587" s="22" t="str">
        <x:f>"49"</x:f>
        <x:v>49</x:v>
      </x:c>
      <x:c r="C587" s="22" t="str">
        <x:f>"0x0249"</x:f>
        <x:v>0x0249</x:v>
      </x:c>
      <x:c r="D587" s="21" t="str">
        <x:v>&lt;SPEAKER&gt;「どっかの こしぬけが 城の中で
伝説の でかい モンスターを
見たとか いってたな ふふん&lt;WAIT&gt;&lt;SPEAKER&gt;「ますます やる気が でてきたぞ
そいつを とっつかまえて
高く 売っぱらうか</x:v>
      </x:c>
      <x:c r="E587" s="19" t="str">
        <x:v>&lt;SPEAKER&gt;Some coward claims
he saw a legendary giant
monster inside the castle. Hah!&lt;WAIT&gt;&lt;SPEAKER&gt;Now I am even more
excited. I will catch the thing
and sell it for a fortune!</x:v>
      </x:c>
      <x:c r="F587" s="20" t="str"/>
      <x:c r="G587" s="20" t="str"/>
      <x:c r="H587" s="23" t="str">
        <x:v>SPEAKER NEWLINE NEWLINE WAIT SPEAKER NEWLINE NEWLINE END</x:v>
      </x:c>
      <x:c r="I587" s="23" t="str">
        <x:v>EA:8D69</x:v>
      </x:c>
      <x:c r="J587" s="23" t="str">
        <x:v>CC 53 6F 6D 65 01 63 6F 77 61 72 64 01 63 6C 61 69 6D 73 C8 68 65 01 73 61 77 01 61 01 6C 65 67 65 6E 64 61 72 79 01 67 69 61 6E 74 C8 6D 6F 6E 73 74 65 72 01 69 6E 73 69 64 65 01 74 68 65 01 63 61 73 74 6C 65 2E 01 48 61 68 21 C5 CC 4E 6F 77 01 49 01 61 6D 01 65 76 65 6E 01 6D 6F 72 65 C8 65 78 63 69 74 65 64 2E 01 49 01 77 69 6C 6C 01 63 61 74 63 68 01 74 68 65 01 74 68 69 6E 67 C8 61 6E 64 01 73 65 6C 6C 01 69 74 01 66 6F 72 01 61 01 66 6F 72 74 75 6E 65 21 C0</x:v>
      </x:c>
      <x:c r="K587" s="23" t="str">
        <x:v>1CC 084 023 03E 015 028 001 019 01B 026 018 084 015 001 08C 028 0A1 084 022 1C8 092 08F 028 001 084 022 015 011 001 064 06F 04E 051 078 03C 1C8 090 01F 023 015 001 011 03E 022 01F 024 001 02B 02B 03D 1C5 1CC 02E 01C 02E 01C 001 033 038 099 084 015 001 084 022 022 016 01F 084 01E 1C8 01E 011 021 03C 001 023 03E 021 015 02E 013 022 1C8 105 017 001 0A2 03E 083 029 036 012 015 1C0</x:v>
      </x:c>
    </x:row>
    <x:row r="588">
      <x:c r="A588" s="22" t="str">
        <x:f>"02"</x:f>
        <x:v>02</x:v>
      </x:c>
      <x:c r="B588" s="22" t="str">
        <x:f>"4A"</x:f>
        <x:v>4A</x:v>
      </x:c>
      <x:c r="C588" s="22" t="str">
        <x:f>"0x024A"</x:f>
        <x:v>0x024A</x:v>
      </x:c>
      <x:c r="D588" s="21" t="str">
        <x:v>&lt;SPEAKER&gt;「はいはい いまなら
サービスきかん だから
むりょう ですよ!&lt;WAIT&gt;&lt;SPEAKER&gt;「きねん写真 を とりますか?</x:v>
      </x:c>
      <x:c r="E588" s="19" t="str">
        <x:v>&lt;SPEAKER&gt;Sure, sure! It is
free during our promotion.&lt;WAIT&gt;&lt;SPEAKER&gt;Want a souvenir photo?</x:v>
      </x:c>
      <x:c r="F588" s="20" t="str"/>
      <x:c r="G588" s="20" t="str"/>
      <x:c r="H588" s="23" t="str">
        <x:v>SPEAKER NEWLINE WAIT SPEAKER END</x:v>
      </x:c>
      <x:c r="I588" s="23" t="str">
        <x:v>EA:8E05</x:v>
      </x:c>
      <x:c r="J588" s="23" t="str">
        <x:v>CC 53 75 72 65 2C 01 73 75 72 65 21 01 49 74 01 69 73 C8 66 72 65 65 01 64 75 72 69 6E 67 01 6F 75 72 01 70 72 6F 6D 6F 74 69 6F 6E 2E C5 CC 57 61 6E 74 01 61 01 73 6F 75 76 65 6E 69 72 01 70 68 6F 74 6F 3F C0</x:v>
      </x:c>
      <x:c r="K588" s="23" t="str">
        <x:v>1CC 029 011 029 011 001 011 02E 024 036 1C8 04C 078 084 05C 04E 016 015 03D 001 084 01F 015 036 1C8 030 037 041 012 001 084 022 01C 035 07A 1C5 1CC 016 027 03D 0C1 0BD 001 03C 001 023 037 02E 01C 015 079 1C0</x:v>
      </x:c>
    </x:row>
    <x:row r="589">
      <x:c r="A589" s="22" t="str">
        <x:f>"02"</x:f>
        <x:v>02</x:v>
      </x:c>
      <x:c r="B589" s="22" t="str">
        <x:f>"4B"</x:f>
        <x:v>4B</x:v>
      </x:c>
      <x:c r="C589" s="22" t="str">
        <x:f>"0x024B"</x:f>
        <x:v>0x024B</x:v>
      </x:c>
      <x:c r="D589" s="21" t="str">
        <x:v>&lt;SPEAKER&gt;「ほんじゃあ しょうめんの
冒険剣士の かお から
こっちを 見てください!</x:v>
      </x:c>
      <x:c r="E589" s="19" t="str">
        <x:v>&lt;SPEAKER&gt;All right. Face
forward and give me
your best adventurer look!</x:v>
      </x:c>
      <x:c r="F589" s="20" t="str"/>
      <x:c r="G589" s="20" t="str"/>
      <x:c r="H589" s="23" t="str">
        <x:v>SPEAKER NEWLINE NEWLINE END</x:v>
      </x:c>
      <x:c r="I589" s="23" t="str">
        <x:v>EA:8E4B</x:v>
      </x:c>
      <x:c r="J589" s="23" t="str">
        <x:v>CC 41 6C 6C 01 72 69 67 68 74 2E 01 46 61 63 65 C8 66 6F 72 77 61 72 64 01 61 6E 64 01 67 69 76 65 01 6D 65 C8 79 6F 75 72 01 62 65 73 74 01 61 64 76 65 6E 74 75 72 65 72 01 6C 6F 6F 6B 21 C0</x:v>
      </x:c>
      <x:c r="K589" s="23" t="str">
        <x:v>1CC 02D 03D 084 01B 03F 010 001 01B 041 012 031 03D 028 1C8 0BA 0BB 16D 13C 028 001 015 014 001 015 036 1C8 019 03E 020 03C 001 090 022 017 084 01F 01A 011 07A 1C0</x:v>
      </x:c>
    </x:row>
    <x:row r="590">
      <x:c r="A590" s="22" t="str">
        <x:f>"02"</x:f>
        <x:v>02</x:v>
      </x:c>
      <x:c r="B590" s="22" t="str">
        <x:f>"4C"</x:f>
        <x:v>4C</x:v>
      </x:c>
      <x:c r="C590" s="22" t="str">
        <x:f>"0x024C"</x:f>
        <x:v>0x024C</x:v>
      </x:c>
      <x:c r="D590" s="21" t="str">
        <x:v>&lt;SPEAKER&gt;「そうかい おれは
とっといたほうが
いいと 思うけどなー</x:v>
      </x:c>
      <x:c r="E590" s="19" t="str">
        <x:v>&lt;SPEAKER&gt;No? I think
you should get one.</x:v>
      </x:c>
      <x:c r="F590" s="20" t="str"/>
      <x:c r="G590" s="20" t="str"/>
      <x:c r="H590" s="23" t="str">
        <x:v>SPEAKER NEWLINE END</x:v>
      </x:c>
      <x:c r="I590" s="23" t="str">
        <x:v>EA:8E8B</x:v>
      </x:c>
      <x:c r="J590" s="23" t="str">
        <x:v>CC 4E 6F 3F 01 49 01 74 68 69 6E 6B C8 79 6F 75 01 73 68 6F 75 6C 64 01 67 65 74 01 6F 6E 65 2E C0</x:v>
      </x:c>
      <x:c r="K590" s="23" t="str">
        <x:v>1CC 01E 012 015 011 001 014 039 029 1C8 023 03E 023 011 01F 02D 012 084 015 1C8 011 011 023 001 10F 012 018 084 023 024 078 1C0</x:v>
      </x:c>
    </x:row>
    <x:row r="591">
      <x:c r="A591" s="22" t="str">
        <x:f>"02"</x:f>
        <x:v>02</x:v>
      </x:c>
      <x:c r="B591" s="22" t="str">
        <x:f>"4D"</x:f>
        <x:v>4D</x:v>
      </x:c>
      <x:c r="C591" s="22" t="str">
        <x:f>"0x024D"</x:f>
        <x:v>0x024D</x:v>
      </x:c>
      <x:c r="D591" s="21" t="str">
        <x:v>&lt;SPEAKER&gt;「できあがった きねん写真は
おうちに おくりますよ!&lt;WAIT&gt;&lt;SPEAKER&gt;「なにぶん げんぞうに えらい
時間が かかるもんでね!</x:v>
      </x:c>
      <x:c r="E591" s="19" t="str">
        <x:v>&lt;SPEAKER&gt;We will mail the
finished photo to your home.&lt;WAIT&gt;&lt;SPEAKER&gt;Developing it takes
an awfully long time, though!</x:v>
      </x:c>
      <x:c r="F591" s="20" t="str"/>
      <x:c r="G591" s="20" t="str"/>
      <x:c r="H591" s="23" t="str">
        <x:v>SPEAKER NEWLINE WAIT SPEAKER NEWLINE END</x:v>
      </x:c>
      <x:c r="I591" s="23" t="str">
        <x:v>EA:8EAC</x:v>
      </x:c>
      <x:c r="J591" s="23" t="str">
        <x:v>CC 57 65 01 77 69 6C 6C 01 6D 61 69 6C 01 74 68 65 C8 66 69 6E 69 73 68 65 64 01 70 68 6F 74 6F 01 74 6F 01 79 6F 75 72 01 68 6F 6D 65 2E C5 CC 44 65 76 65 6C 6F 70 69 6E 67 01 69 74 01 74 61 6B 65 73 C8 61 6E 01 61 77 66 75 6C 6C 79 01 6C 6F 6E 67 01 74 69 6D 65 2C 01 74 68 6F 75 67 68 21 C0</x:v>
      </x:c>
      <x:c r="K591" s="23" t="str">
        <x:v>1CC 084 022 016 010 084 015 03E 01F 001 016 027 03D 0C1 0BD 029 1C8 014 012 020 025 001 014 017 037 02E 01C 035 07A 1C5 1CC 024 025 084 02B 03D 001 084 018 03D 084 01E 012 025 001 013 036 011 1C8 164 0E3 084 015 001 015 015 038 032 03D 084 022 027 07A 1C0</x:v>
      </x:c>
    </x:row>
    <x:row r="592">
      <x:c r="A592" s="22" t="str">
        <x:f>"02"</x:f>
        <x:v>02</x:v>
      </x:c>
      <x:c r="B592" s="22" t="str">
        <x:f>"4E"</x:f>
        <x:v>4E</x:v>
      </x:c>
      <x:c r="C592" s="22" t="str">
        <x:f>"0x024E"</x:f>
        <x:v>0x024E</x:v>
      </x:c>
      <x:c r="D592" s="21" t="str">
        <x:v>&lt;SPEAKER&gt;「いきますよー!
はい チーズ!</x:v>
      </x:c>
      <x:c r="E592" s="19" t="str">
        <x:v>&lt;SPEAKER&gt;Here we go! Say cheese!</x:v>
      </x:c>
      <x:c r="F592" s="20" t="str"/>
      <x:c r="G592" s="20" t="str"/>
      <x:c r="H592" s="23" t="str">
        <x:v>SPEAKER END</x:v>
      </x:c>
      <x:c r="I592" s="23" t="str">
        <x:v>EA:8F0E</x:v>
      </x:c>
      <x:c r="J592" s="23" t="str">
        <x:v>CC 48 65 72 65 01 77 65 01 67 6F 21 01 53 61 79 01 63 68 65 65 73 65 21 C0</x:v>
      </x:c>
      <x:c r="K592" s="23" t="str">
        <x:v>1CC 011 016 02E 01C 035 078 07A 1C8 029 011 001 052 078 084 04E 07A 1C0</x:v>
      </x:c>
    </x:row>
    <x:row r="593">
      <x:c r="A593" s="22" t="str">
        <x:f>"02"</x:f>
        <x:v>02</x:v>
      </x:c>
      <x:c r="B593" s="22" t="str">
        <x:f>"4F"</x:f>
        <x:v>4F</x:v>
      </x:c>
      <x:c r="C593" s="22" t="str">
        <x:f>"0x024F"</x:f>
        <x:v>0x024F</x:v>
      </x:c>
      <x:c r="D593" s="21" t="str">
        <x:v>&lt;SPEAKER&gt;「おくすり かってくれよー
おくすり かってくれよー</x:v>
      </x:c>
      <x:c r="E593" s="19" t="str">
        <x:v>&lt;SPEAKER&gt;Buy some
medicine! Medicine for sale!</x:v>
      </x:c>
      <x:c r="F593" s="20" t="str"/>
      <x:c r="G593" s="20" t="str"/>
      <x:c r="H593" s="23" t="str">
        <x:v>SPEAKER NEWLINE END</x:v>
      </x:c>
      <x:c r="I593" s="23" t="str">
        <x:v>EA:8F27</x:v>
      </x:c>
      <x:c r="J593" s="23" t="str">
        <x:v>CC 42 75 79 01 73 6F 6D 65 C8 6D 65 64 69 63 69 6E 65 21 01 4D 65 64 69 63 69 6E 65 01 66 6F 72 01 73 61 6C 65 21 C0</x:v>
      </x:c>
      <x:c r="K593" s="23" t="str">
        <x:v>1CC 014 017 01C 037 001 015 03E 022 017 039 035 078 1C8 014 017 01C 037 001 015 03E 022 017 039 035 078 1C0</x:v>
      </x:c>
    </x:row>
    <x:row r="594">
      <x:c r="A594" s="22" t="str">
        <x:f>"02"</x:f>
        <x:v>02</x:v>
      </x:c>
      <x:c r="B594" s="22" t="str">
        <x:f>"50"</x:f>
        <x:v>50</x:v>
      </x:c>
      <x:c r="C594" s="22" t="str">
        <x:f>"0x0250"</x:f>
        <x:v>0x0250</x:v>
      </x:c>
      <x:c r="D594" s="21" t="str">
        <x:v>&lt;SPEAKER&gt;「よお ねえちゃん! どこで
みちくさ くってたんだい? へへへ
おれは さきに いかしてもらうぜ</x:v>
      </x:c>
      <x:c r="E594" s="19" t="str">
        <x:v>&lt;SPEAKER&gt;Hey, sister! What
took you so long? Heh.
I am going on ahead!</x:v>
      </x:c>
      <x:c r="F594" s="20" t="str"/>
      <x:c r="G594" s="20" t="str"/>
      <x:c r="H594" s="23" t="str">
        <x:v>SPEAKER NEWLINE NEWLINE END</x:v>
      </x:c>
      <x:c r="I594" s="23" t="str">
        <x:v>EA:8F4E</x:v>
      </x:c>
      <x:c r="J594" s="23" t="str">
        <x:v>CC 48 65 79 2C 01 73 69 73 74 65 72 21 01 57 68 61 74 C8 74 6F 6F 6B 01 79 6F 75 01 73 6F 01 6C 6F 6E 67 3F 01 48 65 68 2E C8 49 01 61 6D 01 67 6F 69 6E 67 01 6F 6E 01 61 68 65 61 64 21 C0</x:v>
      </x:c>
      <x:c r="K594" s="23" t="str">
        <x:v>1CC 035 014 001 027 013 020 03F 03D 07A 001 084 023 019 084 022 1C8 02F 020 017 01A 001 017 03E 022 01F 03D 084 01F 011 079 001 02C 02C 02C 1C8 014 039 029 001 01A 016 025 001 011 015 01B 022 032 036 012 084 01D 1C0</x:v>
      </x:c>
    </x:row>
    <x:row r="595">
      <x:c r="A595" s="22" t="str">
        <x:f>"02"</x:f>
        <x:v>02</x:v>
      </x:c>
      <x:c r="B595" s="22" t="str">
        <x:f>"51"</x:f>
        <x:v>51</x:v>
      </x:c>
      <x:c r="C595" s="22" t="str">
        <x:f>"0x0251"</x:f>
        <x:v>0x0251</x:v>
      </x:c>
      <x:c r="D595" s="21" t="str">
        <x:v>&lt;CLEAR&gt;
ずっしりと おもそうな
てつの とびらが しまっている</x:v>
      </x:c>
      <x:c r="E595" s="19" t="str">
        <x:v>&lt;CLEAR&gt;A heavy iron door is tightly shut.</x:v>
      </x:c>
      <x:c r="F595" s="20" t="str"/>
      <x:c r="G595" s="20" t="str"/>
      <x:c r="H595" s="23" t="str">
        <x:v>CLEAR END</x:v>
      </x:c>
      <x:c r="I595" s="23" t="str">
        <x:v>EA:8F8D</x:v>
      </x:c>
      <x:c r="J595" s="23" t="str">
        <x:v>D0 41 01 68 65 61 76 79 01 69 72 6F 6E 01 64 6F 6F 72 01 69 73 01 74 69 67 68 74 6C 79 01 73 68 75 74 2E C0</x:v>
      </x:c>
      <x:c r="K595" s="23" t="str">
        <x:v>1D0 084 01C 03E 01B 037 023 001 014 032 01E 012 024 1C8 022 021 028 001 023 084 02A 036 084 015 001 01B 02E 03E 022 011 038 1C0</x:v>
      </x:c>
    </x:row>
    <x:row r="596">
      <x:c r="A596" s="22" t="str">
        <x:f>"02"</x:f>
        <x:v>02</x:v>
      </x:c>
      <x:c r="B596" s="22" t="str">
        <x:f>"52"</x:f>
        <x:v>52</x:v>
      </x:c>
      <x:c r="C596" s="22" t="str">
        <x:f>"0x0252"</x:f>
        <x:v>0x0252</x:v>
      </x:c>
      <x:c r="D596" s="21" t="str">
        <x:v>&lt;CLEAR&gt;
おんせん
ご自由に お入りください</x:v>
      </x:c>
      <x:c r="E596" s="19" t="str">
        <x:v>&lt;CLEAR&gt;HOT SPRING Please
feel free to enter.</x:v>
      </x:c>
      <x:c r="F596" s="20" t="str"/>
      <x:c r="G596" s="20" t="str"/>
      <x:c r="H596" s="23" t="str">
        <x:v>CLEAR NEWLINE END</x:v>
      </x:c>
      <x:c r="I596" s="23" t="str">
        <x:v>EA:8FB1</x:v>
      </x:c>
      <x:c r="J596" s="23" t="str">
        <x:v>D0 48 4F 54 01 53 50 52 49 4E 47 01 50 6C 65 61 73 65 C8 66 65 65 6C 01 66 72 65 65 01 74 6F 01 65 6E 74 65 72 2E C0</x:v>
      </x:c>
      <x:c r="K596" s="23" t="str">
        <x:v>1D0 014 03D 01D 03D 1C8 084 019 0E2 163 025 001 014 08E 037 017 084 01F 01A 011 1C0</x:v>
      </x:c>
    </x:row>
    <x:row r="597">
      <x:c r="A597" s="22" t="str">
        <x:f>"02"</x:f>
        <x:v>02</x:v>
      </x:c>
      <x:c r="B597" s="22" t="str">
        <x:f>"53"</x:f>
        <x:v>53</x:v>
      </x:c>
      <x:c r="C597" s="22" t="str">
        <x:f>"0x0253"</x:f>
        <x:v>0x0253</x:v>
      </x:c>
      <x:c r="D597" s="21" t="str">
        <x:v>&lt;SPEAKER&gt;「ちょっとお そんなとこ
さわんないでよお!&lt;WAIT&gt;&lt;SPEAKER&gt;「おんなどおし なのに
ちょっと やめてってば
あ&lt;PAUSE_30&gt; あ&lt;PAUSE_30&gt; ああ</x:v>
      </x:c>
      <x:c r="E597" s="19" t="str">
        <x:v>&lt;SPEAKER&gt;Hey! Do not
touch me there!&lt;WAIT&gt;&lt;SPEAKER&gt;We are both
women, but seriously,
stop that! Ah&lt;PAUSE_30&gt;... ah&lt;PAUSE_30&gt;... aaah!</x:v>
      </x:c>
      <x:c r="F597" s="20" t="str"/>
      <x:c r="G597" s="20" t="str"/>
      <x:c r="H597" s="23" t="str">
        <x:v>SPEAKER NEWLINE WAIT SPEAKER NEWLINE NEWLINE PAUSE_30 PAUSE_30 END</x:v>
      </x:c>
      <x:c r="I597" s="23" t="str">
        <x:v>EA:8FD8</x:v>
      </x:c>
      <x:c r="J597" s="23" t="str">
        <x:v>CC 48 65 79 21 01 44 6F 01 6E 6F 74 C8 74 6F 75 63 68 01 6D 65 01 74 68 65 72 65 21 C5 CC 57 65 01 61 72 65 01 62 6F 74 68 C8 77 6F 6D 65 6E 2C 01 62 75 74 01 73 65 72 69 6F 75 73 6C 79 2C C8 73 74 6F 70 01 74 68 61 74 21 01 41 68 CD 2E 2E 2E 01 61 68 CD 2E 2E 2E 01 61 61 61 68 21 C0</x:v>
      </x:c>
      <x:c r="K597" s="23" t="str">
        <x:v>1CC 020 041 03E 023 014 001 01E 03D 024 023 019 1C8 01A 03B 03D 024 011 084 022 035 014 07A 1C5 1CC 014 03D 024 084 023 014 01B 001 024 028 025 1C8 020 041 03E 023 001 033 031 022 03E 022 084 029 1C8 010 1CD 001 010 1CD 001 010 010 1C0</x:v>
      </x:c>
    </x:row>
    <x:row r="598">
      <x:c r="A598" s="22" t="str">
        <x:f>"02"</x:f>
        <x:v>02</x:v>
      </x:c>
      <x:c r="B598" s="22" t="str">
        <x:f>"54"</x:f>
        <x:v>54</x:v>
      </x:c>
      <x:c r="C598" s="22" t="str">
        <x:f>"0x0254"</x:f>
        <x:v>0x0254</x:v>
      </x:c>
      <x:c r="D598" s="21" t="str">
        <x:v>&lt;CLEAR&gt;
目が とろんとしている
気持ちよさそうだ</x:v>
      </x:c>
      <x:c r="E598" s="19" t="str">
        <x:v>&lt;CLEAR&gt;Her eyes look dreamy. She
seems very comfortable.</x:v>
      </x:c>
      <x:c r="F598" s="20" t="str"/>
      <x:c r="G598" s="20" t="str"/>
      <x:c r="H598" s="23" t="str">
        <x:v>CLEAR NEWLINE END</x:v>
      </x:c>
      <x:c r="I598" s="23" t="str">
        <x:v>EA:9037</x:v>
      </x:c>
      <x:c r="J598" s="23" t="str">
        <x:v>D0 48 65 72 01 65 79 65 73 01 6C 6F 6F 6B 01 64 72 65 61 6D 79 2E 01 53 68 65 C8 73 65 65 6D 73 01 76 65 72 79 01 63 6F 6D 66 6F 72 74 61 62 6C 65 2E C0</x:v>
      </x:c>
      <x:c r="K598" s="23" t="str">
        <x:v>1D0 0B6 084 015 001 023 03A 03D 023 01B 022 011 038 1C8 099 0D3 020 035 01A 01E 012 084 01F 1C0</x:v>
      </x:c>
    </x:row>
    <x:row r="599">
      <x:c r="A599" s="22" t="str">
        <x:f>"02"</x:f>
        <x:v>02</x:v>
      </x:c>
      <x:c r="B599" s="22" t="str">
        <x:f>"55"</x:f>
        <x:v>55</x:v>
      </x:c>
      <x:c r="C599" s="22" t="str">
        <x:f>"0x0255"</x:f>
        <x:v>0x0255</x:v>
      </x:c>
      <x:c r="D599" s="21" t="str">
        <x:v>&lt;SPEAKER&gt;「ひえっ ひえっ ひえっへへへ
これは これは お嬢ちゃん!
バロン城に よくぞ まいられた</x:v>
      </x:c>
      <x:c r="E599" s="19" t="str">
        <x:v>&lt;SPEAKER&gt;Hee hee hee!
Well, well, young lady!
Welcome to Baron Castle.</x:v>
      </x:c>
      <x:c r="F599" s="20" t="str"/>
      <x:c r="G599" s="20" t="str"/>
      <x:c r="H599" s="23" t="str">
        <x:v>SPEAKER NEWLINE NEWLINE END</x:v>
      </x:c>
      <x:c r="I599" s="23" t="str">
        <x:v>EA:906A</x:v>
      </x:c>
      <x:c r="J599" s="23" t="str">
        <x:v>CC 48 65 65 01 68 65 65 01 68 65 65 21 C8 57 65 6C 6C 2C 01 77 65 6C 6C 2C 01 79 6F 75 6E 67 01 6C 61 64 79 21 C8 57 65 6C 63 6F 6D 65 01 74 6F 01 42 61 72 6F 6E 01 43 61 73 74 6C 65 2E C0</x:v>
      </x:c>
      <x:c r="K599" s="23" t="str">
        <x:v>1CC 02A 013 03E 001 02A 013 03E 001 02A 013 03E 02C 02C 02C 1C8 019 039 029 001 019 039 029 001 014 0D8 020 03F 03D 07A 1C8 084 05B 06C 06F 08C 025 001 035 017 084 01E 001 02E 011 036 039 01F 1C0</x:v>
      </x:c>
    </x:row>
    <x:row r="600">
      <x:c r="A600" s="22" t="str">
        <x:f>"02"</x:f>
        <x:v>02</x:v>
      </x:c>
      <x:c r="B600" s="22" t="str">
        <x:f>"56"</x:f>
        <x:v>56</x:v>
      </x:c>
      <x:c r="C600" s="22" t="str">
        <x:f>"0x0256"</x:f>
        <x:v>0x0256</x:v>
      </x:c>
      <x:c r="D600" s="21" t="str">
        <x:v>&lt;SPEAKER&gt;「それでは お嬢ちゃん
にゅうじょうけんを いただくぞい!</x:v>
      </x:c>
      <x:c r="E600" s="19" t="str">
        <x:v>&lt;SPEAKER&gt;Now then, young lady, I
will take your admission ticket!</x:v>
      </x:c>
      <x:c r="F600" s="20" t="str"/>
      <x:c r="G600" s="20" t="str"/>
      <x:c r="H600" s="23" t="str">
        <x:v>SPEAKER NEWLINE END</x:v>
      </x:c>
      <x:c r="I600" s="23" t="str">
        <x:v>EA:90A9</x:v>
      </x:c>
      <x:c r="J600" s="23" t="str">
        <x:v>CC 4E 6F 77 01 74 68 65 6E 2C 01 79 6F 75 6E 67 01 6C 61 64 79 2C 01 49 C8 77 69 6C 6C 01 74 61 6B 65 01 79 6F 75 72 01 61 64 6D 69 73 73 69 6F 6E 01 74 69 63 6B 65 74 21 C0</x:v>
      </x:c>
      <x:c r="K600" s="23" t="str">
        <x:v>1CC 01E 039 084 022 029 001 014 0D8 020 03F 03D 1C8 025 040 012 084 01B 041 012 018 03D 03C 001 011 01F 084 01F 017 084 01E 011 07A 1C0</x:v>
      </x:c>
    </x:row>
    <x:row r="601">
      <x:c r="A601" s="22" t="str">
        <x:f>"02"</x:f>
        <x:v>02</x:v>
      </x:c>
      <x:c r="B601" s="22" t="str">
        <x:f>"57"</x:f>
        <x:v>57</x:v>
      </x:c>
      <x:c r="C601" s="22" t="str">
        <x:f>"0x0257"</x:f>
        <x:v>0x0257</x:v>
      </x:c>
      <x:c r="D601" s="21" t="str">
        <x:v>&lt;SPEAKER&gt;「きょうは とくべつサービスじゃ!
城の中を あんない してやろう!
そこの 乗り物に 乗るがよい!</x:v>
      </x:c>
      <x:c r="E601" s="19" t="str">
        <x:v>&lt;SPEAKER&gt;Today you get a special
service! I will show you around
the castle. Climb into that vehicle!</x:v>
      </x:c>
      <x:c r="F601" s="20" t="str"/>
      <x:c r="G601" s="20" t="str"/>
      <x:c r="H601" s="23" t="str">
        <x:v>SPEAKER NEWLINE NEWLINE END</x:v>
      </x:c>
      <x:c r="I601" s="23" t="str">
        <x:v>EA:90E3</x:v>
      </x:c>
      <x:c r="J601" s="23" t="str">
        <x:v>CC 54 6F 64 61 79 01 79 6F 75 01 67 65 74 01 61 01 73 70 65 63 69 61 6C C8 73 65 72 76 69 63 65 21 01 49 01 77 69 6C 6C 01 73 68 6F 77 01 79 6F 75 01 61 72 6F 75 6E 64 C8 74 68 65 01 63 61 73 74 6C 65 2E 01 43 6C 69 6D 62 01 69 6E 74 6F 01 74 68 61 74 01 76 65 68 69 63 6C 65 21 C0</x:v>
      </x:c>
      <x:c r="K601" s="23" t="str">
        <x:v>1CC 016 041 012 029 001 023 017 084 02C 021 04C 078 084 05C 04E 084 01B 03F 07A 1C8 08C 028 0A1 03C 001 010 03D 024 011 001 01B 022 033 03A 012 07A 1C8 01E 019 028 001 13F 037 08B 025 001 13F 038 084 015 035 011 07A 1C0</x:v>
      </x:c>
    </x:row>
    <x:row r="602">
      <x:c r="A602" s="22" t="str">
        <x:f>"02"</x:f>
        <x:v>02</x:v>
      </x:c>
      <x:c r="B602" s="22" t="str">
        <x:f>"58"</x:f>
        <x:v>58</x:v>
      </x:c>
      <x:c r="C602" s="22" t="str">
        <x:f>"0x0258"</x:f>
        <x:v>0x0258</x:v>
      </x:c>
      <x:c r="D602" s="21" t="str">
        <x:v>&lt;SPEAKER&gt;「そこの 乗り物に 乗るがよい!</x:v>
      </x:c>
      <x:c r="E602" s="19" t="str">
        <x:v>&lt;SPEAKER&gt;Climb into that vehicle!</x:v>
      </x:c>
      <x:c r="F602" s="20" t="str"/>
      <x:c r="G602" s="20" t="str"/>
      <x:c r="H602" s="23" t="str">
        <x:v>SPEAKER END</x:v>
      </x:c>
      <x:c r="I602" s="23" t="str">
        <x:v>EA:9141</x:v>
      </x:c>
      <x:c r="J602" s="23" t="str">
        <x:v>CC 43 6C 69 6D 62 01 69 6E 74 6F 01 74 68 61 74 01 76 65 68 69 63 6C 65 21 C0</x:v>
      </x:c>
      <x:c r="K602" s="23" t="str">
        <x:v>1CC 01E 019 028 001 13F 037 08B 025 001 13F 038 084 015 035 011 07A 1C0</x:v>
      </x:c>
    </x:row>
    <x:row r="603">
      <x:c r="A603" s="22" t="str">
        <x:f>"02"</x:f>
        <x:v>02</x:v>
      </x:c>
      <x:c r="B603" s="22" t="str">
        <x:f>"59"</x:f>
        <x:v>59</x:v>
      </x:c>
      <x:c r="C603" s="22" t="str">
        <x:f>"0x0259"</x:f>
        <x:v>0x0259</x:v>
      </x:c>
      <x:c r="D603" s="21" t="str">
        <x:v>&lt;SPEAKER&gt;「ひえっ ひえっ ひえっ
じごくへの とびらを いま
あけて しんぜよう うりゃ!</x:v>
      </x:c>
      <x:c r="E603" s="19" t="str">
        <x:v>&lt;SPEAKER&gt;Hee hee hee! I shall now
open the door to hell! Hyaa!</x:v>
      </x:c>
      <x:c r="F603" s="20" t="str"/>
      <x:c r="G603" s="20" t="str"/>
      <x:c r="H603" s="23" t="str">
        <x:v>SPEAKER NEWLINE END</x:v>
      </x:c>
      <x:c r="I603" s="23" t="str">
        <x:v>EA:915B</x:v>
      </x:c>
      <x:c r="J603" s="23" t="str">
        <x:v>CC 48 65 65 01 68 65 65 01 68 65 65 21 01 49 01 73 68 61 6C 6C 01 6E 6F 77 C8 6F 70 65 6E 01 74 68 65 01 64 6F 6F 72 01 74 6F 01 68 65 6C 6C 21 01 48 79 61 61 21 C0</x:v>
      </x:c>
      <x:c r="K603" s="23" t="str">
        <x:v>1CC 02A 013 03E 001 02A 013 03E 001 02A 013 03E 1C8 084 01B 084 019 017 02C 028 001 023 084 02A 036 03C 001 011 02E 1C8 010 018 022 001 01B 03D 084 01D 035 012 001 012 037 03F 07A 1C0</x:v>
      </x:c>
    </x:row>
    <x:row r="604">
      <x:c r="A604" s="22" t="str">
        <x:f>"02"</x:f>
        <x:v>02</x:v>
      </x:c>
      <x:c r="B604" s="22" t="str">
        <x:f>"5A"</x:f>
        <x:v>5A</x:v>
      </x:c>
      <x:c r="C604" s="22" t="str">
        <x:f>"0x025A"</x:f>
        <x:v>0x025A</x:v>
      </x:c>
      <x:c r="D604" s="21" t="str">
        <x:v>&lt;SPEAKER&gt;「けけけけけ! 行くのも よし
ひきかえすも よし それは
あんたの 自由じゃてのう</x:v>
      </x:c>
      <x:c r="E604" s="19" t="str">
        <x:v>&lt;SPEAKER&gt;Keh-heh-heh! Go
on, or turn back. It
is entirely your choice.</x:v>
      </x:c>
      <x:c r="F604" s="20" t="str"/>
      <x:c r="G604" s="20" t="str"/>
      <x:c r="H604" s="23" t="str">
        <x:v>SPEAKER NEWLINE NEWLINE END</x:v>
      </x:c>
      <x:c r="I604" s="23" t="str">
        <x:v>EA:9192</x:v>
      </x:c>
      <x:c r="J604" s="23" t="str">
        <x:v>CC 4B 65 68 2D 68 65 68 2D 68 65 68 21 01 47 6F C8 6F 6E 2C 01 6F 72 01 74 75 72 6E 01 62 61 63 6B 2E 01 49 74 C8 69 73 01 65 6E 74 69 72 65 6C 79 01 79 6F 75 72 01 63 68 6F 69 63 65 2E C0</x:v>
      </x:c>
      <x:c r="K604" s="23" t="str">
        <x:v>1CC 018 018 018 018 018 07A 001 08D 017 028 032 001 035 01B 1C8 02A 016 015 013 01C 032 001 035 01B 001 01E 039 029 1C8 010 03D 01F 028 001 0E2 163 084 01B 03F 022 028 012 1C0</x:v>
      </x:c>
    </x:row>
    <x:row r="605">
      <x:c r="A605" s="22" t="str">
        <x:f>"02"</x:f>
        <x:v>02</x:v>
      </x:c>
      <x:c r="B605" s="22" t="str">
        <x:f>"5B"</x:f>
        <x:v>5B</x:v>
      </x:c>
      <x:c r="C605" s="22" t="str">
        <x:f>"0x025B"</x:f>
        <x:v>0x025B</x:v>
      </x:c>
      <x:c r="D605" s="21" t="str">
        <x:v>&lt;SPEAKER&gt;「ちょっきん ちょきちょき
ちょっきん ちょきちょき</x:v>
      </x:c>
      <x:c r="E605" s="19" t="str">
        <x:v>&lt;SPEAKER&gt;Snip, snip. Clip,
clip. Snip, snip. Clip, clip.</x:v>
      </x:c>
      <x:c r="F605" s="20" t="str"/>
      <x:c r="G605" s="20" t="str"/>
      <x:c r="H605" s="23" t="str">
        <x:v>SPEAKER NEWLINE END</x:v>
      </x:c>
      <x:c r="I605" s="23" t="str">
        <x:v>EA:91D1</x:v>
      </x:c>
      <x:c r="J605" s="23" t="str">
        <x:v>CC 53 6E 69 70 2C 01 73 6E 69 70 2E 01 43 6C 69 70 2C C8 63 6C 69 70 2E 01 53 6E 69 70 2C 01 73 6E 69 70 2E 01 43 6C 69 70 2C 01 63 6C 69 70 2E C0</x:v>
      </x:c>
      <x:c r="K605" s="23" t="str">
        <x:v>1CC 020 041 03E 016 03D 001 020 041 016 020 041 016 1C8 020 041 03E 016 03D 001 020 041 016 020 041 016 1C0</x:v>
      </x:c>
    </x:row>
    <x:row r="606">
      <x:c r="A606" s="22" t="str">
        <x:f>"02"</x:f>
        <x:v>02</x:v>
      </x:c>
      <x:c r="B606" s="22" t="str">
        <x:f>"5C"</x:f>
        <x:v>5C</x:v>
      </x:c>
      <x:c r="C606" s="22" t="str">
        <x:f>"0x025C"</x:f>
        <x:v>0x025C</x:v>
      </x:c>
      <x:c r="D606" s="21" t="str">
        <x:v>&lt;SPEAKER&gt;「べろべろ ばあ けけけけ
あばばばあ うけけけっ</x:v>
      </x:c>
      <x:c r="E606" s="19" t="str">
        <x:v>&lt;SPEAKER&gt;Bleh-bleh! Boo!
Heh-heh! Abababa! Ukekeke!</x:v>
      </x:c>
      <x:c r="F606" s="20" t="str"/>
      <x:c r="G606" s="20" t="str"/>
      <x:c r="H606" s="23" t="str">
        <x:v>SPEAKER NEWLINE END</x:v>
      </x:c>
      <x:c r="I606" s="23" t="str">
        <x:v>EA:9202</x:v>
      </x:c>
      <x:c r="J606" s="23" t="str">
        <x:v>CC 42 6C 65 68 2D 62 6C 65 68 21 01 42 6F 6F 21 C8 48 65 68 2D 68 65 68 21 01 41 62 61 62 61 62 61 21 01 55 6B 65 6B 65 6B 65 21 C0</x:v>
      </x:c>
      <x:c r="K606" s="23" t="str">
        <x:v>1CC 084 02C 03A 084 02C 03A 001 084 029 010 001 018 018 018 018 1C8 010 084 029 084 029 084 029 010 001 012 018 018 018 03E 1C0</x:v>
      </x:c>
    </x:row>
    <x:row r="607">
      <x:c r="A607" s="22" t="str">
        <x:f>"02"</x:f>
        <x:v>02</x:v>
      </x:c>
      <x:c r="B607" s="22" t="str">
        <x:f>"5D"</x:f>
        <x:v>5D</x:v>
      </x:c>
      <x:c r="C607" s="22" t="str">
        <x:f>"0x025D"</x:f>
        <x:v>0x025D</x:v>
      </x:c>
      <x:c r="D607" s="21" t="str">
        <x:v>&lt;SPEAKER&gt;「ここで 行きどまりだよ・・・
あんたはね・・・
うききききっ</x:v>
      </x:c>
      <x:c r="E607" s="19" t="str">
        <x:v>&lt;SPEAKER&gt;This is as far as
you go... Hee hee hee!</x:v>
      </x:c>
      <x:c r="F607" s="20" t="str"/>
      <x:c r="G607" s="20" t="str"/>
      <x:c r="H607" s="23" t="str">
        <x:v>SPEAKER NEWLINE END</x:v>
      </x:c>
      <x:c r="I607" s="23" t="str">
        <x:v>EA:922E</x:v>
      </x:c>
      <x:c r="J607" s="23" t="str">
        <x:v>CC 54 68 69 73 01 69 73 01 61 73 01 66 61 72 01 61 73 C8 79 6F 75 01 67 6F 2E 2E 2E 01 48 65 65 01 68 65 65 01 68 65 65 21 C0</x:v>
      </x:c>
      <x:c r="K607" s="23" t="str">
        <x:v>1CC 019 019 084 022 001 08D 016 084 023 02E 037 084 01F 035 081 081 081 1C8 010 03D 01F 029 027 081 081 081 1C8 012 016 016 016 016 03E 1C0</x:v>
      </x:c>
    </x:row>
    <x:row r="608">
      <x:c r="A608" s="22" t="str">
        <x:f>"02"</x:f>
        <x:v>02</x:v>
      </x:c>
      <x:c r="B608" s="22" t="str">
        <x:f>"5E"</x:f>
        <x:v>5E</x:v>
      </x:c>
      <x:c r="C608" s="22" t="str">
        <x:f>"0x025E"</x:f>
        <x:v>0x025E</x:v>
      </x:c>
      <x:c r="D608" s="21" t="str">
        <x:v>&lt;SPEAKER&gt;「この さきで 道が ふたつに
わかれるけど どっちでも
すきな方を えらぶといいよ&lt;WAIT&gt;&lt;SPEAKER&gt;「行きつくところは いっしょ
きょうふと せんりつの
バロン城の さいごのひみつさ・・・</x:v>
      </x:c>
      <x:c r="E608" s="19" t="str">
        <x:v>&lt;SPEAKER&gt;The road ahead
splits in two. Take
whichever path you like.&lt;WAIT&gt;&lt;SPEAKER&gt;Both lead to the
same place: the last dreadful
secret of Baron Castle...</x:v>
      </x:c>
      <x:c r="F608" s="20" t="str"/>
      <x:c r="G608" s="20" t="str"/>
      <x:c r="H608" s="23" t="str">
        <x:v>SPEAKER NEWLINE NEWLINE WAIT SPEAKER NEWLINE NEWLINE END</x:v>
      </x:c>
      <x:c r="I608" s="23" t="str">
        <x:v>EA:9258</x:v>
      </x:c>
      <x:c r="J608" s="23" t="str">
        <x:v>CC 54 68 65 01 72 6F 61 64 01 61 68 65 61 64 C8 73 70 6C 69 74 73 01 69 6E 01 74 77 6F 2E 01 54 61 6B 65 C8 77 68 69 63 68 65 76 65 72 01 70 61 74 68 01 79 6F 75 01 6C 69 6B 65 2E C5 CC 42 6F 74 68 01 6C 65 61 64 01 74 6F 01 74 68 65 C8 73 61 6D 65 01 70 6C 61 63 65 3A 01 74 68 65 01 6C 61 73 74 01 64 72 65 61 64 66 75 6C C8 73 65 63 72 65 74 01 6F 66 01 42 61 72 6F 6E 01 43 61 73 74 6C 65 2E 2E 2E C0</x:v>
      </x:c>
      <x:c r="K608" s="23" t="str">
        <x:v>1CC 019 028 001 01A 016 084 022 001 0C7 084 015 001 02B 01F 021 025 1C8 03B 015 039 038 018 084 023 001 084 023 03E 020 084 022 032 1C8 01C 016 024 0B9 03C 001 013 036 084 02B 023 011 011 035 1C5 1CC 08D 016 021 017 023 019 03A 029 001 011 03E 01B 041 1C8 016 041 012 02B 023 001 01D 03D 037 021 028 1C8 084 05B 06C 06F 08C 028 001 01A 011 084 019 028 02A 02F 021 01A 081 081 081 1C0</x:v>
      </x:c>
    </x:row>
    <x:row r="609">
      <x:c r="A609" s="22" t="str">
        <x:f>"02"</x:f>
        <x:v>02</x:v>
      </x:c>
      <x:c r="B609" s="22" t="str">
        <x:f>"5F"</x:f>
        <x:v>5F</x:v>
      </x:c>
      <x:c r="C609" s="22" t="str">
        <x:f>"0x025F"</x:f>
        <x:v>0x025F</x:v>
      </x:c>
      <x:c r="D609" s="21" t="str">
        <x:v>&lt;CLEAR&gt;
ベビーバロンの 像がある
目のところに 何かを
はめこむ あなが あいている</x:v>
      </x:c>
      <x:c r="E609" s="19" t="str">
        <x:v>&lt;CLEAR&gt;A Baby Baron statue. There
are holes in its eyes for
something to be inserted.</x:v>
      </x:c>
      <x:c r="F609" s="20" t="str"/>
      <x:c r="G609" s="20" t="str"/>
      <x:c r="H609" s="23" t="str">
        <x:v>CLEAR NEWLINE NEWLINE END</x:v>
      </x:c>
      <x:c r="I609" s="23" t="str">
        <x:v>EA:92DF</x:v>
      </x:c>
      <x:c r="J609" s="23" t="str">
        <x:v>D0 41 01 42 61 62 79 01 42 61 72 6F 6E 01 73 74 61 74 75 65 2E 01 54 68 65 72 65 C8 61 72 65 01 68 6F 6C 65 73 01 69 6E 01 69 74 73 01 65 79 65 73 01 66 6F 72 C8 73 6F 6D 65 74 68 69 6E 67 01 74 6F 01 62 65 01 69 6E 73 65 72 74 65 64 2E C0</x:v>
      </x:c>
      <x:c r="K609" s="23" t="str">
        <x:v>1D0 084 05E 084 05C 078 084 05B 06C 06F 028 001 159 084 015 010 038 1C8 0B6 028 023 019 03A 025 001 093 015 03C 1C8 029 031 019 030 001 010 024 084 015 001 010 011 022 011 038 1C0</x:v>
      </x:c>
    </x:row>
    <x:row r="610">
      <x:c r="A610" s="22" t="str">
        <x:f>"02"</x:f>
        <x:v>02</x:v>
      </x:c>
      <x:c r="B610" s="22" t="str">
        <x:f>"60"</x:f>
        <x:v>60</x:v>
      </x:c>
      <x:c r="C610" s="22" t="str">
        <x:f>"0x0260"</x:f>
        <x:v>0x0260</x:v>
      </x:c>
      <x:c r="D610" s="21" t="str">
        <x:v>&lt;CLEAR&gt;
モンスターが 読みそうな
えほんが たくさん ある&lt;WAIT&gt;
&lt;CLEAR&gt;
「バロンくん」の4巻だけが
ぬけているようだ</x:v>
      </x:c>
      <x:c r="E610" s="19" t="str">
        <x:v>&lt;CLEAR&gt;There are lots of picture
books that look like
monsters would read.&lt;WAIT&gt;&lt;CLEAR&gt;Only volume 4 of "Little
Baron" seems to be missing.&lt;LINE&gt;</x:v>
      </x:c>
      <x:c r="F610" s="20" t="str"/>
      <x:c r="G610" s="20" t="str"/>
      <x:c r="H610" s="23" t="str">
        <x:v>CLEAR NEWLINE NEWLINE WAIT CLEAR NEWLINE LINE END</x:v>
      </x:c>
      <x:c r="I610" s="23" t="str">
        <x:v>EA:932F</x:v>
      </x:c>
      <x:c r="J610" s="23" t="str">
        <x:v>D0 54 68 65 72 65 01 61 72 65 01 6C 6F 74 73 01 6F 66 01 70 69 63 74 75 72 65 C8 62 6F 6F 6B 73 01 74 68 61 74 01 6C 6F 6F 6B 01 6C 69 6B 65 C8 6D 6F 6E 73 74 65 72 73 01 77 6F 75 6C 64 01 72 65 61 64 2E C5 D0 4F 6E 6C 79 01 76 6F 6C 75 6D 65 01 34 01 6F 66 01 22 4C 69 74 74 6C 65 C8 42 61 72 6F 6E 22 01 73 65 65 6D 73 01 74 6F 01 62 65 01 6D 69 73 73 69 6E 67 2E C3 C0</x:v>
      </x:c>
      <x:c r="K610" s="23" t="str">
        <x:v>1D0 064 06F 04E 051 078 084 015 001 118 02F 01E 012 024 1C8 013 02D 03D 084 015 001 01F 017 01A 03D 001 010 038 1C5 1D0 07D 084 05B 06C 06F 017 03D 07E 028 006 188 084 01F 018 084 015 1C8 026 018 022 011 038 035 012 084 01F 1C3 1C0</x:v>
      </x:c>
    </x:row>
    <x:row r="611">
      <x:c r="A611" s="22" t="str">
        <x:f>"02"</x:f>
        <x:v>02</x:v>
      </x:c>
      <x:c r="B611" s="22" t="str">
        <x:f>"61"</x:f>
        <x:v>61</x:v>
      </x:c>
      <x:c r="C611" s="22" t="str">
        <x:f>"0x0261"</x:f>
        <x:v>0x0261</x:v>
      </x:c>
      <x:c r="D611" s="21" t="str">
        <x:v>&lt;SPEAKER&gt;「えーっと・・・&lt;WAIT&gt;&lt;SPEAKER&gt;「「むかし あるところに ベビ・・・
&lt;PAUSE_30&gt;・・・なんだっけな?&lt;WAIT&gt;&lt;SPEAKER&gt;「ぼく ベビきちくんの
おはなしを おぼえたのに
もう わすれちゃったよ</x:v>
      </x:c>
      <x:c r="E611" s="19" t="str">
        <x:v>&lt;SPEAKER&gt;Umm...&lt;WAIT&gt;&lt;SPEAKER&gt;"Once upon a
time, there was a baby...
&lt;PAUSE_30&gt; ...What was it again?&lt;WAIT&gt;&lt;SPEAKER&gt;I memorized the
story about little Bebikichi,
but I already forgot it.</x:v>
      </x:c>
      <x:c r="F611" s="20" t="str"/>
      <x:c r="G611" s="20" t="str"/>
      <x:c r="H611" s="23" t="str">
        <x:v>SPEAKER WAIT SPEAKER NEWLINE NEWLINE PAUSE_30 WAIT SPEAKER NEWLINE NEWLINE END</x:v>
      </x:c>
      <x:c r="I611" s="23" t="str">
        <x:v>EA:93AB</x:v>
      </x:c>
      <x:c r="J611" s="23" t="str">
        <x:v>CC 55 6D 6D 2E 2E 2E C5 CC 22 4F 6E 63 65 01 75 70 6F 6E 01 61 C8 74 69 6D 65 2C 01 74 68 65 72 65 01 77 61 73 01 61 01 62 61 62 79 2E 2E 2E C8 CD 01 2E 2E 2E 57 68 61 74 01 77 61 73 01 69 74 01 61 67 61 69 6E 3F C5 CC 49 01 6D 65 6D 6F 72 69 7A 65 64 01 74 68 65 C8 73 74 6F 72 79 01 61 62 6F 75 74 01 6C 69 74 74 6C 65 01 42 65 62 69 6B 69 63 68 69 2C C8 62 75 74 01 49 01 61 6C 72 65 61 64 79 01 66 6F 72 67 6F 74 01 69 74 2E C0</x:v>
      </x:c>
      <x:c r="K611" s="23" t="str">
        <x:v>1CC 013 078 03E 023 081 081 081 1C5 1CC 07D 030 015 01B 001 010 038 023 019 03A 025 001 084 05E 084 05C 081 081 081 1C8 1CD 081 081 081 024 03D 084 01F 03E 018 024 079 1C5 1CC 084 02D 017 001 084 05E 084 05C 016 020 017 03D 028 1C8 014 029 024 01B 03C 001 014 084 02D 013 01F 028 025 1C8 032 012 001 03B 01C 039 020 03F 03E 01F 035 1C0</x:v>
      </x:c>
    </x:row>
    <x:row r="612">
      <x:c r="A612" s="22" t="str">
        <x:f>"02"</x:f>
        <x:v>02</x:v>
      </x:c>
      <x:c r="B612" s="22" t="str">
        <x:f>"62"</x:f>
        <x:v>62</x:v>
      </x:c>
      <x:c r="C612" s="22" t="str">
        <x:f>"0x0262"</x:f>
        <x:v>0x0262</x:v>
      </x:c>
      <x:c r="D612" s="21" t="str">
        <x:v>&lt;SPEAKER&gt;「ベビきちくんの おはなしを
読んでくれて ありがとう</x:v>
      </x:c>
      <x:c r="E612" s="19" t="str">
        <x:v>&lt;SPEAKER&gt;Thanks for reading
the story about little Bebikichi.</x:v>
      </x:c>
      <x:c r="F612" s="20" t="str"/>
      <x:c r="G612" s="20" t="str"/>
      <x:c r="H612" s="23" t="str">
        <x:v>SPEAKER NEWLINE END</x:v>
      </x:c>
      <x:c r="I612" s="23" t="str">
        <x:v>EA:943B</x:v>
      </x:c>
      <x:c r="J612" s="23" t="str">
        <x:v>CC 54 68 61 6E 6B 73 01 66 6F 72 01 72 65 61 64 69 6E 67 C8 74 68 65 01 73 74 6F 72 79 01 61 62 6F 75 74 01 6C 69 74 74 6C 65 01 42 65 62 69 6B 69 63 68 69 2E C0</x:v>
      </x:c>
      <x:c r="K612" s="23" t="str">
        <x:v>1CC 084 05E 084 05C 016 020 017 03D 028 001 014 029 024 01B 03C 1C8 118 03D 084 022 017 039 022 001 010 037 084 015 023 012 1C0</x:v>
      </x:c>
    </x:row>
    <x:row r="613">
      <x:c r="A613" s="22" t="str">
        <x:f>"02"</x:f>
        <x:v>02</x:v>
      </x:c>
      <x:c r="B613" s="22" t="str">
        <x:f>"63"</x:f>
        <x:v>63</x:v>
      </x:c>
      <x:c r="C613" s="22" t="str">
        <x:f>"0x0263"</x:f>
        <x:v>0x0263</x:v>
      </x:c>
      <x:c r="D613" s="21" t="str">
        <x:v>&lt;CLEAR&gt;
ちぎれた えほんの ページがある&lt;WAIT&gt;
&lt;CLEAR&gt;
「むかし あるところに」&lt;WAIT&gt;
&lt;CLEAR&gt;
と 書いてある</x:v>
      </x:c>
      <x:c r="E613" s="19" t="str">
        <x:v>&lt;CLEAR&gt;There is a torn page
from a picture book.&lt;WAIT&gt;&lt;CLEAR&gt;"Once upon a time,
in a certain place..."&lt;WAIT&gt;&lt;CLEAR&gt;is written on it.</x:v>
      </x:c>
      <x:c r="F613" s="20" t="str"/>
      <x:c r="G613" s="20" t="str"/>
      <x:c r="H613" s="23" t="str">
        <x:v>CLEAR NEWLINE WAIT CLEAR NEWLINE WAIT CLEAR END</x:v>
      </x:c>
      <x:c r="I613" s="23" t="str">
        <x:v>EA:9471</x:v>
      </x:c>
      <x:c r="J613" s="23" t="str">
        <x:v>D0 54 68 65 72 65 01 69 73 01 61 01 74 6F 72 6E 01 70 61 67 65 C8 66 72 6F 6D 01 61 01 70 69 63 74 75 72 65 01 62 6F 6F 6B 2E C5 D0 22 4F 6E 63 65 01 75 70 6F 6E 01 61 01 74 69 6D 65 2C C8 69 6E 01 61 01 63 65 72 74 61 69 6E 01 70 6C 61 63 65 2E 2E 2E 22 C5 D0 69 73 01 77 72 69 74 74 65 6E 01 6F 6E 01 69 74 2E C0</x:v>
      </x:c>
      <x:c r="K613" s="23" t="str">
        <x:v>1D0 020 084 016 039 01F 001 013 02D 03D 028 001 083 05E 078 084 04D 084 015 010 038 1C5 1D0 07D 030 015 01B 001 010 038 023 019 03A 025 07E 1C5 1D0 023 001 098 011 022 010 038 1C0</x:v>
      </x:c>
    </x:row>
    <x:row r="614">
      <x:c r="A614" s="22" t="str">
        <x:f>"02"</x:f>
        <x:v>02</x:v>
      </x:c>
      <x:c r="B614" s="22" t="str">
        <x:f>"64"</x:f>
        <x:v>64</x:v>
      </x:c>
      <x:c r="C614" s="22" t="str">
        <x:f>"0x0264"</x:f>
        <x:v>0x0264</x:v>
      </x:c>
      <x:c r="D614" s="21" t="str">
        <x:v>&lt;CLEAR&gt;
ちぎれた えほんの ページがある&lt;WAIT&gt;
&lt;CLEAR&gt;
「ベビきちという」&lt;WAIT&gt;
&lt;CLEAR&gt;
と 書いてある</x:v>
      </x:c>
      <x:c r="E614" s="19" t="str">
        <x:v>&lt;CLEAR&gt;There is a torn page
from a picture book.&lt;WAIT&gt;&lt;CLEAR&gt;"There was a Baby
Baron named Bebikichi..."&lt;WAIT&gt;&lt;CLEAR&gt;is written on it.</x:v>
      </x:c>
      <x:c r="F614" s="20" t="str"/>
      <x:c r="G614" s="20" t="str"/>
      <x:c r="H614" s="23" t="str">
        <x:v>CLEAR NEWLINE WAIT CLEAR NEWLINE WAIT CLEAR END</x:v>
      </x:c>
      <x:c r="I614" s="23" t="str">
        <x:v>EA:94DA</x:v>
      </x:c>
      <x:c r="J614" s="23" t="str">
        <x:v>D0 54 68 65 72 65 01 69 73 01 61 01 74 6F 72 6E 01 70 61 67 65 C8 66 72 6F 6D 01 61 01 70 69 63 74 75 72 65 01 62 6F 6F 6B 2E C5 D0 22 54 68 65 72 65 01 77 61 73 01 61 01 42 61 62 79 C8 42 61 72 6F 6E 01 6E 61 6D 65 64 01 42 65 62 69 6B 69 63 68 69 2E 2E 2E 22 C5 D0 69 73 01 77 72 69 74 74 65 6E 01 6F 6E 01 69 74 2E C0</x:v>
      </x:c>
      <x:c r="K614" s="23" t="str">
        <x:v>1D0 020 084 016 039 01F 001 013 02D 03D 028 001 083 05E 078 084 04D 084 015 010 038 1C5 1D0 07D 084 05E 084 05C 016 020 023 011 012 07E 1C5 1D0 023 001 098 011 022 010 038 1C0</x:v>
      </x:c>
    </x:row>
    <x:row r="615">
      <x:c r="A615" s="22" t="str">
        <x:f>"02"</x:f>
        <x:v>02</x:v>
      </x:c>
      <x:c r="B615" s="22" t="str">
        <x:f>"65"</x:f>
        <x:v>65</x:v>
      </x:c>
      <x:c r="C615" s="22" t="str">
        <x:f>"0x0265"</x:f>
        <x:v>0x0265</x:v>
      </x:c>
      <x:c r="D615" s="21" t="str">
        <x:v>&lt;CLEAR&gt;
ちぎれた えほんの ページがある&lt;WAIT&gt;
&lt;CLEAR&gt;
「ベビーバロンがいました」&lt;WAIT&gt;
&lt;CLEAR&gt;
と 書いてある</x:v>
      </x:c>
      <x:c r="E615" s="19" t="str">
        <x:v>&lt;CLEAR&gt;There is a torn page
from a picture book.&lt;WAIT&gt;&lt;CLEAR&gt;"There was a Baby Baron..."&lt;WAIT&gt;&lt;CLEAR&gt;is written on it.</x:v>
      </x:c>
      <x:c r="F615" s="20" t="str"/>
      <x:c r="G615" s="20" t="str"/>
      <x:c r="H615" s="23" t="str">
        <x:v>CLEAR NEWLINE WAIT CLEAR WAIT CLEAR END</x:v>
      </x:c>
      <x:c r="I615" s="23" t="str">
        <x:v>EA:9545</x:v>
      </x:c>
      <x:c r="J615" s="23" t="str">
        <x:v>D0 54 68 65 72 65 01 69 73 01 61 01 74 6F 72 6E 01 70 61 67 65 C8 66 72 6F 6D 01 61 01 70 69 63 74 75 72 65 01 62 6F 6F 6B 2E C5 D0 22 54 68 65 72 65 01 77 61 73 01 61 01 42 61 62 79 01 42 61 72 6F 6E 2E 2E 2E 22 C5 D0 69 73 01 77 72 69 74 74 65 6E 01 6F 6E 01 69 74 2E C0</x:v>
      </x:c>
      <x:c r="K615" s="23" t="str">
        <x:v>1D0 020 084 016 039 01F 001 013 02D 03D 028 001 083 05E 078 084 04D 084 015 010 038 1C5 1D0 07D 084 05E 084 05C 078 084 05B 06C 06F 084 015 011 02E 01B 01F 07E 1C5 1D0 023 001 098 011 022 010 038 1C0</x:v>
      </x:c>
    </x:row>
    <x:row r="616">
      <x:c r="A616" s="22" t="str">
        <x:f>"02"</x:f>
        <x:v>02</x:v>
      </x:c>
      <x:c r="B616" s="22" t="str">
        <x:f>"66"</x:f>
        <x:v>66</x:v>
      </x:c>
      <x:c r="C616" s="22" t="str">
        <x:f>"0x0266"</x:f>
        <x:v>0x0266</x:v>
      </x:c>
      <x:c r="D616" s="21" t="str">
        <x:v>&lt;CLEAR&gt;
ちぎれた えほんの ページがある&lt;WAIT&gt;
&lt;CLEAR&gt;
「ベビきちは あわてんぼうなので」&lt;WAIT&gt;
&lt;CLEAR&gt;
と 書いてある</x:v>
      </x:c>
      <x:c r="E616" s="19" t="str">
        <x:v>&lt;CLEAR&gt;There is a torn page
from a picture book.&lt;WAIT&gt;&lt;CLEAR&gt;"Bebikichi was very hasty, so..."&lt;WAIT&gt;&lt;CLEAR&gt;is written on it.</x:v>
      </x:c>
      <x:c r="F616" s="20" t="str"/>
      <x:c r="G616" s="20" t="str"/>
      <x:c r="H616" s="23" t="str">
        <x:v>CLEAR NEWLINE WAIT CLEAR WAIT CLEAR END</x:v>
      </x:c>
      <x:c r="I616" s="23" t="str">
        <x:v>EA:95A0</x:v>
      </x:c>
      <x:c r="J616" s="23" t="str">
        <x:v>D0 54 68 65 72 65 01 69 73 01 61 01 74 6F 72 6E 01 70 61 67 65 C8 66 72 6F 6D 01 61 01 70 69 63 74 75 72 65 01 62 6F 6F 6B 2E C5 D0 22 42 65 62 69 6B 69 63 68 69 01 77 61 73 01 76 65 72 79 01 68 61 73 74 79 2C 01 73 6F 2E 2E 2E 22 C5 D0 69 73 01 77 72 69 74 74 65 6E 01 6F 6E 01 69 74 2E C0</x:v>
      </x:c>
      <x:c r="K616" s="23" t="str">
        <x:v>1D0 020 084 016 039 01F 001 013 02D 03D 028 001 083 05E 078 084 04D 084 015 010 038 1C5 1D0 07D 084 05E 084 05C 016 020 029 001 010 03B 022 03D 084 02D 012 024 028 084 022 07E 1C5 1D0 023 001 098 011 022 010 038 1C0</x:v>
      </x:c>
    </x:row>
    <x:row r="617">
      <x:c r="A617" s="22" t="str">
        <x:f>"02"</x:f>
        <x:v>02</x:v>
      </x:c>
      <x:c r="B617" s="22" t="str">
        <x:f>"67"</x:f>
        <x:v>67</x:v>
      </x:c>
      <x:c r="C617" s="22" t="str">
        <x:f>"0x0267"</x:f>
        <x:v>0x0267</x:v>
      </x:c>
      <x:c r="D617" s="21" t="str">
        <x:v>&lt;CLEAR&gt;
ちぎれた えほんの ページがある&lt;WAIT&gt;
&lt;CLEAR&gt;
「どうくつの なかで」&lt;WAIT&gt;
&lt;CLEAR&gt;
と 書いてある</x:v>
      </x:c>
      <x:c r="E617" s="19" t="str">
        <x:v>&lt;CLEAR&gt;There is a torn page
from a picture book.&lt;WAIT&gt;&lt;CLEAR&gt;"Inside a cave..."&lt;WAIT&gt;&lt;CLEAR&gt;is written on it.</x:v>
      </x:c>
      <x:c r="F617" s="20" t="str"/>
      <x:c r="G617" s="20" t="str"/>
      <x:c r="H617" s="23" t="str">
        <x:v>CLEAR NEWLINE WAIT CLEAR WAIT CLEAR END</x:v>
      </x:c>
      <x:c r="I617" s="23" t="str">
        <x:v>EA:9601</x:v>
      </x:c>
      <x:c r="J617" s="23" t="str">
        <x:v>D0 54 68 65 72 65 01 69 73 01 61 01 74 6F 72 6E 01 70 61 67 65 C8 66 72 6F 6D 01 61 01 70 69 63 74 75 72 65 01 62 6F 6F 6B 2E C5 D0 22 49 6E 73 69 64 65 01 61 01 63 61 76 65 2E 2E 2E 22 C5 D0 69 73 01 77 72 69 74 74 65 6E 01 6F 6E 01 69 74 2E C0</x:v>
      </x:c>
      <x:c r="K617" s="23" t="str">
        <x:v>1D0 020 084 016 039 01F 001 013 02D 03D 028 001 083 05E 078 084 04D 084 015 010 038 1C5 1D0 07D 084 023 012 017 021 028 001 024 015 084 022 07E 1C5 1D0 023 001 098 011 022 010 038 1C0</x:v>
      </x:c>
    </x:row>
    <x:row r="618">
      <x:c r="A618" s="22" t="str">
        <x:f>"02"</x:f>
        <x:v>02</x:v>
      </x:c>
      <x:c r="B618" s="22" t="str">
        <x:f>"68"</x:f>
        <x:v>68</x:v>
      </x:c>
      <x:c r="C618" s="22" t="str">
        <x:f>"0x0268"</x:f>
        <x:v>0x0268</x:v>
      </x:c>
      <x:c r="D618" s="21" t="str">
        <x:v>&lt;CLEAR&gt;
ちぎれた えほんの ページがある&lt;WAIT&gt;
&lt;CLEAR&gt;
「いわと にんげんを まちがえて」&lt;WAIT&gt;
&lt;CLEAR&gt;
と 書いてある</x:v>
      </x:c>
      <x:c r="E618" s="19" t="str">
        <x:v>&lt;CLEAR&gt;There is a torn page
from a picture book.&lt;WAIT&gt;&lt;CLEAR&gt;"He mistook people for rocks..."&lt;WAIT&gt;&lt;CLEAR&gt;is written on it.</x:v>
      </x:c>
      <x:c r="F618" s="20" t="str"/>
      <x:c r="G618" s="20" t="str"/>
      <x:c r="H618" s="23" t="str">
        <x:v>CLEAR NEWLINE WAIT CLEAR WAIT CLEAR END</x:v>
      </x:c>
      <x:c r="I618" s="23" t="str">
        <x:v>EA:9653</x:v>
      </x:c>
      <x:c r="J618" s="23" t="str">
        <x:v>D0 54 68 65 72 65 01 69 73 01 61 01 74 6F 72 6E 01 70 61 67 65 C8 66 72 6F 6D 01 61 01 70 69 63 74 75 72 65 01 62 6F 6F 6B 2E C5 D0 22 48 65 01 6D 69 73 74 6F 6F 6B 01 70 65 6F 70 6C 65 01 66 6F 72 01 72 6F 63 6B 73 2E 2E 2E 22 C5 D0 69 73 01 77 72 69 74 74 65 6E 01 6F 6E 01 69 74 2E C0</x:v>
      </x:c>
      <x:c r="K618" s="23" t="str">
        <x:v>1D0 020 084 016 039 01F 001 013 02D 03D 028 001 083 05E 078 084 04D 084 015 010 038 1C5 1D0 07D 011 03B 023 001 025 03D 084 018 03D 03C 001 02E 020 084 015 013 022 07E 1C5 1D0 023 001 098 011 022 010 038 1C0</x:v>
      </x:c>
    </x:row>
    <x:row r="619">
      <x:c r="A619" s="22" t="str">
        <x:f>"02"</x:f>
        <x:v>02</x:v>
      </x:c>
      <x:c r="B619" s="22" t="str">
        <x:f>"69"</x:f>
        <x:v>69</x:v>
      </x:c>
      <x:c r="C619" s="22" t="str">
        <x:f>"0x0269"</x:f>
        <x:v>0x0269</x:v>
      </x:c>
      <x:c r="D619" s="21" t="str">
        <x:v>&lt;CLEAR&gt;
ちぎれた えほんの ページがある&lt;WAIT&gt;
&lt;CLEAR&gt;
「よく けがを していました」&lt;WAIT&gt;
&lt;CLEAR&gt;
と 書いてある</x:v>
      </x:c>
      <x:c r="E619" s="19" t="str">
        <x:v>&lt;CLEAR&gt;There is a torn page
from a picture book.&lt;WAIT&gt;&lt;CLEAR&gt;"And was often badly hurt."&lt;WAIT&gt;&lt;CLEAR&gt;is written on it.</x:v>
      </x:c>
      <x:c r="F619" s="20" t="str"/>
      <x:c r="G619" s="20" t="str"/>
      <x:c r="H619" s="23" t="str">
        <x:v>CLEAR NEWLINE WAIT CLEAR WAIT CLEAR END</x:v>
      </x:c>
      <x:c r="I619" s="23" t="str">
        <x:v>EA:96B3</x:v>
      </x:c>
      <x:c r="J619" s="23" t="str">
        <x:v>D0 54 68 65 72 65 01 69 73 01 61 01 74 6F 72 6E 01 70 61 67 65 C8 66 72 6F 6D 01 61 01 70 69 63 74 75 72 65 01 62 6F 6F 6B 2E C5 D0 22 41 6E 64 01 77 61 73 01 6F 66 74 65 6E 01 62 61 64 6C 79 01 68 75 72 74 2E 22 C5 D0 69 73 01 77 72 69 74 74 65 6E 01 6F 6E 01 69 74 2E C0</x:v>
      </x:c>
      <x:c r="K619" s="23" t="str">
        <x:v>1D0 020 084 016 039 01F 001 013 02D 03D 028 001 083 05E 078 084 04D 084 015 010 038 1C5 1D0 07D 035 017 001 018 084 015 03C 001 01B 022 011 02E 01B 01F 07E 1C5 1D0 023 001 098 011 022 010 038 1C0</x:v>
      </x:c>
    </x:row>
    <x:row r="620">
      <x:c r="A620" s="22" t="str">
        <x:f>"02"</x:f>
        <x:v>02</x:v>
      </x:c>
      <x:c r="B620" s="22" t="str">
        <x:f>"6A"</x:f>
        <x:v>6A</x:v>
      </x:c>
      <x:c r="C620" s="22" t="str">
        <x:f>"0x026A"</x:f>
        <x:v>0x026A</x:v>
      </x:c>
      <x:c r="D620" s="21" t="str">
        <x:v>&lt;CLEAR&gt;
ちぎれた えほんの ページがある&lt;WAIT&gt;
&lt;CLEAR&gt;
「みんなも きを つけましょうね」&lt;WAIT&gt;
&lt;CLEAR&gt;
と 書いてある</x:v>
      </x:c>
      <x:c r="E620" s="19" t="str">
        <x:v>&lt;CLEAR&gt;There is a torn page
from a picture book.&lt;WAIT&gt;&lt;CLEAR&gt;"So everyone, please
be careful too."&lt;WAIT&gt;&lt;CLEAR&gt;is written on it.</x:v>
      </x:c>
      <x:c r="F620" s="20" t="str"/>
      <x:c r="G620" s="20" t="str"/>
      <x:c r="H620" s="23" t="str">
        <x:v>CLEAR NEWLINE WAIT CLEAR NEWLINE WAIT CLEAR END</x:v>
      </x:c>
      <x:c r="I620" s="23" t="str">
        <x:v>EA:970E</x:v>
      </x:c>
      <x:c r="J620" s="23" t="str">
        <x:v>D0 54 68 65 72 65 01 69 73 01 61 01 74 6F 72 6E 01 70 61 67 65 C8 66 72 6F 6D 01 61 01 70 69 63 74 75 72 65 01 62 6F 6F 6B 2E C5 D0 22 53 6F 01 65 76 65 72 79 6F 6E 65 2C 01 70 6C 65 61 73 65 C8 62 65 01 63 61 72 65 66 75 6C 01 74 6F 6F 2E 22 C5 D0 69 73 01 77 72 69 74 74 65 6E 01 6F 6E 01 69 74 2E C0</x:v>
      </x:c>
      <x:c r="K620" s="23" t="str">
        <x:v>1D0 020 084 016 039 01F 001 013 02D 03D 028 001 083 05E 078 084 04D 084 015 010 038 1C5 1D0 07D 02F 03D 024 032 001 016 03C 001 021 018 02E 01B 041 012 027 07E 1C5 1D0 023 001 098 011 022 010 038 1C0</x:v>
      </x:c>
    </x:row>
    <x:row r="621">
      <x:c r="A621" s="22" t="str">
        <x:f>"02"</x:f>
        <x:v>02</x:v>
      </x:c>
      <x:c r="B621" s="22" t="str">
        <x:f>"6B"</x:f>
        <x:v>6B</x:v>
      </x:c>
      <x:c r="C621" s="22" t="str">
        <x:f>"0x026B"</x:f>
        <x:v>0x026B</x:v>
      </x:c>
      <x:c r="D621" s="21" t="str">
        <x:v>&lt;CLEAR&gt;
いみふめいの むつかしい本が
ならんでいる・・・・・・・・・ん?&lt;WAIT&gt;
&lt;CLEAR&gt;
本の おくに スイッチがある
おしてみますか?</x:v>
      </x:c>
      <x:c r="E621" s="19" t="str">
        <x:v>&lt;CLEAR&gt;Rows of difficult,
incomprehensible books... Hm?&lt;WAIT&gt;&lt;CLEAR&gt;There is a switch behind
the books. Press it?&lt;LINE&gt;</x:v>
      </x:c>
      <x:c r="F621" s="20" t="str"/>
      <x:c r="G621" s="20" t="str"/>
      <x:c r="H621" s="23" t="str">
        <x:v>CLEAR NEWLINE WAIT CLEAR NEWLINE LINE END</x:v>
      </x:c>
      <x:c r="I621" s="23" t="str">
        <x:v>EA:9773</x:v>
      </x:c>
      <x:c r="J621" s="23" t="str">
        <x:v>D0 52 6F 77 73 01 6F 66 01 64 69 66 66 69 63 75 6C 74 2C C8 69 6E 63 6F 6D 70 72 65 68 65 6E 73 69 62 6C 65 01 62 6F 6F 6B 73 2E 2E 2E 01 48 6D 3F C5 D0 54 68 65 72 65 01 69 73 01 61 01 73 77 69 74 63 68 01 62 65 68 69 6E 64 C8 74 68 65 01 62 6F 6F 6B 73 2E 01 50 72 65 73 73 01 69 74 3F C3 C0</x:v>
      </x:c>
      <x:c r="K621" s="23" t="str">
        <x:v>1D0 011 02F 02B 031 011 028 001 030 021 015 01B 011 13A 084 015 1C8 024 036 03D 084 022 011 038 081 081 081 081 081 081 081 081 081 03D 079 1C5 1D0 13A 028 001 014 017 025 001 04E 043 070 052 084 015 010 038 1C8 014 01B 022 02F 02E 01C 015 079 1C3 1C0</x:v>
      </x:c>
    </x:row>
    <x:row r="622">
      <x:c r="A622" s="22" t="str">
        <x:f>"02"</x:f>
        <x:v>02</x:v>
      </x:c>
      <x:c r="B622" s="22" t="str">
        <x:f>"6C"</x:f>
        <x:v>6C</x:v>
      </x:c>
      <x:c r="C622" s="22" t="str">
        <x:f>"0x026C"</x:f>
        <x:v>0x026C</x:v>
      </x:c>
      <x:c r="D622" s="21" t="str">
        <x:v>&lt;CLEAR&gt;
本の おくに スイッチがある
スイッチは おされている</x:v>
      </x:c>
      <x:c r="E622" s="19" t="str">
        <x:v>&lt;CLEAR&gt;There is a switch
behind the books. It has
already been pressed.</x:v>
      </x:c>
      <x:c r="F622" s="20" t="str"/>
      <x:c r="G622" s="20" t="str"/>
      <x:c r="H622" s="23" t="str">
        <x:v>CLEAR NEWLINE NEWLINE END</x:v>
      </x:c>
      <x:c r="I622" s="23" t="str">
        <x:v>EA:97D5</x:v>
      </x:c>
      <x:c r="J622" s="23" t="str">
        <x:v>D0 54 68 65 72 65 01 69 73 01 61 01 73 77 69 74 63 68 C8 62 65 68 69 6E 64 01 74 68 65 01 62 6F 6F 6B 73 2E 01 49 74 01 68 61 73 C8 61 6C 72 65 61 64 79 01 62 65 65 6E 01 70 72 65 73 73 65 64 2E C0</x:v>
      </x:c>
      <x:c r="K622" s="23" t="str">
        <x:v>1D0 13A 028 001 014 017 025 001 04E 043 070 052 084 015 010 038 1C8 04E 043 070 052 029 001 014 01A 039 022 011 038 1C0</x:v>
      </x:c>
    </x:row>
    <x:row r="623">
      <x:c r="A623" s="22" t="str">
        <x:f>"02"</x:f>
        <x:v>02</x:v>
      </x:c>
      <x:c r="B623" s="22" t="str">
        <x:f>"6D"</x:f>
        <x:v>6D</x:v>
      </x:c>
      <x:c r="C623" s="22" t="str">
        <x:f>"0x026D"</x:f>
        <x:v>0x026D</x:v>
      </x:c>
      <x:c r="D623" s="21" t="str">
        <x:v>&lt;SPEAKER&gt;「おれは 火の玉が
にがてなんだ あしが すくんで
動けないよ</x:v>
      </x:c>
      <x:c r="E623" s="19" t="str">
        <x:v>&lt;SPEAKER&gt;I hate fireballs. My legs
freeze up and I cannot move!</x:v>
      </x:c>
      <x:c r="F623" s="20" t="str"/>
      <x:c r="G623" s="20" t="str"/>
      <x:c r="H623" s="23" t="str">
        <x:v>SPEAKER NEWLINE END</x:v>
      </x:c>
      <x:c r="I623" s="23" t="str">
        <x:v>EA:9817</x:v>
      </x:c>
      <x:c r="J623" s="23" t="str">
        <x:v>CC 49 01 68 61 74 65 01 66 69 72 65 62 61 6C 6C 73 2E 01 4D 79 01 6C 65 67 73 C8 66 72 65 65 7A 65 01 75 70 01 61 6E 64 01 49 01 63 61 6E 6E 6F 74 01 6D 6F 76 65 21 C0</x:v>
      </x:c>
      <x:c r="K623" s="23" t="str">
        <x:v>1CC 014 039 029 001 110 028 127 084 015 1C8 025 084 015 022 024 03D 084 01F 001 010 01B 084 015 001 01C 017 03D 084 022 1C8 0B1 018 024 011 035 1C0</x:v>
      </x:c>
    </x:row>
    <x:row r="624">
      <x:c r="A624" s="22" t="str">
        <x:f>"02"</x:f>
        <x:v>02</x:v>
      </x:c>
      <x:c r="B624" s="22" t="str">
        <x:f>"6E"</x:f>
        <x:v>6E</x:v>
      </x:c>
      <x:c r="C624" s="22" t="str">
        <x:f>"0x026E"</x:f>
        <x:v>0x026E</x:v>
      </x:c>
      <x:c r="D624" s="21" t="str">
        <x:v>&lt;SPEAKER&gt;「ずっと ふんばっていたんで
あしが しびれて 動けないよ</x:v>
      </x:c>
      <x:c r="E624" s="19" t="str">
        <x:v>&lt;SPEAKER&gt;I braced myself
for so long my legs went
numb. I cannot move!</x:v>
      </x:c>
      <x:c r="F624" s="20" t="str"/>
      <x:c r="G624" s="20" t="str"/>
      <x:c r="H624" s="23" t="str">
        <x:v>SPEAKER NEWLINE NEWLINE END</x:v>
      </x:c>
      <x:c r="I624" s="23" t="str">
        <x:v>EA:984F</x:v>
      </x:c>
      <x:c r="J624" s="23" t="str">
        <x:v>CC 49 01 62 72 61 63 65 64 01 6D 79 73 65 6C 66 C8 66 6F 72 01 73 6F 01 6C 6F 6E 67 01 6D 79 01 6C 65 67 73 01 77 65 6E 74 C8 6E 75 6D 62 2E 01 49 01 63 61 6E 6E 6F 74 01 6D 6F 76 65 21 C0</x:v>
      </x:c>
      <x:c r="K624" s="23" t="str">
        <x:v>1CC 084 01C 03E 023 001 02B 03D 084 029 03E 022 011 01F 03D 084 022 1C8 010 01B 084 015 001 01B 084 02A 039 022 001 0B1 018 024 011 035 1C0</x:v>
      </x:c>
    </x:row>
    <x:row r="625">
      <x:c r="A625" s="22" t="str">
        <x:f>"02"</x:f>
        <x:v>02</x:v>
      </x:c>
      <x:c r="B625" s="22" t="str">
        <x:f>"6F"</x:f>
        <x:v>6F</x:v>
      </x:c>
      <x:c r="C625" s="22" t="str">
        <x:f>"0x026F"</x:f>
        <x:v>0x026F</x:v>
      </x:c>
      <x:c r="D625" s="21" t="str">
        <x:v>&lt;CLEAR&gt;
かべに ボタンがある
おしてみますか?</x:v>
      </x:c>
      <x:c r="E625" s="19" t="str">
        <x:v>&lt;CLEAR&gt;There is a button on
the wall. Press it?</x:v>
      </x:c>
      <x:c r="F625" s="20" t="str"/>
      <x:c r="G625" s="20" t="str"/>
      <x:c r="H625" s="23" t="str">
        <x:v>CLEAR NEWLINE END</x:v>
      </x:c>
      <x:c r="I625" s="23" t="str">
        <x:v>EA:988E</x:v>
      </x:c>
      <x:c r="J625" s="23" t="str">
        <x:v>D0 54 68 65 72 65 01 69 73 01 61 01 62 75 74 74 6F 6E 01 6F 6E C8 74 68 65 01 77 61 6C 6C 2E 01 50 72 65 73 73 01 69 74 3F C0</x:v>
      </x:c>
      <x:c r="K625" s="23" t="str">
        <x:v>1D0 015 084 02C 025 001 084 05F 051 06F 084 015 010 038 1C8 014 01B 022 02F 02E 01C 015 079 1C0</x:v>
      </x:c>
    </x:row>
    <x:row r="626">
      <x:c r="A626" s="22" t="str">
        <x:f>"02"</x:f>
        <x:v>02</x:v>
      </x:c>
      <x:c r="B626" s="22" t="str">
        <x:f>"70"</x:f>
        <x:v>70</x:v>
      </x:c>
      <x:c r="C626" s="22" t="str">
        <x:f>"0x0270"</x:f>
        <x:v>0x0270</x:v>
      </x:c>
      <x:c r="D626" s="21" t="str">
        <x:v>&lt;CLEAR&gt;
ほのおが とまった!</x:v>
      </x:c>
      <x:c r="E626" s="19" t="str">
        <x:v>&lt;CLEAR&gt;The flames stopped!</x:v>
      </x:c>
      <x:c r="F626" s="20" t="str"/>
      <x:c r="G626" s="20" t="str"/>
      <x:c r="H626" s="23" t="str">
        <x:v>CLEAR END</x:v>
      </x:c>
      <x:c r="I626" s="23" t="str">
        <x:v>EA:98B8</x:v>
      </x:c>
      <x:c r="J626" s="23" t="str">
        <x:v>D0 54 68 65 01 66 6C 61 6D 65 73 01 73 74 6F 70 70 65 64 21 C0</x:v>
      </x:c>
      <x:c r="K626" s="23" t="str">
        <x:v>1D0 02D 028 014 084 015 001 023 02E 03E 01F 07A 1C0</x:v>
      </x:c>
    </x:row>
    <x:row r="627">
      <x:c r="A627" s="22" t="str">
        <x:f>"02"</x:f>
        <x:v>02</x:v>
      </x:c>
      <x:c r="B627" s="22" t="str">
        <x:f>"71"</x:f>
        <x:v>71</x:v>
      </x:c>
      <x:c r="C627" s="22" t="str">
        <x:f>"0x0271"</x:f>
        <x:v>0x0271</x:v>
      </x:c>
      <x:c r="D627" s="21" t="str">
        <x:v>&lt;CLEAR&gt;
かべに ボタンがある
ボタンは おされている</x:v>
      </x:c>
      <x:c r="E627" s="19" t="str">
        <x:v>&lt;CLEAR&gt;There is a button on the wall.
It has already been pressed.</x:v>
      </x:c>
      <x:c r="F627" s="20" t="str"/>
      <x:c r="G627" s="20" t="str"/>
      <x:c r="H627" s="23" t="str">
        <x:v>CLEAR NEWLINE END</x:v>
      </x:c>
      <x:c r="I627" s="23" t="str">
        <x:v>EA:98CD</x:v>
      </x:c>
      <x:c r="J627" s="23" t="str">
        <x:v>D0 54 68 65 72 65 01 69 73 01 61 01 62 75 74 74 6F 6E 01 6F 6E 01 74 68 65 01 77 61 6C 6C 2E C8 49 74 01 68 61 73 01 61 6C 72 65 61 64 79 01 62 65 65 6E 01 70 72 65 73 73 65 64 2E C0</x:v>
      </x:c>
      <x:c r="K627" s="23" t="str">
        <x:v>1D0 015 084 02C 025 001 084 05F 051 06F 084 015 010 038 1C8 084 05F 051 06F 029 001 014 01A 039 022 011 038 1C0</x:v>
      </x:c>
    </x:row>
    <x:row r="628">
      <x:c r="A628" s="22" t="str">
        <x:f>"02"</x:f>
        <x:v>02</x:v>
      </x:c>
      <x:c r="B628" s="22" t="str">
        <x:f>"72"</x:f>
        <x:v>72</x:v>
      </x:c>
      <x:c r="C628" s="22" t="str">
        <x:f>"0x0272"</x:f>
        <x:v>0x0272</x:v>
      </x:c>
      <x:c r="D628" s="21" t="str">
        <x:v>&lt;CLEAR&gt;
「使用 ふのう
と 書いてある</x:v>
      </x:c>
      <x:c r="E628" s="19" t="str">
        <x:v>&lt;CLEAR&gt;"OUT OF ORDER" is written here.</x:v>
      </x:c>
      <x:c r="F628" s="20" t="str"/>
      <x:c r="G628" s="20" t="str"/>
      <x:c r="H628" s="23" t="str">
        <x:v>CLEAR END</x:v>
      </x:c>
      <x:c r="I628" s="23" t="str">
        <x:v>EA:990A</x:v>
      </x:c>
      <x:c r="J628" s="23" t="str">
        <x:v>D0 22 4F 55 54 01 4F 46 01 4F 52 44 45 52 22 01 69 73 01 77 72 69 74 74 65 6E 01 68 65 72 65 2E C0</x:v>
      </x:c>
      <x:c r="K628" s="23" t="str">
        <x:v>1D0 07D 123 112 001 02B 028 012 1C8 023 001 098 011 022 010 038 1C0</x:v>
      </x:c>
    </x:row>
    <x:row r="629">
      <x:c r="A629" s="22" t="str">
        <x:f>"02"</x:f>
        <x:v>02</x:v>
      </x:c>
      <x:c r="B629" s="22" t="str">
        <x:f>"73"</x:f>
        <x:v>73</x:v>
      </x:c>
      <x:c r="C629" s="22" t="str">
        <x:f>"0x0273"</x:f>
        <x:v>0x0273</x:v>
      </x:c>
      <x:c r="D629" s="21" t="str">
        <x:v>&lt;CLEAR&gt;
ろうかで なにか おとがした</x:v>
      </x:c>
      <x:c r="E629" s="19" t="str">
        <x:v>&lt;CLEAR&gt;You heard something
in the hallway.</x:v>
      </x:c>
      <x:c r="F629" s="20" t="str"/>
      <x:c r="G629" s="20" t="str"/>
      <x:c r="H629" s="23" t="str">
        <x:v>CLEAR NEWLINE END</x:v>
      </x:c>
      <x:c r="I629" s="23" t="str">
        <x:v>EA:992B</x:v>
      </x:c>
      <x:c r="J629" s="23" t="str">
        <x:v>D0 59 6F 75 01 68 65 61 72 64 01 73 6F 6D 65 74 68 69 6E 67 C8 69 6E 01 74 68 65 01 68 61 6C 6C 77 61 79 2E C0</x:v>
      </x:c>
      <x:c r="K629" s="23" t="str">
        <x:v>1D0 03A 012 015 084 022 001 024 025 015 001 014 023 084 015 01B 01F 1C0</x:v>
      </x:c>
    </x:row>
    <x:row r="630">
      <x:c r="A630" s="22" t="str">
        <x:f>"02"</x:f>
        <x:v>02</x:v>
      </x:c>
      <x:c r="B630" s="22" t="str">
        <x:f>"74"</x:f>
        <x:v>74</x:v>
      </x:c>
      <x:c r="C630" s="22" t="str">
        <x:f>"0x0274"</x:f>
        <x:v>0x0274</x:v>
      </x:c>
      <x:c r="D630" s="21" t="str">
        <x:v>&lt;CLEAR&gt;
「じゅんばんに レバーを動かせ
よく見ろ よく聞け そして 頭を使え
・・・と かいてある</x:v>
      </x:c>
      <x:c r="E630" s="19" t="str">
        <x:v>&lt;CLEAR&gt;"Move the levers in order. Look
closely, listen carefully, and use
your head." ...is written here.</x:v>
      </x:c>
      <x:c r="F630" s="20" t="str"/>
      <x:c r="G630" s="20" t="str"/>
      <x:c r="H630" s="23" t="str">
        <x:v>CLEAR NEWLINE NEWLINE END</x:v>
      </x:c>
      <x:c r="I630" s="23" t="str">
        <x:v>EA:9950</x:v>
      </x:c>
      <x:c r="J630" s="23" t="str">
        <x:v>D0 22 4D 6F 76 65 01 74 68 65 01 6C 65 76 65 72 73 01 69 6E 01 6F 72 64 65 72 2E 01 4C 6F 6F 6B C8 63 6C 6F 73 65 6C 79 2C 01 6C 69 73 74 65 6E 01 63 61 72 65 66 75 6C 6C 79 2C 01 61 6E 64 01 75 73 65 C8 79 6F 75 72 01 68 65 61 64 2E 22 01 2E 2E 2E 69 73 01 77 72 69 74 74 65 6E 01 68 65 72 65 2E C0</x:v>
      </x:c>
      <x:c r="K630" s="23" t="str">
        <x:v>1D0 07D 084 01B 040 03D 084 029 03D 025 001 06B 084 05B 078 03C 0B1 015 01D 1C8 035 017 090 03A 001 035 017 0A6 018 001 01E 01B 022 001 1B9 03C 123 013 1C8 081 081 081 023 001 015 011 022 010 038 1C0</x:v>
      </x:c>
    </x:row>
    <x:row r="631">
      <x:c r="A631" s="22" t="str">
        <x:f>"02"</x:f>
        <x:v>02</x:v>
      </x:c>
      <x:c r="B631" s="22" t="str">
        <x:f>"75"</x:f>
        <x:v>75</x:v>
      </x:c>
      <x:c r="C631" s="22" t="str">
        <x:f>"0x0275"</x:f>
        <x:v>0x0275</x:v>
      </x:c>
      <x:c r="D631" s="21" t="str">
        <x:v>&lt;CLEAR&gt;
コックスの たましいが
おたけびをあげた!</x:v>
      </x:c>
      <x:c r="E631" s="19" t="str">
        <x:v>&lt;CLEAR&gt;Cox's soul lets
out a mighty roar!</x:v>
      </x:c>
      <x:c r="F631" s="20" t="str"/>
      <x:c r="G631" s="20" t="str"/>
      <x:c r="H631" s="23" t="str">
        <x:v>CLEAR NEWLINE END</x:v>
      </x:c>
      <x:c r="I631" s="23" t="str">
        <x:v>EA:99B4</x:v>
      </x:c>
      <x:c r="J631" s="23" t="str">
        <x:v>D0 43 6F 78 27 73 01 73 6F 75 6C 01 6C 65 74 73 C8 6F 75 74 01 61 01 6D 69 67 68 74 79 01 72 6F 61 72 21 C0</x:v>
      </x:c>
      <x:c r="K631" s="23" t="str">
        <x:v>1D0 04B 070 049 04E 028 001 01F 02E 01B 011 084 015 1C8 014 01F 018 084 02A 03C 010 084 018 01F 07A 1C0</x:v>
      </x:c>
    </x:row>
    <x:row r="632">
      <x:c r="A632" s="22" t="str">
        <x:f>"02"</x:f>
        <x:v>02</x:v>
      </x:c>
      <x:c r="B632" s="22" t="str">
        <x:f>"76"</x:f>
        <x:v>76</x:v>
      </x:c>
      <x:c r="C632" s="22" t="str">
        <x:f>"0x0276"</x:f>
        <x:v>0x0276</x:v>
      </x:c>
      <x:c r="D632" s="21" t="str">
        <x:v>&lt;SPEAKER&gt;「・・・あのー お嬢さま
わたしの かんがえを
いって かまいませんか?</x:v>
      </x:c>
      <x:c r="E632" s="19" t="str">
        <x:v>&lt;SPEAKER&gt;Um... Lady? May
I offer my opinion?</x:v>
      </x:c>
      <x:c r="F632" s="20" t="str"/>
      <x:c r="G632" s="20" t="str"/>
      <x:c r="H632" s="23" t="str">
        <x:v>SPEAKER NEWLINE END</x:v>
      </x:c>
      <x:c r="I632" s="23" t="str">
        <x:v>EA:99D8</x:v>
      </x:c>
      <x:c r="J632" s="23" t="str">
        <x:v>CC 55 6D 2E 2E 2E 01 4C 61 64 79 3F 01 4D 61 79 C8 49 01 6F 66 66 65 72 01 6D 79 01 6F 70 69 6E 69 6F 6E 3F C0</x:v>
      </x:c>
      <x:c r="K632" s="23" t="str">
        <x:v>1CC 081 081 081 010 028 078 001 014 0D8 01A 02E 1C8 03B 01F 01B 028 001 015 03D 084 015 013 03C 1C8 011 03E 022 001 015 02E 011 02E 01D 03D 015 079 1C0</x:v>
      </x:c>
    </x:row>
    <x:row r="633">
      <x:c r="A633" s="22" t="str">
        <x:f>"02"</x:f>
        <x:v>02</x:v>
      </x:c>
      <x:c r="B633" s="22" t="str">
        <x:f>"77"</x:f>
        <x:v>77</x:v>
      </x:c>
      <x:c r="C633" s="22" t="str">
        <x:f>"0x0277"</x:f>
        <x:v>0x0277</x:v>
      </x:c>
      <x:c r="D633" s="21" t="str">
        <x:v>&lt;CLEAR&gt;
コックスの意見を 聞きますか?</x:v>
      </x:c>
      <x:c r="E633" s="19" t="str">
        <x:v>&lt;CLEAR&gt;Listen to Cox's opinion?</x:v>
      </x:c>
      <x:c r="F633" s="20" t="str"/>
      <x:c r="G633" s="20" t="str"/>
      <x:c r="H633" s="23" t="str">
        <x:v>CLEAR END</x:v>
      </x:c>
      <x:c r="I633" s="23" t="str">
        <x:v>EA:99FD</x:v>
      </x:c>
      <x:c r="J633" s="23" t="str">
        <x:v>D0 4C 69 73 74 65 6E 01 74 6F 01 43 6F 78 27 73 01 6F 70 69 6E 69 6F 6E 3F C0</x:v>
      </x:c>
      <x:c r="K633" s="23" t="str">
        <x:v>1D0 04B 070 049 04E 028 131 090 03C 001 0A6 016 02E 01C 015 079 1C0</x:v>
      </x:c>
    </x:row>
    <x:row r="634">
      <x:c r="A634" s="22" t="str">
        <x:f>"02"</x:f>
        <x:v>02</x:v>
      </x:c>
      <x:c r="B634" s="22" t="str">
        <x:f>"78"</x:f>
        <x:v>78</x:v>
      </x:c>
      <x:c r="C634" s="22" t="str">
        <x:f>"0x0278"</x:f>
        <x:v>0x0278</x:v>
      </x:c>
      <x:c r="D634" s="21" t="str">
        <x:v>&lt;SPEAKER&gt;「6本のレバーを じゅんばんに
動かす やり方は えーと・・・
720通りも ありますよ!&lt;WAIT&gt;&lt;SPEAKER&gt;「しらみつぶしに やるより
いい方法が あるかも・・・</x:v>
      </x:c>
      <x:c r="E634" s="19" t="str">
        <x:v>&lt;SPEAKER&gt;There are, let me
see... 720 different orders
for moving six levers!&lt;WAIT&gt;&lt;SPEAKER&gt;There may be
a better way than
trying every combination...</x:v>
      </x:c>
      <x:c r="F634" s="20" t="str"/>
      <x:c r="G634" s="20" t="str"/>
      <x:c r="H634" s="23" t="str">
        <x:v>SPEAKER NEWLINE NEWLINE WAIT SPEAKER NEWLINE NEWLINE END</x:v>
      </x:c>
      <x:c r="I634" s="23" t="str">
        <x:v>EA:9A17</x:v>
      </x:c>
      <x:c r="J634" s="23" t="str">
        <x:v>CC 54 68 65 72 65 01 61 72 65 2C 01 6C 65 74 01 6D 65 C8 73 65 65 2E 2E 2E 01 37 32 30 01 64 69 66 66 65 72 65 6E 74 01 6F 72 64 65 72 73 C8 66 6F 72 01 6D 6F 76 69 6E 67 01 73 69 78 01 6C 65 76 65 72 73 21 C5 CC 54 68 65 72 65 01 6D 61 79 01 62 65 C8 61 01 62 65 74 74 65 72 01 77 61 79 01 74 68 61 6E C8 74 72 79 69 6E 67 01 65 76 65 72 79 01 63 6F 6D 62 69 6E 61 74 69 6F 6E 2E 2E 2E C0</x:v>
      </x:c>
      <x:c r="K634" s="23" t="str">
        <x:v>1CC 008 13A 028 06B 084 05B 078 03C 001 084 01B 040 03D 084 029 03D 025 1C8 0B1 015 01C 001 033 037 0B9 029 001 013 078 023 081 081 081 1C8 009 004 002 12E 037 032 001 010 037 02E 01C 035 07A 1C5 1CC 01B 036 02F 021 084 02B 01B 025 001 033 038 035 037 1C8 011 011 0B9 157 084 015 001 010 038 015 032 081 081 081 1C0</x:v>
      </x:c>
    </x:row>
    <x:row r="635">
      <x:c r="A635" s="22" t="str">
        <x:f>"02"</x:f>
        <x:v>02</x:v>
      </x:c>
      <x:c r="B635" s="22" t="str">
        <x:f>"79"</x:f>
        <x:v>79</x:v>
      </x:c>
      <x:c r="C635" s="22" t="str">
        <x:f>"0x0279"</x:f>
        <x:v>0x0279</x:v>
      </x:c>
      <x:c r="D635" s="21" t="str">
        <x:v>&lt;CLEAR&gt;
もっと コックスの意見を 聞きますか?</x:v>
      </x:c>
      <x:c r="E635" s="19" t="str">
        <x:v>&lt;CLEAR&gt;Hear more of Cox's opinion?</x:v>
      </x:c>
      <x:c r="F635" s="20" t="str"/>
      <x:c r="G635" s="20" t="str"/>
      <x:c r="H635" s="23" t="str">
        <x:v>CLEAR END</x:v>
      </x:c>
      <x:c r="I635" s="23" t="str">
        <x:v>EA:9A99</x:v>
      </x:c>
      <x:c r="J635" s="23" t="str">
        <x:v>D0 48 65 61 72 01 6D 6F 72 65 01 6F 66 01 43 6F 78 27 73 01 6F 70 69 6E 69 6F 6E 3F C0</x:v>
      </x:c>
      <x:c r="K635" s="23" t="str">
        <x:v>1D0 032 03E 023 001 04B 070 049 04E 028 131 090 03C 001 0A6 016 02E 01C 015 079 1C0</x:v>
      </x:c>
    </x:row>
    <x:row r="636">
      <x:c r="A636" s="22" t="str">
        <x:f>"02"</x:f>
        <x:v>02</x:v>
      </x:c>
      <x:c r="B636" s="22" t="str">
        <x:f>"7A"</x:f>
        <x:v>7A</x:v>
      </x:c>
      <x:c r="C636" s="22" t="str">
        <x:f>"0x027A"</x:f>
        <x:v>0x027A</x:v>
      </x:c>
      <x:c r="D636" s="21" t="str">
        <x:v>&lt;SPEAKER&gt;「レバーを しらべましょう
きっと 何か 手がかりが
あると思うんですが・・・</x:v>
      </x:c>
      <x:c r="E636" s="19" t="str">
        <x:v>&lt;SPEAKER&gt;Let us examine the
levers. I am sure there is
some kind of clue here...</x:v>
      </x:c>
      <x:c r="F636" s="20" t="str"/>
      <x:c r="G636" s="20" t="str"/>
      <x:c r="H636" s="23" t="str">
        <x:v>SPEAKER NEWLINE NEWLINE END</x:v>
      </x:c>
      <x:c r="I636" s="23" t="str">
        <x:v>EA:9AB6</x:v>
      </x:c>
      <x:c r="J636" s="23" t="str">
        <x:v>CC 4C 65 74 01 75 73 01 65 78 61 6D 69 6E 65 01 74 68 65 C8 6C 65 76 65 72 73 2E 01 49 01 61 6D 01 73 75 72 65 01 74 68 65 72 65 01 69 73 C8 73 6F 6D 65 01 6B 69 6E 64 01 6F 66 01 63 6C 75 65 01 68 65 72 65 2E 2E 2E C0</x:v>
      </x:c>
      <x:c r="K636" s="23" t="str">
        <x:v>1CC 06B 084 05B 078 03C 001 01B 036 084 02C 02E 01B 041 012 1C8 016 03E 023 001 093 015 001 177 084 015 015 037 084 015 1C8 010 038 023 10F 012 03D 084 022 01C 084 015 081 081 081 1C0</x:v>
      </x:c>
    </x:row>
    <x:row r="637">
      <x:c r="A637" s="22" t="str">
        <x:f>"02"</x:f>
        <x:v>02</x:v>
      </x:c>
      <x:c r="B637" s="22" t="str">
        <x:f>"7B"</x:f>
        <x:v>7B</x:v>
      </x:c>
      <x:c r="C637" s="22" t="str">
        <x:f>"0x027B"</x:f>
        <x:v>0x027B</x:v>
      </x:c>
      <x:c r="D637" s="21" t="str">
        <x:v>&lt;SPEAKER&gt;「さっき ろうかの方で
何か ゴトッ・・・て
いいませんでした?</x:v>
      </x:c>
      <x:c r="E637" s="19" t="str">
        <x:v>&lt;SPEAKER&gt;Did you hear
something go clunk in
the hallway just now?</x:v>
      </x:c>
      <x:c r="F637" s="20" t="str"/>
      <x:c r="G637" s="20" t="str"/>
      <x:c r="H637" s="23" t="str">
        <x:v>SPEAKER NEWLINE NEWLINE END</x:v>
      </x:c>
      <x:c r="I637" s="23" t="str">
        <x:v>EA:9AFF</x:v>
      </x:c>
      <x:c r="J637" s="23" t="str">
        <x:v>CC 44 69 64 01 79 6F 75 01 68 65 61 72 C8 73 6F 6D 65 74 68 69 6E 67 01 67 6F 01 63 6C 75 6E 6B 01 69 6E C8 74 68 65 01 68 61 6C 6C 77 61 79 01 6A 75 73 74 01 6E 6F 77 3F C0</x:v>
      </x:c>
      <x:c r="K637" s="23" t="str">
        <x:v>1CC 01A 03E 016 001 03A 012 015 028 0B9 084 022 1C8 093 015 001 084 04B 055 070 081 081 081 022 1C8 011 011 02E 01D 03D 084 022 01B 01F 079 1C0</x:v>
      </x:c>
    </x:row>
    <x:row r="638">
      <x:c r="A638" s="22" t="str">
        <x:f>"02"</x:f>
        <x:v>02</x:v>
      </x:c>
      <x:c r="B638" s="22" t="str">
        <x:f>"7C"</x:f>
        <x:v>7C</x:v>
      </x:c>
      <x:c r="C638" s="22" t="str">
        <x:f>"0x027C"</x:f>
        <x:v>0x027C</x:v>
      </x:c>
      <x:c r="D638" s="21" t="str">
        <x:v>&lt;SPEAKER&gt;「でへへへへ ねえちゃんよー
気持ちええぜえ ごうもんはよー
びりびりっとな うひゃひゃー</x:v>
      </x:c>
      <x:c r="E638" s="19" t="str">
        <x:v>&lt;SPEAKER&gt;Heh heh heh,
hey, babe! Torture feels
great! Bzzzt! Ah-ha-ha-ha!</x:v>
      </x:c>
      <x:c r="F638" s="20" t="str"/>
      <x:c r="G638" s="20" t="str"/>
      <x:c r="H638" s="23" t="str">
        <x:v>SPEAKER NEWLINE NEWLINE END</x:v>
      </x:c>
      <x:c r="I638" s="23" t="str">
        <x:v>EA:9B39</x:v>
      </x:c>
      <x:c r="J638" s="23" t="str">
        <x:v>CC 48 65 68 01 68 65 68 01 68 65 68 2C C8 68 65 79 2C 01 62 61 62 65 21 01 54 6F 72 74 75 72 65 01 66 65 65 6C 73 C8 67 72 65 61 74 21 01 42 7A 7A 7A 74 21 01 41 68 2D 68 61 2D 68 61 2D 68 61 21 C0</x:v>
      </x:c>
      <x:c r="K638" s="23" t="str">
        <x:v>1CC 084 022 02C 02C 02C 02C 001 027 013 020 03F 03D 035 078 1C8 099 0D3 020 013 013 084 01D 013 001 084 019 012 032 03D 029 035 078 1C8 084 02A 037 084 02A 037 03E 023 024 001 012 02A 03F 02A 03F 078 1C0</x:v>
      </x:c>
    </x:row>
    <x:row r="639">
      <x:c r="A639" s="22" t="str">
        <x:f>"02"</x:f>
        <x:v>02</x:v>
      </x:c>
      <x:c r="B639" s="22" t="str">
        <x:f>"7D"</x:f>
        <x:v>7D</x:v>
      </x:c>
      <x:c r="C639" s="22" t="str">
        <x:f>"0x027D"</x:f>
        <x:v>0x027D</x:v>
      </x:c>
      <x:c r="D639" s="21" t="str">
        <x:v>&lt;SPEAKER&gt;「いいことを おしえてやろう!
とにかく 体力だ!
体力を まんたんにしとけ!</x:v>
      </x:c>
      <x:c r="E639" s="19" t="str">
        <x:v>&lt;SPEAKER&gt;Here is some advice!
Stamina is everything! Keep
your health topped off!</x:v>
      </x:c>
      <x:c r="F639" s="20" t="str"/>
      <x:c r="G639" s="20" t="str"/>
      <x:c r="H639" s="23" t="str">
        <x:v>SPEAKER NEWLINE NEWLINE END</x:v>
      </x:c>
      <x:c r="I639" s="23" t="str">
        <x:v>EA:9B7B</x:v>
      </x:c>
      <x:c r="J639" s="23" t="str">
        <x:v>CC 48 65 72 65 01 69 73 01 73 6F 6D 65 01 61 64 76 69 63 65 21 C8 53 74 61 6D 69 6E 61 01 69 73 01 65 76 65 72 79 74 68 69 6E 67 21 01 4B 65 65 70 C8 79 6F 75 72 01 68 65 61 6C 74 68 01 74 6F 70 70 65 64 01 6F 66 66 21 C0</x:v>
      </x:c>
      <x:c r="K639" s="23" t="str">
        <x:v>1CC 011 011 019 023 03C 001 014 01B 013 022 033 03A 012 07A 1C8 023 025 015 017 001 0F0 107 084 01F 07A 1C8 0F0 107 03C 001 02E 03D 01F 03D 025 01B 023 018 07A 1C0</x:v>
      </x:c>
    </x:row>
    <x:row r="640">
      <x:c r="A640" s="22" t="str">
        <x:f>"02"</x:f>
        <x:v>02</x:v>
      </x:c>
      <x:c r="B640" s="22" t="str">
        <x:f>"7E"</x:f>
        <x:v>7E</x:v>
      </x:c>
      <x:c r="C640" s="22" t="str">
        <x:f>"0x027E"</x:f>
        <x:v>0x027E</x:v>
      </x:c>
      <x:c r="D640" s="21" t="str">
        <x:v>&lt;SPEAKER&gt;「おくすりが ほしいのか?</x:v>
      </x:c>
      <x:c r="E640" s="19" t="str">
        <x:v>&lt;SPEAKER&gt;Want some medicine?</x:v>
      </x:c>
      <x:c r="F640" s="20" t="str"/>
      <x:c r="G640" s="20" t="str"/>
      <x:c r="H640" s="23" t="str">
        <x:v>SPEAKER END</x:v>
      </x:c>
      <x:c r="I640" s="23" t="str">
        <x:v>EA:9BC5</x:v>
      </x:c>
      <x:c r="J640" s="23" t="str">
        <x:v>CC 57 61 6E 74 01 73 6F 6D 65 01 6D 65 64 69 63 69 6E 65 3F C0</x:v>
      </x:c>
      <x:c r="K640" s="23" t="str">
        <x:v>1CC 014 017 01C 037 084 015 001 02D 01B 011 028 015 079 1C0</x:v>
      </x:c>
    </x:row>
    <x:row r="641">
      <x:c r="A641" s="22" t="str">
        <x:f>"02"</x:f>
        <x:v>02</x:v>
      </x:c>
      <x:c r="B641" s="22" t="str">
        <x:f>"7F"</x:f>
        <x:v>7F</x:v>
      </x:c>
      <x:c r="C641" s="22" t="str">
        <x:f>"0x027F"</x:f>
        <x:v>0x027F</x:v>
      </x:c>
      <x:c r="D641" s="21" t="str">
        <x:v>&lt;SPEAKER&gt;「ほらよ! 感謝しな!</x:v>
      </x:c>
      <x:c r="E641" s="19" t="str">
        <x:v>&lt;SPEAKER&gt;Here! Be grateful!</x:v>
      </x:c>
      <x:c r="F641" s="20" t="str"/>
      <x:c r="G641" s="20" t="str"/>
      <x:c r="H641" s="23" t="str">
        <x:v>SPEAKER END</x:v>
      </x:c>
      <x:c r="I641" s="23" t="str">
        <x:v>EA:9BDA</x:v>
      </x:c>
      <x:c r="J641" s="23" t="str">
        <x:v>CC 48 65 72 65 21 01 42 65 01 67 72 61 74 65 66 75 6C 21 C0</x:v>
      </x:c>
      <x:c r="K641" s="23" t="str">
        <x:v>1CC 02D 036 035 07A 001 0FC 193 01B 024 07A 1C0</x:v>
      </x:c>
    </x:row>
    <x:row r="642">
      <x:c r="A642" s="22" t="str">
        <x:f>"02"</x:f>
        <x:v>02</x:v>
      </x:c>
      <x:c r="B642" s="22" t="str">
        <x:f>"80"</x:f>
        <x:v>80</x:v>
      </x:c>
      <x:c r="C642" s="22" t="str">
        <x:f>"0x0280"</x:f>
        <x:v>0x0280</x:v>
      </x:c>
      <x:c r="D642" s="21" t="str">
        <x:v>&lt;SPEAKER&gt;「なんだ いっぱい
持ってるじゃねえか!
がめついねえ ねえちゃんよ!</x:v>
      </x:c>
      <x:c r="E642" s="19" t="str">
        <x:v>&lt;SPEAKER&gt;Hey, you already have
plenty! Greedy, are we, lady?</x:v>
      </x:c>
      <x:c r="F642" s="20" t="str"/>
      <x:c r="G642" s="20" t="str"/>
      <x:c r="H642" s="23" t="str">
        <x:v>SPEAKER NEWLINE END</x:v>
      </x:c>
      <x:c r="I642" s="23" t="str">
        <x:v>EA:9BEE</x:v>
      </x:c>
      <x:c r="J642" s="23" t="str">
        <x:v>CC 48 65 79 2C 01 79 6F 75 01 61 6C 72 65 61 64 79 01 68 61 76 65 C8 70 6C 65 6E 74 79 21 01 47 72 65 65 64 79 2C 01 61 72 65 01 77 65 2C 01 6C 61 64 79 3F C0</x:v>
      </x:c>
      <x:c r="K642" s="23" t="str">
        <x:v>1CC 024 03D 084 01F 001 011 03E 083 029 011 1C8 0D3 03E 022 038 084 01B 03F 027 013 015 07A 1C8 084 015 031 021 011 027 013 001 027 013 020 03F 03D 035 07A 1C0</x:v>
      </x:c>
    </x:row>
    <x:row r="643">
      <x:c r="A643" s="22" t="str">
        <x:f>"02"</x:f>
        <x:v>02</x:v>
      </x:c>
      <x:c r="B643" s="22" t="str">
        <x:f>"81"</x:f>
        <x:v>81</x:v>
      </x:c>
      <x:c r="C643" s="22" t="str">
        <x:f>"0x0281"</x:f>
        <x:v>0x0281</x:v>
      </x:c>
      <x:c r="D643" s="21" t="str">
        <x:v>&lt;SPEAKER&gt;「強がり いってんのも
いまのうちだぜ ねえちゃん!</x:v>
      </x:c>
      <x:c r="E643" s="19" t="str">
        <x:v>&lt;SPEAKER&gt;Enjoy acting tough
while you can, lady!</x:v>
      </x:c>
      <x:c r="F643" s="20" t="str"/>
      <x:c r="G643" s="20" t="str"/>
      <x:c r="H643" s="23" t="str">
        <x:v>SPEAKER NEWLINE END</x:v>
      </x:c>
      <x:c r="I643" s="23" t="str">
        <x:v>EA:9C23</x:v>
      </x:c>
      <x:c r="J643" s="23" t="str">
        <x:v>CC 45 6E 6A 6F 79 01 61 63 74 69 6E 67 01 74 6F 75 67 68 C8 77 68 69 6C 65 01 79 6F 75 01 63 61 6E 2C 01 6C 61 64 79 21 C0</x:v>
      </x:c>
      <x:c r="K643" s="23" t="str">
        <x:v>1CC 138 084 015 037 001 011 03E 022 03D 028 032 1C8 011 02E 028 012 020 084 01F 084 01D 001 027 013 020 03F 03D 07A 1C0</x:v>
      </x:c>
    </x:row>
    <x:row r="644">
      <x:c r="A644" s="22" t="str">
        <x:f>"02"</x:f>
        <x:v>02</x:v>
      </x:c>
      <x:c r="B644" s="22" t="str">
        <x:f>"82"</x:f>
        <x:v>82</x:v>
      </x:c>
      <x:c r="C644" s="22" t="str">
        <x:f>"0x0282"</x:f>
        <x:v>0x0282</x:v>
      </x:c>
      <x:c r="D644" s="21" t="str">
        <x:v>&lt;SPEAKER&gt;「・・・・・・・</x:v>
      </x:c>
      <x:c r="E644" s="19" t="str">
        <x:v>&lt;SPEAKER&gt;.......</x:v>
      </x:c>
      <x:c r="F644" s="20" t="str"/>
      <x:c r="G644" s="20" t="str"/>
      <x:c r="H644" s="23" t="str">
        <x:v>SPEAKER END</x:v>
      </x:c>
      <x:c r="I644" s="23" t="str">
        <x:v>EA:9C4C</x:v>
      </x:c>
      <x:c r="J644" s="23" t="str">
        <x:v>CC 2E 2E 2E 2E 2E 2E 2E C0</x:v>
      </x:c>
      <x:c r="K644" s="23" t="str">
        <x:v>1CC 081 081 081 081 081 081 081 1C0</x:v>
      </x:c>
    </x:row>
    <x:row r="645">
      <x:c r="A645" s="22" t="str">
        <x:f>"02"</x:f>
        <x:v>02</x:v>
      </x:c>
      <x:c r="B645" s="22" t="str">
        <x:f>"83"</x:f>
        <x:v>83</x:v>
      </x:c>
      <x:c r="C645" s="22" t="str">
        <x:f>"0x0283"</x:f>
        <x:v>0x0283</x:v>
      </x:c>
      <x:c r="D645" s="21" t="str">
        <x:v>&lt;SPEAKER&gt;「けけっ ぼくは 見物人さ
人間が くるしんでるのを
みるのは しぬほど たのしいよ</x:v>
      </x:c>
      <x:c r="E645" s="19" t="str">
        <x:v>&lt;SPEAKER&gt;Keh-heh! I am just a
spectator. Watching humans suffer
is so much fun I could die!</x:v>
      </x:c>
      <x:c r="F645" s="20" t="str"/>
      <x:c r="G645" s="20" t="str"/>
      <x:c r="H645" s="23" t="str">
        <x:v>SPEAKER NEWLINE NEWLINE END</x:v>
      </x:c>
      <x:c r="I645" s="23" t="str">
        <x:v>EA:9C55</x:v>
      </x:c>
      <x:c r="J645" s="23" t="str">
        <x:v>CC 4B 65 68 2D 68 65 68 21 01 49 01 61 6D 01 6A 75 73 74 01 61 C8 73 70 65 63 74 61 74 6F 72 2E 01 57 61 74 63 68 69 6E 67 01 68 75 6D 61 6E 73 01 73 75 66 66 65 72 C8 69 73 01 73 6F 01 6D 75 63 68 01 66 75 6E 01 49 01 63 6F 75 6C 64 01 64 69 65 21 C0</x:v>
      </x:c>
      <x:c r="K645" s="23" t="str">
        <x:v>1CC 018 018 03E 001 084 02D 017 029 001 090 08B 091 01A 1C8 091 0E3 084 015 001 017 038 01B 03D 084 022 038 028 03C 1C8 02F 038 028 029 001 01B 026 02D 084 023 001 01F 028 01B 011 035 1C0</x:v>
      </x:c>
    </x:row>
    <x:row r="646">
      <x:c r="A646" s="22" t="str">
        <x:f>"02"</x:f>
        <x:v>02</x:v>
      </x:c>
      <x:c r="B646" s="22" t="str">
        <x:f>"84"</x:f>
        <x:v>84</x:v>
      </x:c>
      <x:c r="C646" s="22" t="str">
        <x:f>"0x0284"</x:f>
        <x:v>0x0284</x:v>
      </x:c>
      <x:c r="D646" s="21" t="str">
        <x:v>&lt;SPEAKER&gt;「けっ しなないのか けっ</x:v>
      </x:c>
      <x:c r="E646" s="19" t="str">
        <x:v>&lt;SPEAKER&gt;Keh! You
are not dead yet?</x:v>
      </x:c>
      <x:c r="F646" s="20" t="str"/>
      <x:c r="G646" s="20" t="str"/>
      <x:c r="H646" s="23" t="str">
        <x:v>SPEAKER NEWLINE END</x:v>
      </x:c>
      <x:c r="I646" s="23" t="str">
        <x:v>EA:9CA9</x:v>
      </x:c>
      <x:c r="J646" s="23" t="str">
        <x:v>CC 4B 65 68 21 01 59 6F 75 C8 61 72 65 01 6E 6F 74 01 64 65 61 64 01 79 65 74 3F C0</x:v>
      </x:c>
      <x:c r="K646" s="23" t="str">
        <x:v>1CC 018 03E 001 01B 024 024 011 028 015 001 018 03E 1C0</x:v>
      </x:c>
    </x:row>
    <x:row r="647">
      <x:c r="A647" s="22" t="str">
        <x:f>"02"</x:f>
        <x:v>02</x:v>
      </x:c>
      <x:c r="B647" s="22" t="str">
        <x:f>"85"</x:f>
        <x:v>85</x:v>
      </x:c>
      <x:c r="C647" s="22" t="str">
        <x:f>"0x0285"</x:f>
        <x:v>0x0285</x:v>
      </x:c>
      <x:c r="D647" s="21" t="str">
        <x:v>&lt;SPEAKER&gt;「けけけっ ほれ 歩け 歩け!</x:v>
      </x:c>
      <x:c r="E647" s="19" t="str">
        <x:v>&lt;SPEAKER&gt;Keh-heh-heh!
Come on, walk! Walk!</x:v>
      </x:c>
      <x:c r="F647" s="20" t="str"/>
      <x:c r="G647" s="20" t="str"/>
      <x:c r="H647" s="23" t="str">
        <x:v>SPEAKER NEWLINE END</x:v>
      </x:c>
      <x:c r="I647" s="23" t="str">
        <x:v>EA:9CC5</x:v>
      </x:c>
      <x:c r="J647" s="23" t="str">
        <x:v>CC 4B 65 68 2D 68 65 68 2D 68 65 68 21 C8 43 6F 6D 65 01 6F 6E 2C 01 77 61 6C 6B 21 01 57 61 6C 6B 21 C0</x:v>
      </x:c>
      <x:c r="K647" s="23" t="str">
        <x:v>1CC 018 018 018 03E 001 02D 039 001 0D0 018 001 0D0 018 07A 1C0</x:v>
      </x:c>
    </x:row>
    <x:row r="648">
      <x:c r="A648" s="22" t="str">
        <x:f>"02"</x:f>
        <x:v>02</x:v>
      </x:c>
      <x:c r="B648" s="22" t="str">
        <x:f>"86"</x:f>
        <x:v>86</x:v>
      </x:c>
      <x:c r="C648" s="22" t="str">
        <x:f>"0x0286"</x:f>
        <x:v>0x0286</x:v>
      </x:c>
      <x:c r="D648" s="21" t="str">
        <x:v>&lt;SPEAKER&gt;「けっ まだ 生きてやがるな!
ふん! まあ いいか よし</x:v>
      </x:c>
      <x:c r="E648" s="19" t="str">
        <x:v>&lt;SPEAKER&gt;Keh! Still alive, huh?
Hmph! Fine, that will do.</x:v>
      </x:c>
      <x:c r="F648" s="20" t="str"/>
      <x:c r="G648" s="20" t="str"/>
      <x:c r="H648" s="23" t="str">
        <x:v>SPEAKER NEWLINE END</x:v>
      </x:c>
      <x:c r="I648" s="23" t="str">
        <x:v>EA:9CE8</x:v>
      </x:c>
      <x:c r="J648" s="23" t="str">
        <x:v>CC 4B 65 68 21 01 53 74 69 6C 6C 01 61 6C 69 76 65 2C 01 68 75 68 3F C8 48 6D 70 68 21 01 46 69 6E 65 2C 01 74 68 61 74 01 77 69 6C 6C 01 64 6F 2E C0</x:v>
      </x:c>
      <x:c r="K648" s="23" t="str">
        <x:v>1CC 018 03E 001 02E 084 01F 001 09B 016 022 033 084 015 038 024 07A 1C8 02B 03D 07A 001 02E 010 001 011 011 015 001 035 01B 1C0</x:v>
      </x:c>
    </x:row>
    <x:row r="649">
      <x:c r="A649" s="22" t="str">
        <x:f>"02"</x:f>
        <x:v>02</x:v>
      </x:c>
      <x:c r="B649" s="22" t="str">
        <x:f>"87"</x:f>
        <x:v>87</x:v>
      </x:c>
      <x:c r="C649" s="22" t="str">
        <x:f>"0x0287"</x:f>
        <x:v>0x0287</x:v>
      </x:c>
      <x:c r="D649" s="21" t="str">
        <x:v>&lt;SPEAKER&gt;「れんがをー おとしつづけてー
うでが たくましくー
なりましたー もりもりー</x:v>
      </x:c>
      <x:c r="E649" s="19" t="str">
        <x:v>&lt;SPEAKER&gt;I kept dropping
bricks, and now my arms
are huge! Muscles! Muscles!</x:v>
      </x:c>
      <x:c r="F649" s="20" t="str"/>
      <x:c r="G649" s="20" t="str"/>
      <x:c r="H649" s="23" t="str">
        <x:v>SPEAKER NEWLINE NEWLINE END</x:v>
      </x:c>
      <x:c r="I649" s="23" t="str">
        <x:v>EA:9D1A</x:v>
      </x:c>
      <x:c r="J649" s="23" t="str">
        <x:v>CC 49 01 6B 65 70 74 01 64 72 6F 70 70 69 6E 67 C8 62 72 69 63 6B 73 2C 01 61 6E 64 01 6E 6F 77 01 6D 79 01 61 72 6D 73 C8 61 72 65 01 68 75 67 65 21 01 4D 75 73 63 6C 65 73 21 01 4D 75 73 63 6C 65 73 21 C0</x:v>
      </x:c>
      <x:c r="K649" s="23" t="str">
        <x:v>1CC 039 03D 084 015 03C 078 001 014 023 01B 021 084 021 018 022 078 1C8 012 084 022 084 015 001 01F 017 02E 01B 017 078 1C8 024 037 02E 01B 01F 078 001 032 037 032 037 078 1C0</x:v>
      </x:c>
    </x:row>
    <x:row r="650">
      <x:c r="A650" s="22" t="str">
        <x:f>"02"</x:f>
        <x:v>02</x:v>
      </x:c>
      <x:c r="B650" s="22" t="str">
        <x:f>"88"</x:f>
        <x:v>88</x:v>
      </x:c>
      <x:c r="C650" s="22" t="str">
        <x:f>"0x0288"</x:f>
        <x:v>0x0288</x:v>
      </x:c>
      <x:c r="D650" s="21" t="str">
        <x:v>&lt;CLEAR&gt;
たるの中には なみなみと
ぶどう色の 水が はいっている&lt;WAIT&gt;
&lt;CLEAR&gt;
この 水を のみますか?</x:v>
      </x:c>
      <x:c r="E650" s="19" t="str">
        <x:v>&lt;CLEAR&gt;The barrel is filled to the
brim with purple-colored water.&lt;WAIT&gt;&lt;CLEAR&gt;Drink the water?</x:v>
      </x:c>
      <x:c r="F650" s="20" t="str"/>
      <x:c r="G650" s="20" t="str"/>
      <x:c r="H650" s="23" t="str">
        <x:v>CLEAR NEWLINE WAIT CLEAR END</x:v>
      </x:c>
      <x:c r="I650" s="23" t="str">
        <x:v>EA:9D5F</x:v>
      </x:c>
      <x:c r="J650" s="23" t="str">
        <x:v>D0 54 68 65 01 62 61 72 72 65 6C 01 69 73 01 66 69 6C 6C 65 64 01 74 6F 01 74 68 65 C8 62 72 69 6D 01 77 69 74 68 01 70 75 72 70 6C 65 2D 63 6F 6C 6F 72 65 64 01 77 61 74 65 72 2E C5 D0 44 72 69 6E 6B 01 74 68 65 01 77 61 74 65 72 3F C0</x:v>
      </x:c>
      <x:c r="K650" s="23" t="str">
        <x:v>1D0 01F 038 028 0A1 025 029 001 024 02F 024 02F 023 1C8 084 02B 084 023 012 19E 028 001 0B2 084 015 001 029 011 03E 022 011 038 1C5 1D0 019 028 001 0B2 03C 001 028 02F 02E 01C 015 079 1C0</x:v>
      </x:c>
    </x:row>
    <x:row r="651">
      <x:c r="A651" s="22" t="str">
        <x:f>"02"</x:f>
        <x:v>02</x:v>
      </x:c>
      <x:c r="B651" s="22" t="str">
        <x:f>"89"</x:f>
        <x:v>89</x:v>
      </x:c>
      <x:c r="C651" s="22" t="str">
        <x:f>"0x0289"</x:f>
        <x:v>0x0289</x:v>
      </x:c>
      <x:c r="D651" s="21" t="str">
        <x:v>&lt;CLEAR&gt;
レディは ぶどう色の
水を のんだ&lt;WAIT&gt;
&lt;CLEAR&gt;
もっと のみますか?</x:v>
      </x:c>
      <x:c r="E651" s="19" t="str">
        <x:v>&lt;CLEAR&gt;Lady drinks the purple water.&lt;WAIT&gt;&lt;CLEAR&gt;Drink some more?</x:v>
      </x:c>
      <x:c r="F651" s="20" t="str"/>
      <x:c r="G651" s="20" t="str"/>
      <x:c r="H651" s="23" t="str">
        <x:v>CLEAR WAIT CLEAR END</x:v>
      </x:c>
      <x:c r="I651" s="23" t="str">
        <x:v>EA:9DAE</x:v>
      </x:c>
      <x:c r="J651" s="23" t="str">
        <x:v>D0 4C 61 64 79 01 64 72 69 6E 6B 73 01 74 68 65 01 70 75 72 70 6C 65 01 77 61 74 65 72 2E C5 D0 44 72 69 6E 6B 01 73 6F 6D 65 01 6D 6F 72 65 3F C0</x:v>
      </x:c>
      <x:c r="K651" s="23" t="str">
        <x:v>1D0 06B 084 054 075 029 001 084 02B 084 023 012 19E 028 1C8 0B2 03C 001 028 03D 084 01F 1C5 1D0 032 03E 023 001 028 02F 02E 01C 015 079 1C0</x:v>
      </x:c>
    </x:row>
    <x:row r="652">
      <x:c r="A652" s="22" t="str">
        <x:f>"02"</x:f>
        <x:v>02</x:v>
      </x:c>
      <x:c r="B652" s="22" t="str">
        <x:f>"8A"</x:f>
        <x:v>8A</x:v>
      </x:c>
      <x:c r="C652" s="22" t="str">
        <x:f>"0x028A"</x:f>
        <x:v>0x028A</x:v>
      </x:c>
      <x:c r="D652" s="21" t="str">
        <x:v>&lt;CLEAR&gt;
レディは ぶどう色の
水を のんだ&lt;WAIT&gt;
&lt;CLEAR&gt;
たるは からっぽになった
これなら 持ち上げられそうだ!</x:v>
      </x:c>
      <x:c r="E652" s="19" t="str">
        <x:v>&lt;CLEAR&gt;Lady drinks the purple water.&lt;WAIT&gt;&lt;CLEAR&gt;The barrel is empty now.
It looks light enough to lift!</x:v>
      </x:c>
      <x:c r="F652" s="20" t="str"/>
      <x:c r="G652" s="20" t="str"/>
      <x:c r="H652" s="23" t="str">
        <x:v>CLEAR WAIT CLEAR NEWLINE END</x:v>
      </x:c>
      <x:c r="I652" s="23" t="str">
        <x:v>EA:9DDF</x:v>
      </x:c>
      <x:c r="J652" s="23" t="str">
        <x:v>D0 4C 61 64 79 01 64 72 69 6E 6B 73 01 74 68 65 01 70 75 72 70 6C 65 01 77 61 74 65 72 2E C5 D0 54 68 65 01 62 61 72 72 65 6C 01 69 73 01 65 6D 70 74 79 01 6E 6F 77 2E C8 49 74 01 6C 6F 6F 6B 73 01 6C 69 67 68 74 01 65 6E 6F 75 67 68 01 74 6F 01 6C 69 66 74 21 C0</x:v>
      </x:c>
      <x:c r="K652" s="23" t="str">
        <x:v>1D0 06B 084 054 075 029 001 084 02B 084 023 012 19E 028 1C8 0B2 03C 001 028 03D 084 01F 1C5 1D0 01F 038 029 001 015 036 03E 083 02D 025 024 03E 01F 1C8 019 039 024 036 001 0D3 020 128 084 018 036 039 01E 012 084 01F 07A 1C0</x:v>
      </x:c>
    </x:row>
    <x:row r="653">
      <x:c r="A653" s="22" t="str">
        <x:f>"02"</x:f>
        <x:v>02</x:v>
      </x:c>
      <x:c r="B653" s="22" t="str">
        <x:f>"8B"</x:f>
        <x:v>8B</x:v>
      </x:c>
      <x:c r="C653" s="22" t="str">
        <x:f>"0x028B"</x:f>
        <x:v>0x028B</x:v>
      </x:c>
      <x:c r="D653" s="21" t="str">
        <x:v>&lt;CLEAR&gt;
あしもとが ふらふらする
思うように あるけない</x:v>
      </x:c>
      <x:c r="E653" s="19" t="str">
        <x:v>&lt;CLEAR&gt;Your feet feel unsteady.
You cannot walk straight.</x:v>
      </x:c>
      <x:c r="F653" s="20" t="str"/>
      <x:c r="G653" s="20" t="str"/>
      <x:c r="H653" s="23" t="str">
        <x:v>CLEAR NEWLINE END</x:v>
      </x:c>
      <x:c r="I653" s="23" t="str">
        <x:v>EA:9E37</x:v>
      </x:c>
      <x:c r="J653" s="23" t="str">
        <x:v>D0 59 6F 75 72 01 66 65 65 74 01 66 65 65 6C 01 75 6E 73 74 65 61 64 79 2E C8 59 6F 75 01 63 61 6E 6E 6F 74 01 77 61 6C 6B 01 73 74 72 61 69 67 68 74 2E C0</x:v>
      </x:c>
      <x:c r="K653" s="23" t="str">
        <x:v>1D0 010 01B 032 023 084 015 001 02B 036 02B 036 01C 038 1C8 10F 012 035 012 025 001 010 038 018 024 011 1C0</x:v>
      </x:c>
    </x:row>
    <x:row r="654">
      <x:c r="A654" s="22" t="str">
        <x:f>"02"</x:f>
        <x:v>02</x:v>
      </x:c>
      <x:c r="B654" s="22" t="str">
        <x:f>"8C"</x:f>
        <x:v>8C</x:v>
      </x:c>
      <x:c r="C654" s="22" t="str">
        <x:f>"0x028C"</x:f>
        <x:v>0x028C</x:v>
      </x:c>
      <x:c r="D654" s="21" t="str">
        <x:v>&lt;SPEAKER&gt;「おくすりは いらんかねー
おいしい おくすりじゃよー</x:v>
      </x:c>
      <x:c r="E654" s="19" t="str">
        <x:v>&lt;SPEAKER&gt;Need any medicine?
Tasty medicine for sale!</x:v>
      </x:c>
      <x:c r="F654" s="20" t="str"/>
      <x:c r="G654" s="20" t="str"/>
      <x:c r="H654" s="23" t="str">
        <x:v>SPEAKER NEWLINE END</x:v>
      </x:c>
      <x:c r="I654" s="23" t="str">
        <x:v>EA:9E6B</x:v>
      </x:c>
      <x:c r="J654" s="23" t="str">
        <x:v>CC 4E 65 65 64 01 61 6E 79 01 6D 65 64 69 63 69 6E 65 3F C8 54 61 73 74 79 01 6D 65 64 69 63 69 6E 65 01 66 6F 72 01 73 61 6C 65 21 C0</x:v>
      </x:c>
      <x:c r="K654" s="23" t="str">
        <x:v>1CC 014 017 01C 037 029 001 011 036 03D 015 027 078 1C8 014 011 01B 011 001 014 017 01C 037 084 01B 03F 035 078 1C0</x:v>
      </x:c>
    </x:row>
    <x:row r="655">
      <x:c r="A655" s="22" t="str">
        <x:f>"02"</x:f>
        <x:v>02</x:v>
      </x:c>
      <x:c r="B655" s="22" t="str">
        <x:f>"8D"</x:f>
        <x:v>8D</x:v>
      </x:c>
      <x:c r="C655" s="22" t="str">
        <x:f>"0x028D"</x:f>
        <x:v>0x028D</x:v>
      </x:c>
      <x:c r="D655" s="21" t="str">
        <x:v>&lt;SPEAKER&gt;「&lt;INSERT_A&gt;は &lt;NUMBER&gt;Yじゃよ
かっていくかね?</x:v>
      </x:c>
      <x:c r="E655" s="19" t="str">
        <x:v>&lt;SPEAKER&gt;&lt;INSERT_A&gt; costs
&lt;NUMBER&gt;Y. Will you buy it?</x:v>
      </x:c>
      <x:c r="F655" s="20" t="str"/>
      <x:c r="G655" s="20" t="str"/>
      <x:c r="H655" s="23" t="str">
        <x:v>SPEAKER INSERT_A NEWLINE NUMBER END</x:v>
      </x:c>
      <x:c r="I655" s="23" t="str">
        <x:v>EA:9E98</x:v>
      </x:c>
      <x:c r="J655" s="23" t="str">
        <x:v>CC C4 01 63 6F 73 74 73 C8 C2 59 2E 01 57 69 6C 6C 01 79 6F 75 01 62 75 79 01 69 74 3F C0</x:v>
      </x:c>
      <x:c r="K655" s="23" t="str">
        <x:v>1CC 1C4 029 001 1C2 00F 084 01B 03F 035 1C8 015 03E 022 011 017 015 027 079 1C0</x:v>
      </x:c>
    </x:row>
    <x:row r="656">
      <x:c r="A656" s="22" t="str">
        <x:f>"02"</x:f>
        <x:v>02</x:v>
      </x:c>
      <x:c r="B656" s="22" t="str">
        <x:f>"8E"</x:f>
        <x:v>8E</x:v>
      </x:c>
      <x:c r="C656" s="22" t="str">
        <x:f>"0x028E"</x:f>
        <x:v>0x028E</x:v>
      </x:c>
      <x:c r="D656" s="21" t="str">
        <x:v>&lt;SPEAKER&gt;「どなたが 持つんじゃな?</x:v>
      </x:c>
      <x:c r="E656" s="19" t="str">
        <x:v>&lt;SPEAKER&gt;Who will carry it?</x:v>
      </x:c>
      <x:c r="F656" s="20" t="str"/>
      <x:c r="G656" s="20" t="str"/>
      <x:c r="H656" s="23" t="str">
        <x:v>SPEAKER END</x:v>
      </x:c>
      <x:c r="I656" s="23" t="str">
        <x:v>EA:9EB6</x:v>
      </x:c>
      <x:c r="J656" s="23" t="str">
        <x:v>CC 57 68 6F 01 77 69 6C 6C 01 63 61 72 72 79 01 69 74 3F C0</x:v>
      </x:c>
      <x:c r="K656" s="23" t="str">
        <x:v>1CC 084 023 024 01F 084 015 001 0D3 021 03D 084 01B 03F 024 079 1C0</x:v>
      </x:c>
    </x:row>
    <x:row r="657">
      <x:c r="A657" s="22" t="str">
        <x:f>"02"</x:f>
        <x:v>02</x:v>
      </x:c>
      <x:c r="B657" s="22" t="str">
        <x:f>"8F"</x:f>
        <x:v>8F</x:v>
      </x:c>
      <x:c r="C657" s="22" t="str">
        <x:f>"0x028F"</x:f>
        <x:v>0x028F</x:v>
      </x:c>
      <x:c r="D657" s="21" t="str">
        <x:v>&lt;SPEAKER&gt;「ほい &lt;INSERT_C&gt;
わたしましたぞ&lt;WAIT&gt;&lt;SPEAKER&gt;「もっと おいりようかな?</x:v>
      </x:c>
      <x:c r="E657" s="19" t="str">
        <x:v>&lt;SPEAKER&gt;There you are, &lt;INSERT_C&gt;.&lt;WAIT&gt;&lt;SPEAKER&gt;Need anything else?</x:v>
      </x:c>
      <x:c r="F657" s="20" t="str"/>
      <x:c r="G657" s="20" t="str"/>
      <x:c r="H657" s="23" t="str">
        <x:v>SPEAKER INSERT_C WAIT SPEAKER END</x:v>
      </x:c>
      <x:c r="I657" s="23" t="str">
        <x:v>EA:9ECA</x:v>
      </x:c>
      <x:c r="J657" s="23" t="str">
        <x:v>CC 54 68 65 72 65 01 79 6F 75 01 61 72 65 2C 01 CE 2E C5 CC 4E 65 65 64 01 61 6E 79 74 68 69 6E 67 01 65 6C 73 65 3F C0</x:v>
      </x:c>
      <x:c r="K657" s="23" t="str">
        <x:v>1CC 02D 011 001 1CE 1C8 03B 01F 01B 02E 01B 01F 084 01E 1C5 1CC 032 03E 023 001 014 011 037 035 012 015 024 079 1C0</x:v>
      </x:c>
    </x:row>
    <x:row r="658">
      <x:c r="A658" s="22" t="str">
        <x:f>"02"</x:f>
        <x:v>02</x:v>
      </x:c>
      <x:c r="B658" s="22" t="str">
        <x:f>"90"</x:f>
        <x:v>90</x:v>
      </x:c>
      <x:c r="C658" s="22" t="str">
        <x:f>"0x0290"</x:f>
        <x:v>0x0290</x:v>
      </x:c>
      <x:c r="D658" s="21" t="str">
        <x:v>&lt;SPEAKER&gt;「では &lt;INSERT_C&gt;の
かんおけに いれておきますぞ&lt;WAIT&gt;&lt;SPEAKER&gt;「もっと おいりようかな?</x:v>
      </x:c>
      <x:c r="E658" s="19" t="str">
        <x:v>&lt;SPEAKER&gt;I will put it
in &lt;INSERT_C&gt;'s coffin.&lt;WAIT&gt;&lt;SPEAKER&gt;Need anything else?</x:v>
      </x:c>
      <x:c r="F658" s="20" t="str"/>
      <x:c r="G658" s="20" t="str"/>
      <x:c r="H658" s="23" t="str">
        <x:v>SPEAKER NEWLINE INSERT_C WAIT SPEAKER END</x:v>
      </x:c>
      <x:c r="I658" s="23" t="str">
        <x:v>EA:9EF2</x:v>
      </x:c>
      <x:c r="J658" s="23" t="str">
        <x:v>CC 49 01 77 69 6C 6C 01 70 75 74 01 69 74 C8 69 6E 01 CE 27 73 01 63 6F 66 66 69 6E 2E C5 CC 4E 65 65 64 01 61 6E 79 74 68 69 6E 67 01 65 6C 73 65 3F C0</x:v>
      </x:c>
      <x:c r="K658" s="23" t="str">
        <x:v>1CC 084 022 029 001 1CE 028 1C8 015 03D 014 018 025 001 011 039 022 014 016 02E 01C 084 01E 1C5 1CC 032 03E 023 001 014 011 037 035 012 015 024 079 1C0</x:v>
      </x:c>
    </x:row>
    <x:row r="659">
      <x:c r="A659" s="22" t="str">
        <x:f>"02"</x:f>
        <x:v>02</x:v>
      </x:c>
      <x:c r="B659" s="22" t="str">
        <x:f>"91"</x:f>
        <x:v>91</x:v>
      </x:c>
      <x:c r="C659" s="22" t="str">
        <x:f>"0x0291"</x:f>
        <x:v>0x0291</x:v>
      </x:c>
      <x:c r="D659" s="21" t="str">
        <x:v>&lt;SPEAKER&gt;「おや &lt;INSERT_C&gt;は
もう にもつがいっぱいじゃな</x:v>
      </x:c>
      <x:c r="E659" s="19" t="str">
        <x:v>&lt;SPEAKER&gt;Oh, &lt;INSERT_C&gt;
cannot carry any more.</x:v>
      </x:c>
      <x:c r="F659" s="20" t="str"/>
      <x:c r="G659" s="20" t="str"/>
      <x:c r="H659" s="23" t="str">
        <x:v>SPEAKER INSERT_C NEWLINE END</x:v>
      </x:c>
      <x:c r="I659" s="23" t="str">
        <x:v>EA:9F25</x:v>
      </x:c>
      <x:c r="J659" s="23" t="str">
        <x:v>CC 4F 68 2C 01 CE C8 63 61 6E 6E 6F 74 01 63 61 72 72 79 01 61 6E 79 01 6D 6F 72 65 2E C0</x:v>
      </x:c>
      <x:c r="K659" s="23" t="str">
        <x:v>1CC 014 033 001 1CE 029 1C8 032 012 001 025 032 021 084 015 011 03E 083 029 011 084 01B 03F 024 1C0</x:v>
      </x:c>
    </x:row>
    <x:row r="660">
      <x:c r="A660" s="22" t="str">
        <x:f>"02"</x:f>
        <x:v>02</x:v>
      </x:c>
      <x:c r="B660" s="22" t="str">
        <x:f>"92"</x:f>
        <x:v>92</x:v>
      </x:c>
      <x:c r="C660" s="22" t="str">
        <x:f>"0x0292"</x:f>
        <x:v>0x0292</x:v>
      </x:c>
      <x:c r="D660" s="21" t="str">
        <x:v>&lt;SPEAKER&gt;「ほかの人に おわたし
しようかな?</x:v>
      </x:c>
      <x:c r="E660" s="19" t="str">
        <x:v>&lt;SPEAKER&gt;Give it to someone else?</x:v>
      </x:c>
      <x:c r="F660" s="20" t="str"/>
      <x:c r="G660" s="20" t="str"/>
      <x:c r="H660" s="23" t="str">
        <x:v>SPEAKER END</x:v>
      </x:c>
      <x:c r="I660" s="23" t="str">
        <x:v>EA:9F43</x:v>
      </x:c>
      <x:c r="J660" s="23" t="str">
        <x:v>CC 47 69 76 65 01 69 74 01 74 6F 01 73 6F 6D 65 6F 6E 65 01 65 6C 73 65 3F C0</x:v>
      </x:c>
      <x:c r="K660" s="23" t="str">
        <x:v>1CC 02D 015 028 091 025 001 014 03B 01F 01B 1C8 01B 035 012 015 024 079 1C0</x:v>
      </x:c>
    </x:row>
    <x:row r="661">
      <x:c r="A661" s="22" t="str">
        <x:f>"02"</x:f>
        <x:v>02</x:v>
      </x:c>
      <x:c r="B661" s="22" t="str">
        <x:f>"93"</x:f>
        <x:v>93</x:v>
      </x:c>
      <x:c r="C661" s="22" t="str">
        <x:f>"0x0293"</x:f>
        <x:v>0x0293</x:v>
      </x:c>
      <x:c r="D661" s="21" t="str">
        <x:v>&lt;SPEAKER&gt;「おやめに なりますかな</x:v>
      </x:c>
      <x:c r="E661" s="19" t="str">
        <x:v>&lt;SPEAKER&gt;Stop shopping?</x:v>
      </x:c>
      <x:c r="F661" s="20" t="str"/>
      <x:c r="G661" s="20" t="str"/>
      <x:c r="H661" s="23" t="str">
        <x:v>SPEAKER END</x:v>
      </x:c>
      <x:c r="I661" s="23" t="str">
        <x:v>EA:9F5D</x:v>
      </x:c>
      <x:c r="J661" s="23" t="str">
        <x:v>CC 53 74 6F 70 01 73 68 6F 70 70 69 6E 67 3F C0</x:v>
      </x:c>
      <x:c r="K661" s="23" t="str">
        <x:v>1CC 014 033 031 025 001 024 037 02E 01C 015 024 1C0</x:v>
      </x:c>
    </x:row>
    <x:row r="662">
      <x:c r="A662" s="22" t="str">
        <x:f>"02"</x:f>
        <x:v>02</x:v>
      </x:c>
      <x:c r="B662" s="22" t="str">
        <x:f>"94"</x:f>
        <x:v>94</x:v>
      </x:c>
      <x:c r="C662" s="22" t="str">
        <x:f>"0x0294"</x:f>
        <x:v>0x0294</x:v>
      </x:c>
      <x:c r="D662" s="21" t="str">
        <x:v>&lt;SPEAKER&gt;「おっと お金が
たりないようじゃな</x:v>
      </x:c>
      <x:c r="E662" s="19" t="str">
        <x:v>&lt;SPEAKER&gt;Oh, you do not
have enough money.</x:v>
      </x:c>
      <x:c r="F662" s="20" t="str"/>
      <x:c r="G662" s="20" t="str"/>
      <x:c r="H662" s="23" t="str">
        <x:v>SPEAKER NEWLINE END</x:v>
      </x:c>
      <x:c r="I662" s="23" t="str">
        <x:v>EA:9F6D</x:v>
      </x:c>
      <x:c r="J662" s="23" t="str">
        <x:v>CC 4F 68 2C 01 79 6F 75 01 64 6F 01 6E 6F 74 C8 68 61 76 65 01 65 6E 6F 75 67 68 01 6D 6F 6E 65 79 2E C0</x:v>
      </x:c>
      <x:c r="K662" s="23" t="str">
        <x:v>1CC 014 03E 023 001 014 094 084 015 1C8 01F 037 024 011 035 012 084 01B 03F 024 1C0</x:v>
      </x:c>
    </x:row>
    <x:row r="663">
      <x:c r="A663" s="22" t="str">
        <x:f>"02"</x:f>
        <x:v>02</x:v>
      </x:c>
      <x:c r="B663" s="22" t="str">
        <x:f>"95"</x:f>
        <x:v>95</x:v>
      </x:c>
      <x:c r="C663" s="22" t="str">
        <x:f>"0x0295"</x:f>
        <x:v>0x0295</x:v>
      </x:c>
      <x:c r="D663" s="21" t="str">
        <x:v>&lt;SPEAKER&gt;「気を つけて くだされ ふが
ふがふが で 伝説の ふが
大きな ま 魔物が ふがふが&lt;WAIT&gt;&lt;SPEAKER&gt;「あわわ おそろしや ふがふがふが</x:v>
      </x:c>
      <x:c r="E663" s="19" t="str">
        <x:v>&lt;SPEAKER&gt;B-be careful... snort...
The legendary... snort... huge...
m-monster... snort, snort...&lt;WAIT&gt;&lt;SPEAKER&gt;Aah! How
terrifying! Snort, snort!</x:v>
      </x:c>
      <x:c r="F663" s="20" t="str"/>
      <x:c r="G663" s="20" t="str"/>
      <x:c r="H663" s="23" t="str">
        <x:v>SPEAKER NEWLINE NEWLINE WAIT SPEAKER NEWLINE END</x:v>
      </x:c>
      <x:c r="I663" s="23" t="str">
        <x:v>EA:9F90</x:v>
      </x:c>
      <x:c r="J663" s="23" t="str">
        <x:v>CC 42 2D 62 65 01 63 61 72 65 66 75 6C 2E 2E 2E 01 73 6E 6F 72 74 2E 2E 2E C8 54 68 65 01 6C 65 67 65 6E 64 61 72 79 2E 2E 2E 01 73 6E 6F 72 74 2E 2E 2E 01 68 75 67 65 2E 2E 2E C8 6D 2D 6D 6F 6E 73 74 65 72 2E 2E 2E 01 73 6E 6F 72 74 2C 01 73 6E 6F 72 74 2E 2E 2E C5 CC 41 61 68 21 01 48 6F 77 C8 74 65 72 72 69 66 79 69 6E 67 21 01 53 6E 6F 72 74 2C 01 73 6E 6F 72 74 21 C0</x:v>
      </x:c>
      <x:c r="K663" s="23" t="str">
        <x:v>1CC 099 03C 001 021 018 022 001 017 084 01F 01A 039 001 02B 084 015 1C8 02B 084 015 02B 084 015 001 084 022 001 092 08F 028 001 02B 084 015 1C8 0AC 016 024 001 02E 001 09A 08B 084 015 001 02B 084 015 02B 084 015 1C5 1CC 010 03B 03B 001 014 01E 03A 01B 033 001 02B 084 015 02B 084 015 02B 084 015 1C0</x:v>
      </x:c>
    </x:row>
    <x:row r="664">
      <x:c r="A664" s="22" t="str">
        <x:f>"02"</x:f>
        <x:v>02</x:v>
      </x:c>
      <x:c r="B664" s="22" t="str">
        <x:f>"96"</x:f>
        <x:v>96</x:v>
      </x:c>
      <x:c r="C664" s="22" t="str">
        <x:f>"0x0296"</x:f>
        <x:v>0x0296</x:v>
      </x:c>
      <x:c r="D664" s="21" t="str">
        <x:v>&lt;SPEAKER&gt;「はやく 帰ったほうが ええ
この 城には 宝なんて ねえ
それどころか 魔物に かんづ</x:v>
      </x:c>
      <x:c r="E664" s="19" t="str">
        <x:v>&lt;SPEAKER&gt;Go home. There's
no treasure in this castle.
Worse... the monsters...</x:v>
      </x:c>
      <x:c r="F664" s="20" t="str"/>
      <x:c r="G664" s="20" t="str"/>
      <x:c r="H664" s="23" t="str">
        <x:v>SPEAKER NEWLINE NEWLINE END</x:v>
      </x:c>
      <x:c r="I664" s="23" t="str">
        <x:v>EA:A00D</x:v>
      </x:c>
      <x:c r="J664" s="23" t="str">
        <x:v>CC 47 6F 01 68 6F 6D 65 2E 01 54 68 65 72 65 27 73 C8 6E 6F 01 74 72 65 61 73 75 72 65 01 69 6E 01 74 68 69 73 01 63 61 73 74 6C 65 2E C8 57 6F 72 73 65 2E 2E 2E 01 74 68 65 01 6D 6F 6E 73 74 65 72 73 2E 2E 2E C0</x:v>
      </x:c>
      <x:c r="K664" s="23" t="str">
        <x:v>1CC 029 033 017 001 13D 03E 01F 02D 012 084 015 001 013 013 1C8 019 028 001 08C 025 029 001 095 024 03D 022 001 027 013 1C8 01E 039 084 023 019 03A 015 001 09A 08B 025 001 015 03D 084 021 1C0</x:v>
      </x:c>
    </x:row>
    <x:row r="665">
      <x:c r="A665" s="22" t="str">
        <x:f>"02"</x:f>
        <x:v>02</x:v>
      </x:c>
      <x:c r="B665" s="22" t="str">
        <x:f>"97"</x:f>
        <x:v>97</x:v>
      </x:c>
      <x:c r="C665" s="22" t="str">
        <x:f>"0x0297"</x:f>
        <x:v>0x0297</x:v>
      </x:c>
      <x:c r="D665" s="21" t="str">
        <x:v>&lt;SPEAKER&gt;「お嬢さん
また ばけものが来ると いかんから
はやく かえんなさい</x:v>
      </x:c>
      <x:c r="E665" s="19" t="str">
        <x:v>&lt;SPEAKER&gt;Young lady, leave
quickly. That monster
may come back again.</x:v>
      </x:c>
      <x:c r="F665" s="20" t="str"/>
      <x:c r="G665" s="20" t="str"/>
      <x:c r="H665" s="23" t="str">
        <x:v>SPEAKER NEWLINE NEWLINE END</x:v>
      </x:c>
      <x:c r="I665" s="23" t="str">
        <x:v>EA:A054</x:v>
      </x:c>
      <x:c r="J665" s="23" t="str">
        <x:v>CC 59 6F 75 6E 67 01 6C 61 64 79 2C 01 6C 65 61 76 65 C8 71 75 69 63 6B 6C 79 2E 01 54 68 61 74 01 6D 6F 6E 73 74 65 72 C8 6D 61 79 01 63 6F 6D 65 01 62 61 63 6B 01 61 67 61 69 6E 2E C0</x:v>
      </x:c>
      <x:c r="K665" s="23" t="str">
        <x:v>1CC 014 0D8 01A 03D 1C8 02E 01F 001 084 029 018 032 028 084 015 097 038 023 001 011 015 03D 015 036 1C8 029 033 017 001 015 013 03D 024 01A 011 1C0</x:v>
      </x:c>
    </x:row>
    <x:row r="666">
      <x:c r="A666" s="22" t="str">
        <x:f>"02"</x:f>
        <x:v>02</x:v>
      </x:c>
      <x:c r="B666" s="22" t="str">
        <x:f>"98"</x:f>
        <x:v>98</x:v>
      </x:c>
      <x:c r="C666" s="22" t="str">
        <x:f>"0x0298"</x:f>
        <x:v>0x0298</x:v>
      </x:c>
      <x:c r="D666" s="21" t="str">
        <x:v>&lt;CLEAR&gt;
何も いわない
脳ミソが くさっているようだ</x:v>
      </x:c>
      <x:c r="E666" s="19" t="str">
        <x:v>&lt;CLEAR&gt;It says nothing. Its brain
seems to have rotted away.</x:v>
      </x:c>
      <x:c r="F666" s="20" t="str"/>
      <x:c r="G666" s="20" t="str"/>
      <x:c r="H666" s="23" t="str">
        <x:v>CLEAR NEWLINE END</x:v>
      </x:c>
      <x:c r="I666" s="23" t="str">
        <x:v>EA:A092</x:v>
      </x:c>
      <x:c r="J666" s="23" t="str">
        <x:v>D0 49 74 01 73 61 79 73 01 6E 6F 74 68 69 6E 67 2E 01 49 74 73 01 62 72 61 69 6E C8 73 65 65 6D 73 01 74 6F 01 68 61 76 65 01 72 6F 74 74 65 64 01 61 77 61 79 2E C0</x:v>
      </x:c>
      <x:c r="K666" s="23" t="str">
        <x:v>1D0 093 032 001 011 03B 024 011 1C8 1BB 061 050 084 015 001 017 01A 03E 022 011 038 035 012 084 01F 1C0</x:v>
      </x:c>
    </x:row>
    <x:row r="667">
      <x:c r="A667" s="22" t="str">
        <x:f>"02"</x:f>
        <x:v>02</x:v>
      </x:c>
      <x:c r="B667" s="22" t="str">
        <x:f>"99"</x:f>
        <x:v>99</x:v>
      </x:c>
      <x:c r="C667" s="22" t="str">
        <x:f>"0x0299"</x:f>
        <x:v>0x0299</x:v>
      </x:c>
      <x:c r="D667" s="21" t="str">
        <x:v>&lt;CLEAR&gt;
「ちかみち モンスターにちゅうい
と かいてある</x:v>
      </x:c>
      <x:c r="E667" s="19" t="str">
        <x:v>&lt;CLEAR&gt;"SHORTCUT BEWARE
OF MONSTERS"</x:v>
      </x:c>
      <x:c r="F667" s="20" t="str"/>
      <x:c r="G667" s="20" t="str"/>
      <x:c r="H667" s="23" t="str">
        <x:v>CLEAR NEWLINE END</x:v>
      </x:c>
      <x:c r="I667" s="23" t="str">
        <x:v>EA:A0C9</x:v>
      </x:c>
      <x:c r="J667" s="23" t="str">
        <x:v>D0 22 53 48 4F 52 54 43 55 54 01 42 45 57 41 52 45 C8 4F 46 01 4D 4F 4E 53 54 45 52 53 22 C0</x:v>
      </x:c>
      <x:c r="K667" s="23" t="str">
        <x:v>1D0 07D 020 015 02F 020 001 064 06F 04E 051 078 025 020 040 012 011 1C8 023 001 015 011 022 010 038 1C0</x:v>
      </x:c>
    </x:row>
    <x:row r="668">
      <x:c r="A668" s="22" t="str">
        <x:f>"02"</x:f>
        <x:v>02</x:v>
      </x:c>
      <x:c r="B668" s="22" t="str">
        <x:f>"9A"</x:f>
        <x:v>9A</x:v>
      </x:c>
      <x:c r="C668" s="22" t="str">
        <x:f>"0x029A"</x:f>
        <x:v>0x029A</x:v>
      </x:c>
      <x:c r="D668" s="21" t="str">
        <x:v>&lt;CLEAR&gt;
「とおまわり きけん
と かいてある</x:v>
      </x:c>
      <x:c r="E668" s="19" t="str">
        <x:v>&lt;CLEAR&gt;"DETOUR DANGER"</x:v>
      </x:c>
      <x:c r="F668" s="20" t="str"/>
      <x:c r="G668" s="20" t="str"/>
      <x:c r="H668" s="23" t="str">
        <x:v>CLEAR END</x:v>
      </x:c>
      <x:c r="I668" s="23" t="str">
        <x:v>EA:A0E8</x:v>
      </x:c>
      <x:c r="J668" s="23" t="str">
        <x:v>D0 22 44 45 54 4F 55 52 01 44 41 4E 47 45 52 22 C0</x:v>
      </x:c>
      <x:c r="K668" s="23" t="str">
        <x:v>1D0 07D 023 014 02E 03B 037 001 016 018 03D 1C8 023 001 015 011 022 010 038 1C0</x:v>
      </x:c>
    </x:row>
    <x:row r="669">
      <x:c r="A669" s="22" t="str">
        <x:f>"02"</x:f>
        <x:v>02</x:v>
      </x:c>
      <x:c r="B669" s="22" t="str">
        <x:f>"9B"</x:f>
        <x:v>9B</x:v>
      </x:c>
      <x:c r="C669" s="22" t="str">
        <x:f>"0x029B"</x:f>
        <x:v>0x029B</x:v>
      </x:c>
      <x:c r="D669" s="21" t="str">
        <x:v>&lt;SPEAKER&gt;「けけけっ ここんとこ
こっちのみちに 誰も
こなくて たいくつだったよ&lt;WAIT&gt;&lt;SPEAKER&gt;「ここを こえたかったら
ぼくを たおしていってごらん</x:v>
      </x:c>
      <x:c r="E669" s="19" t="str">
        <x:v>&lt;SPEAKER&gt;Keh-heh-heh! Nobody
has used this path lately.
I was getting bored.&lt;WAIT&gt;&lt;SPEAKER&gt;If you want to
pass, try defeating me first!</x:v>
      </x:c>
      <x:c r="F669" s="20" t="str"/>
      <x:c r="G669" s="20" t="str"/>
      <x:c r="H669" s="23" t="str">
        <x:v>SPEAKER NEWLINE NEWLINE WAIT SPEAKER NEWLINE END</x:v>
      </x:c>
      <x:c r="I669" s="23" t="str">
        <x:v>EA:A0F9</x:v>
      </x:c>
      <x:c r="J669" s="23" t="str">
        <x:v>CC 4B 65 68 2D 68 65 68 2D 68 65 68 21 01 4E 6F 62 6F 64 79 C8 68 61 73 01 75 73 65 64 01 74 68 69 73 01 70 61 74 68 01 6C 61 74 65 6C 79 2E C8 49 01 77 61 73 01 67 65 74 74 69 6E 67 01 62 6F 72 65 64 2E C5 CC 49 66 01 79 6F 75 01 77 61 6E 74 01 74 6F C8 70 61 73 73 2C 01 74 72 79 01 64 65 66 65 61 74 69 6E 67 01 6D 65 01 66 69 72 73 74 21 C0</x:v>
      </x:c>
      <x:c r="K669" s="23" t="str">
        <x:v>1CC 018 018 018 03E 001 019 019 03D 023 019 1C8 019 03E 020 028 02F 020 025 001 0FA 032 1C8 019 024 017 022 001 01F 011 017 021 084 01F 03E 01F 035 1C5 1CC 019 019 03C 001 019 013 01F 015 03E 01F 036 1C8 084 02D 017 03C 001 01F 014 01B 022 011 03E 022 084 019 036 03D 1C0</x:v>
      </x:c>
    </x:row>
    <x:row r="670">
      <x:c r="A670" s="22" t="str">
        <x:f>"02"</x:f>
        <x:v>02</x:v>
      </x:c>
      <x:c r="B670" s="22" t="str">
        <x:f>"9C"</x:f>
        <x:v>9C</x:v>
      </x:c>
      <x:c r="C670" s="22" t="str">
        <x:f>"0x029C"</x:f>
        <x:v>0x029C</x:v>
      </x:c>
      <x:c r="D670" s="21" t="str">
        <x:v>&lt;SPEAKER&gt;「へえ きみ ベビすけを
やっつけたの? 強いね&lt;WAIT&gt;&lt;SPEAKER&gt;「でも ぼくは まけないよ
けけっ かかってこい けけっ</x:v>
      </x:c>
      <x:c r="E670" s="19" t="str">
        <x:v>&lt;SPEAKER&gt;Oh? You beat
Bebisuke? You are strong.&lt;WAIT&gt;&lt;SPEAKER&gt;But I will not
lose! Keh-heh! Come on!</x:v>
      </x:c>
      <x:c r="F670" s="20" t="str"/>
      <x:c r="G670" s="20" t="str"/>
      <x:c r="H670" s="23" t="str">
        <x:v>SPEAKER NEWLINE WAIT SPEAKER NEWLINE END</x:v>
      </x:c>
      <x:c r="I670" s="23" t="str">
        <x:v>EA:A16C</x:v>
      </x:c>
      <x:c r="J670" s="23" t="str">
        <x:v>CC 4F 68 3F 01 59 6F 75 01 62 65 61 74 C8 42 65 62 69 73 75 6B 65 3F 01 59 6F 75 01 61 72 65 01 73 74 72 6F 6E 67 2E C5 CC 42 75 74 01 49 01 77 69 6C 6C 01 6E 6F 74 C8 6C 6F 73 65 21 01 4B 65 68 2D 68 65 68 21 01 43 6F 6D 65 01 6F 6E 21 C0</x:v>
      </x:c>
      <x:c r="K670" s="23" t="str">
        <x:v>1CC 02C 013 001 016 02F 001 084 05E 084 05C 01C 018 03C 1C8 033 03E 021 018 01F 028 079 001 138 011 027 1C5 1CC 084 022 032 001 084 02D 017 029 001 02E 018 024 011 035 1C8 018 018 03E 001 015 015 03E 022 019 011 001 018 018 03E 1C0</x:v>
      </x:c>
    </x:row>
    <x:row r="671">
      <x:c r="A671" s="22" t="str">
        <x:f>"02"</x:f>
        <x:v>02</x:v>
      </x:c>
      <x:c r="B671" s="22" t="str">
        <x:f>"9D"</x:f>
        <x:v>9D</x:v>
      </x:c>
      <x:c r="C671" s="22" t="str">
        <x:f>"0x029D"</x:f>
        <x:v>0x029D</x:v>
      </x:c>
      <x:c r="D671" s="21" t="str">
        <x:v>&lt;SPEAKER&gt;「けけっ と とおっていいよ
べ べつに 戦ってもいいんだけど
ま まあ ゆるしてやるよ けけっ</x:v>
      </x:c>
      <x:c r="E671" s="19" t="str">
        <x:v>&lt;SPEAKER&gt;K-keh-heh... You may pass.
I-I could still fight, of course,
but I will let you off this time!</x:v>
      </x:c>
      <x:c r="F671" s="20" t="str"/>
      <x:c r="G671" s="20" t="str"/>
      <x:c r="H671" s="23" t="str">
        <x:v>SPEAKER NEWLINE NEWLINE END</x:v>
      </x:c>
      <x:c r="I671" s="23" t="str">
        <x:v>EA:A1BC</x:v>
      </x:c>
      <x:c r="J671" s="23" t="str">
        <x:v>CC 4B 2D 6B 65 68 2D 68 65 68 2E 2E 2E 01 59 6F 75 01 6D 61 79 01 70 61 73 73 2E C8 49 2D 49 01 63 6F 75 6C 64 01 73 74 69 6C 6C 01 66 69 67 68 74 2C 01 6F 66 01 63 6F 75 72 73 65 2C C8 62 75 74 01 49 01 77 69 6C 6C 01 6C 65 74 01 79 6F 75 01 6F 66 66 01 74 68 69 73 01 74 69 6D 65 21 C0</x:v>
      </x:c>
      <x:c r="K671" s="23" t="str">
        <x:v>1CC 018 018 03E 001 023 001 023 014 03E 022 011 011 035 1C8 084 02C 001 084 02C 021 025 001 10D 03E 022 032 011 011 03D 084 01F 018 084 023 1C8 02E 001 02E 010 001 034 038 01B 022 033 038 035 001 018 018 03E 1C0</x:v>
      </x:c>
    </x:row>
    <x:row r="672">
      <x:c r="A672" s="22" t="str">
        <x:f>"02"</x:f>
        <x:v>02</x:v>
      </x:c>
      <x:c r="B672" s="22" t="str">
        <x:f>"9E"</x:f>
        <x:v>9E</x:v>
      </x:c>
      <x:c r="C672" s="22" t="str">
        <x:f>"0x029E"</x:f>
        <x:v>0x029E</x:v>
      </x:c>
      <x:c r="D672" s="21" t="str">
        <x:v>&lt;CLEAR&gt;
のりものそうこ
かんけいしゃ いがい
たちいり きんし&lt;WAIT&gt;
&lt;CLEAR&gt;
のりものせんろは ただいま
かくちょうこうじのため
みかんせいです    ジェイビー</x:v>
      </x:c>
      <x:c r="E672" s="19" t="str">
        <x:v>&lt;CLEAR&gt;VEHICLE DEPOT AUTHORIZED
PERSONNEL ONLY&lt;WAIT&gt;&lt;CLEAR&gt;Vehicle tracks are
currently unfinished due
to expansion work. J.B.</x:v>
      </x:c>
      <x:c r="F672" s="20" t="str"/>
      <x:c r="G672" s="20" t="str"/>
      <x:c r="H672" s="23" t="str">
        <x:v>CLEAR NEWLINE WAIT CLEAR NEWLINE NEWLINE END</x:v>
      </x:c>
      <x:c r="I672" s="23" t="str">
        <x:v>EA:A21C</x:v>
      </x:c>
      <x:c r="J672" s="23" t="str">
        <x:v>D0 56 45 48 49 43 4C 45 01 44 45 50 4F 54 01 41 55 54 48 4F 52 49 5A 45 44 C8 50 45 52 53 4F 4E 4E 45 4C 01 4F 4E 4C 59 C5 D0 56 65 68 69 63 6C 65 01 74 72 61 63 6B 73 01 61 72 65 C8 63 75 72 72 65 6E 74 6C 79 01 75 6E 66 69 6E 69 73 68 65 64 01 64 75 65 C8 74 6F 01 65 78 70 61 6E 73 69 6F 6E 01 77 6F 72 6B 2E 01 4A 2E 42 2E C0</x:v>
      </x:c>
      <x:c r="K672" s="23" t="str">
        <x:v>1D0 028 037 032 028 01E 012 019 1C8 015 03D 018 011 01B 03F 001 011 084 015 011 1C8 01F 020 011 037 001 016 03D 01B 1C5 1D0 028 037 032 028 01D 03D 03A 029 001 01F 084 01F 011 02E 1C8 015 017 020 041 012 019 012 084 01B 028 01F 031 1C8 02F 015 03D 01D 011 084 022 01C 001 001 001 001 084 04D 076 043 084 05C 078 1C0</x:v>
      </x:c>
    </x:row>
    <x:row r="673">
      <x:c r="A673" s="22" t="str">
        <x:f>"02"</x:f>
        <x:v>02</x:v>
      </x:c>
      <x:c r="B673" s="22" t="str">
        <x:f>"9F"</x:f>
        <x:v>9F</x:v>
      </x:c>
      <x:c r="C673" s="22" t="str">
        <x:f>"0x029F"</x:f>
        <x:v>0x029F</x:v>
      </x:c>
      <x:c r="D673" s="21" t="str">
        <x:v>&lt;SPEAKER&gt;「ううう う お おねがいだ
お おくすりを め めぐんでくれ</x:v>
      </x:c>
      <x:c r="E673" s="19" t="str">
        <x:v>&lt;SPEAKER&gt;Ugh... p-please...
S-spare me some medicine...</x:v>
      </x:c>
      <x:c r="F673" s="20" t="str"/>
      <x:c r="G673" s="20" t="str"/>
      <x:c r="H673" s="23" t="str">
        <x:v>SPEAKER NEWLINE END</x:v>
      </x:c>
      <x:c r="I673" s="23" t="str">
        <x:v>EA:A28A</x:v>
      </x:c>
      <x:c r="J673" s="23" t="str">
        <x:v>CC 55 67 68 2E 2E 2E 01 70 2D 70 6C 65 61 73 65 2E 2E 2E C8 53 2D 73 70 61 72 65 01 6D 65 01 73 6F 6D 65 01 6D 65 64 69 63 69 6E 65 2E 2E 2E C0</x:v>
      </x:c>
      <x:c r="K673" s="23" t="str">
        <x:v>1CC 012 012 012 001 012 001 014 001 014 027 084 015 011 084 01F 1C8 014 001 014 017 01C 037 03C 001 031 001 031 084 017 03D 084 022 017 039 1C0</x:v>
      </x:c>
    </x:row>
    <x:row r="674">
      <x:c r="A674" s="22" t="str">
        <x:f>"02"</x:f>
        <x:v>02</x:v>
      </x:c>
      <x:c r="B674" s="22" t="str">
        <x:f>"A0"</x:f>
        <x:v>A0</x:v>
      </x:c>
      <x:c r="C674" s="22" t="str">
        <x:f>"0x02A0"</x:f>
        <x:v>0x02A0</x:v>
      </x:c>
      <x:c r="D674" s="21" t="str">
        <x:v>&lt;SPEAKER&gt;「あ ありがてえ ありがてえぜ&lt;WAIT&gt;&lt;SPEAKER&gt;「グビグビ ゴクゴク</x:v>
      </x:c>
      <x:c r="E674" s="19" t="str">
        <x:v>&lt;SPEAKER&gt;Th-thank you... Thank you!&lt;WAIT&gt;&lt;SPEAKER&gt;Gulp, gulp...</x:v>
      </x:c>
      <x:c r="F674" s="20" t="str"/>
      <x:c r="G674" s="20" t="str"/>
      <x:c r="H674" s="23" t="str">
        <x:v>SPEAKER WAIT SPEAKER END</x:v>
      </x:c>
      <x:c r="I674" s="23" t="str">
        <x:v>EA:A2BA</x:v>
      </x:c>
      <x:c r="J674" s="23" t="str">
        <x:v>CC 54 68 2D 74 68 61 6E 6B 01 79 6F 75 2E 2E 2E 01 54 68 61 6E 6B 01 79 6F 75 21 C5 CC 47 75 6C 70 2C 01 67 75 6C 70 2E 2E 2E C0</x:v>
      </x:c>
      <x:c r="K674" s="23" t="str">
        <x:v>1CC 010 001 010 037 084 015 022 013 001 010 037 084 015 022 013 084 01D 1C5 1CC 084 049 084 05C 084 049 084 05C 001 084 04B 049 084 04B 049 1C0</x:v>
      </x:c>
    </x:row>
    <x:row r="675">
      <x:c r="A675" s="22" t="str">
        <x:f>"02"</x:f>
        <x:v>02</x:v>
      </x:c>
      <x:c r="B675" s="22" t="str">
        <x:f>"A1"</x:f>
        <x:v>A1</x:v>
      </x:c>
      <x:c r="C675" s="22" t="str">
        <x:f>"0x02A1"</x:f>
        <x:v>0x02A1</x:v>
      </x:c>
      <x:c r="D675" s="21" t="str">
        <x:v>&lt;CLEAR&gt;
バーボの LPが
24ポイント かいふくした</x:v>
      </x:c>
      <x:c r="E675" s="19" t="str">
        <x:v>&lt;CLEAR&gt;Barbo recovered 24 LP.</x:v>
      </x:c>
      <x:c r="F675" s="20" t="str"/>
      <x:c r="G675" s="20" t="str"/>
      <x:c r="H675" s="23" t="str">
        <x:v>CLEAR END</x:v>
      </x:c>
      <x:c r="I675" s="23" t="str">
        <x:v>EA:A2E5</x:v>
      </x:c>
      <x:c r="J675" s="23" t="str">
        <x:v>D0 42 61 72 62 6F 01 72 65 63 6F 76 65 72 65 64 01 32 34 01 4C 50 2E C0</x:v>
      </x:c>
      <x:c r="K675" s="23" t="str">
        <x:v>1D0 084 05B 078 084 05F 028 001 00C 00E 084 015 1C8 004 006 083 05F 043 06F 055 001 015 011 02B 017 01B 01F 1C0</x:v>
      </x:c>
    </x:row>
    <x:row r="676">
      <x:c r="A676" s="22" t="str">
        <x:f>"02"</x:f>
        <x:v>02</x:v>
      </x:c>
      <x:c r="B676" s="22" t="str">
        <x:f>"A2"</x:f>
        <x:v>A2</x:v>
      </x:c>
      <x:c r="C676" s="22" t="str">
        <x:f>"0x02A2"</x:f>
        <x:v>0x02A2</x:v>
      </x:c>
      <x:c r="D676" s="21" t="str">
        <x:v>&lt;SPEAKER&gt;「うう な なんとか すこしは
ら らくになったぜ ふうー&lt;WAIT&gt;&lt;SPEAKER&gt;「よーし ねえちゃん!
おくれをとりもどすぜい!
とりゃー ガッツ ガッツー!</x:v>
      </x:c>
      <x:c r="E676" s="19" t="str">
        <x:v>&lt;SPEAKER&gt;Ugh... I feel a
little better now. Whew...&lt;WAIT&gt;&lt;SPEAKER&gt;All right, lady!
Time to make up for lost
time! Hyaa! Guts! Guts!</x:v>
      </x:c>
      <x:c r="F676" s="20" t="str"/>
      <x:c r="G676" s="20" t="str"/>
      <x:c r="H676" s="23" t="str">
        <x:v>SPEAKER NEWLINE WAIT SPEAKER NEWLINE NEWLINE END</x:v>
      </x:c>
      <x:c r="I676" s="23" t="str">
        <x:v>EA:A2FD</x:v>
      </x:c>
      <x:c r="J676" s="23" t="str">
        <x:v>CC 55 67 68 2E 2E 2E 01 49 01 66 65 65 6C 01 61 C8 6C 69 74 74 6C 65 01 62 65 74 74 65 72 01 6E 6F 77 2E 01 57 68 65 77 2E 2E 2E C5 CC 41 6C 6C 01 72 69 67 68 74 2C 01 6C 61 64 79 21 C8 54 69 6D 65 01 74 6F 01 6D 61 6B 65 01 75 70 01 66 6F 72 01 6C 6F 73 74 C8 74 69 6D 65 21 01 48 79 61 61 21 01 47 75 74 73 21 01 47 75 74 73 21 C0</x:v>
      </x:c>
      <x:c r="K676" s="23" t="str">
        <x:v>1CC 012 012 001 024 001 024 03D 023 015 001 01C 019 01B 029 1C8 036 001 036 017 025 024 03E 01F 084 01D 001 02B 012 078 1C5 1CC 035 078 01B 001 027 013 020 03F 03D 07A 1C8 014 017 039 03C 023 037 032 084 023 01C 084 01D 011 07A 1C8 023 037 03F 078 001 084 047 070 053 001 084 047 070 053 078 07A 1C0</x:v>
      </x:c>
    </x:row>
    <x:row r="677">
      <x:c r="A677" s="22" t="str">
        <x:f>"02"</x:f>
        <x:v>02</x:v>
      </x:c>
      <x:c r="B677" s="22" t="str">
        <x:f>"A3"</x:f>
        <x:v>A3</x:v>
      </x:c>
      <x:c r="C677" s="22" t="str">
        <x:f>"0x02A3"</x:f>
        <x:v>0x02A3</x:v>
      </x:c>
      <x:c r="D677" s="21" t="str">
        <x:v>&lt;SPEAKER&gt;「うう そんな せっしょうな
ね ねえちゃん つ つめたいぜ
うげっ ごほ ごほ うう うー&lt;WAIT&gt;&lt;SPEAKER&gt;「くそー 死んで たまるかい</x:v>
      </x:c>
      <x:c r="E677" s="19" t="str">
        <x:v>&lt;SPEAKER&gt;Ugh... That is cold,
lady... Cough! Cough! Ugh...&lt;WAIT&gt;&lt;SPEAKER&gt;Damn it! I
am not dying here!</x:v>
      </x:c>
      <x:c r="F677" s="20" t="str"/>
      <x:c r="G677" s="20" t="str"/>
      <x:c r="H677" s="23" t="str">
        <x:v>SPEAKER NEWLINE WAIT SPEAKER NEWLINE END</x:v>
      </x:c>
      <x:c r="I677" s="23" t="str">
        <x:v>EA:A36C</x:v>
      </x:c>
      <x:c r="J677" s="23" t="str">
        <x:v>CC 55 67 68 2E 2E 2E 01 54 68 61 74 01 69 73 01 63 6F 6C 64 2C C8 6C 61 64 79 2E 2E 2E 01 43 6F 75 67 68 21 01 43 6F 75 67 68 21 01 55 67 68 2E 2E 2E C5 CC 44 61 6D 6E 01 69 74 21 01 49 C8 61 6D 01 6E 6F 74 01 64 79 69 6E 67 01 68 65 72 65 21 C0</x:v>
      </x:c>
      <x:c r="K677" s="23" t="str">
        <x:v>1CC 012 012 001 01E 03D 024 001 01D 03E 01B 041 012 024 1C8 027 001 027 013 020 03F 03D 001 021 001 021 031 01F 011 084 01D 1C8 012 084 018 03E 001 084 019 02D 001 084 019 02D 001 012 012 001 012 078 1C5 1CC 017 01E 078 001 0D6 03D 084 022 001 01F 02E 038 015 011 1C0</x:v>
      </x:c>
    </x:row>
    <x:row r="678">
      <x:c r="A678" s="22" t="str">
        <x:f>"02"</x:f>
        <x:v>02</x:v>
      </x:c>
      <x:c r="B678" s="22" t="str">
        <x:f>"A4"</x:f>
        <x:v>A4</x:v>
      </x:c>
      <x:c r="C678" s="22" t="str">
        <x:f>"0x02A4"</x:f>
        <x:v>0x02A4</x:v>
      </x:c>
      <x:c r="D678" s="21" t="str">
        <x:v>&lt;SPEAKER&gt;「げげ! ないの? ひとつも?
なんて むけいかくな・・・
って おれもか・・・&lt;WAIT&gt;&lt;SPEAKER&gt;「うげっ ごほ ごほ うう うー
くそー 死んで たまるかい</x:v>
      </x:c>
      <x:c r="E678" s="19" t="str">
        <x:v>&lt;SPEAKER&gt;What?! None at all?
Talk about poor planning...
Though I guess I cannot talk...&lt;WAIT&gt;&lt;SPEAKER&gt;Cough! Cough! Ugh...
Damn it! I am not dying here!</x:v>
      </x:c>
      <x:c r="F678" s="20" t="str"/>
      <x:c r="G678" s="20" t="str"/>
      <x:c r="H678" s="23" t="str">
        <x:v>SPEAKER NEWLINE NEWLINE WAIT SPEAKER NEWLINE END</x:v>
      </x:c>
      <x:c r="I678" s="23" t="str">
        <x:v>EA:A3BE</x:v>
      </x:c>
      <x:c r="J678" s="23" t="str">
        <x:v>CC 57 68 61 74 3F 21 01 4E 6F 6E 65 01 61 74 01 61 6C 6C 3F C8 54 61 6C 6B 01 61 62 6F 75 74 01 70 6F 6F 72 01 70 6C 61 6E 6E 69 6E 67 2E 2E 2E C8 54 68 6F 75 67 68 01 49 01 67 75 65 73 73 01 49 01 63 61 6E 6E 6F 74 01 74 61 6C 6B 2E 2E 2E C5 CC 43 6F 75 67 68 21 01 43 6F 75 67 68 21 01 55 67 68 2E 2E 2E C8 44 61 6D 6E 01 69 74 21 01 49 01 61 6D 01 6E 6F 74 01 64 79 69 6E 67 01 68 65 72 65 21 C0</x:v>
      </x:c>
      <x:c r="K678" s="23" t="str">
        <x:v>1CC 084 018 084 018 07A 001 024 011 028 079 001 02A 023 021 032 079 1C8 024 03D 022 001 030 018 011 015 017 024 081 081 081 1C8 03E 022 001 014 039 032 015 081 081 081 1C5 1CC 012 084 018 03E 001 084 019 02D 001 084 019 02D 001 012 012 001 012 078 1C8 017 01E 078 001 0D6 03D 084 022 001 01F 02E 038 015 011 1C0</x:v>
      </x:c>
    </x:row>
    <x:row r="679">
      <x:c r="A679" s="22" t="str">
        <x:f>"02"</x:f>
        <x:v>02</x:v>
      </x:c>
      <x:c r="B679" s="22" t="str">
        <x:f>"A5"</x:f>
        <x:v>A5</x:v>
      </x:c>
      <x:c r="C679" s="22" t="str">
        <x:f>"0x02A5"</x:f>
        <x:v>0x02A5</x:v>
      </x:c>
      <x:c r="D679" s="21" t="str">
        <x:v>&lt;SPEAKER&gt;「おお! おお! おおお! なんと!
あ あんた! に 人間か!
城を ぬ ぬけてきたのか?&lt;WAIT&gt;&lt;SPEAKER&gt;「わ わしらは 島のものじゃが
化け物に つかまって この城の
ていれとかを やらされとる&lt;WAIT&gt;&lt;SPEAKER&gt;「にげようとしたら 化け物に
食われてしまうんじゃ・・ もう
ずいぶん なかまが やられてしもうた&lt;WAIT&gt;&lt;SPEAKER&gt;「あんたも 城の中で たぶん
見たと思うがな&lt;WAIT&gt;&lt;SPEAKER&gt;「あの でかい ベビーバロン!</x:v>
      </x:c>
      <x:c r="E679" s="19" t="str">
        <x:v>&lt;SPEAKER&gt;Oh! Ohhh! What is
this?! Y-you are human! You
escaped from the castle?&lt;WAIT&gt;&lt;SPEAKER&gt;We are islanders, but
the monsters captured us and
force us to maintain this castle.&lt;WAIT&gt;&lt;SPEAKER&gt;If anyone tries to escape,
the monsters eat them... We
have already lost many friends.&lt;WAIT&gt;&lt;SPEAKER&gt;You probably saw
it inside the castle too...&lt;WAIT&gt;&lt;SPEAKER&gt;That
enormous Baby Baron!</x:v>
      </x:c>
      <x:c r="F679" s="20" t="str"/>
      <x:c r="G679" s="20" t="str"/>
      <x:c r="H679" s="23" t="str">
        <x:v>SPEAKER NEWLINE NEWLINE WAIT SPEAKER NEWLINE NEWLINE WAIT SPEAKER NEWLINE NEWLINE WAIT SPEAKER NEWLINE WAIT SPEAKER NEWLINE END</x:v>
      </x:c>
      <x:c r="I679" s="23" t="str">
        <x:v>EA:A443</x:v>
      </x:c>
      <x:c r="J679" s="23" t="str">
        <x:v>CC 4F 68 21 01 4F 68 68 68 21 01 57 68 61 74 01 69 73 C8 74 68 69 73 3F 21 01 59 2D 79 6F 75 01 61 72 65 01 68 75 6D 61 6E 21 01 59 6F 75 C8 65 73 63 61 70 65 64 01 66 72 6F 6D 01 74 68 65 01 63 61 73 74 6C 65 3F C5 CC 57 65 01 61 72 65 01 69 73 6C 61 6E 64 65 72 73 2C 01 62 75 74 C8 74 68 65 01 6D 6F 6E 73 74 65 72 73 01 63 61 70 74 75 72 65 64 01 75 73 01 61 6E 64 C8 66 6F 72 63 65 01 75 73 01 74 6F 01 6D 61 69 6E 74 61 69 6E 01 74 68 69 73 01 63 61 73 74 6C 65 2E C5 CC 49 66 01 61 6E 79 6F 6E 65 01 74 72 69 65 73 01 74 6F 01 65 73 63 61 70 65 2C C8 74 68 65 01 6D 6F 6E 73 74 65 72 73 01 65 61 74 01 74 68 65 6D 2E 2E 2E 01 57 65 C8 68 61 76 65 01 61 6C 72 65 61 64 79 01 6C 6F 73 74 01 6D 61 6E 79 01 66 72 69 65 6E 64 73 2E C5 CC 59 6F 75 01 70 72 6F 62 61 62 6C 79 01 73 61 77 C8 69 74 01 69 6E 73 69 64 65 01 74 68 65 01 63 61 73 74 6C 65 01 74 6F 6F 2E 2E 2E C5 CC 54 68 61 74 C8 65 6E 6F 72 6D 6F 75 73 01 42 61 62 79 01 42 61 72 6F 6E 21 C0</x:v>
      </x:c>
      <x:c r="K679" s="23" t="str">
        <x:v>1CC 014 014 07A 001 014 014 07A 001 014 014 014 07A 001 024 03D 023 07A 1C8 010 001 010 03D 01F 07A 001 025 001 091 0E3 015 07A 1C8 08C 03C 001 026 001 026 018 022 016 01F 028 015 079 1C5 1CC 03B 001 03B 01B 036 029 001 08A 028 032 028 084 01B 03F 084 015 1C8 09E 018 08B 025 001 021 015 02E 03E 022 001 019 028 08C 028 1C8 022 011 039 023 015 03C 001 033 036 01A 039 023 038 1C5 1CC 025 084 018 035 012 023 01B 01F 036 001 09E 018 08B 025 1C8 0E4 03B 039 022 01B 02E 012 03D 084 01B 03F 081 081 001 032 012 1C8 084 01C 011 084 02B 03D 001 024 015 02E 084 015 001 033 036 039 022 01B 032 012 01F 1C5 1CC 010 03D 01F 032 001 08C 028 0A1 084 022 001 01F 084 02B 03D 1C8 090 01F 023 10F 012 084 015 024 1C5 1CC 010 028 001 084 022 015 011 001 084 05E 084 05C 078 084 05B 06C 06F 07A 1C0</x:v>
      </x:c>
    </x:row>
    <x:row r="680">
      <x:c r="A680" s="22" t="str">
        <x:f>"02"</x:f>
        <x:v>02</x:v>
      </x:c>
      <x:c r="B680" s="22" t="str">
        <x:f>"A6"</x:f>
        <x:v>A6</x:v>
      </x:c>
      <x:c r="C680" s="22" t="str">
        <x:f>"0x02A6"</x:f>
        <x:v>0x02A6</x:v>
      </x:c>
      <x:c r="D680" s="21" t="str">
        <x:v>&lt;SPEAKER&gt;「やつは まちがいなく じごくから
よみがえった 伝説の 化け物に
ちがいないわい!</x:v>
      </x:c>
      <x:c r="E680" s="19" t="str">
        <x:v>&lt;SPEAKER&gt;That thing must
be the legendary monster
resurrected from hell!</x:v>
      </x:c>
      <x:c r="F680" s="20" t="str"/>
      <x:c r="G680" s="20" t="str"/>
      <x:c r="H680" s="23" t="str">
        <x:v>SPEAKER NEWLINE NEWLINE END</x:v>
      </x:c>
      <x:c r="I680" s="23" t="str">
        <x:v>EA:A582</x:v>
      </x:c>
      <x:c r="J680" s="23" t="str">
        <x:v>CC 54 68 61 74 01 74 68 69 6E 67 01 6D 75 73 74 C8 62 65 01 74 68 65 01 6C 65 67 65 6E 64 61 72 79 01 6D 6F 6E 73 74 65 72 C8 72 65 73 75 72 72 65 63 74 65 64 01 66 72 6F 6D 01 68 65 6C 6C 21 C0</x:v>
      </x:c>
      <x:c r="K680" s="23" t="str">
        <x:v>1CC 033 021 029 001 02E 020 084 015 011 024 017 001 084 01B 084 019 017 015 036 1C8 035 02F 084 015 013 03E 01F 001 092 08F 028 001 09E 018 08B 025 1C8 020 084 015 011 024 011 03B 011 07A 1C0</x:v>
      </x:c>
    </x:row>
    <x:row r="681">
      <x:c r="A681" s="22" t="str">
        <x:f>"02"</x:f>
        <x:v>02</x:v>
      </x:c>
      <x:c r="B681" s="22" t="str">
        <x:f>"A7"</x:f>
        <x:v>A7</x:v>
      </x:c>
      <x:c r="C681" s="22" t="str">
        <x:f>"0x02A7"</x:f>
        <x:v>0x02A7</x:v>
      </x:c>
      <x:c r="D681" s="21" t="str">
        <x:v>&lt;SPEAKER&gt;「ぶじで なによりじゃ 娘さん!
あんたは 強そうじゃが
むりは いかんぞ むりは・・・&lt;WAIT&gt;&lt;SPEAKER&gt;「きずついたら いつでも
わしらの 家に
泊まってっても ええからな!</x:v>
      </x:c>
      <x:c r="E681" s="19" t="str">
        <x:v>&lt;SPEAKER&gt;I am glad you are safe,
young lady! You look strong, but
do not push yourself too hard.&lt;WAIT&gt;&lt;SPEAKER&gt;If you are hurt,
you may stay at our
house whenever you like!</x:v>
      </x:c>
      <x:c r="F681" s="20" t="str"/>
      <x:c r="G681" s="20" t="str"/>
      <x:c r="H681" s="23" t="str">
        <x:v>SPEAKER NEWLINE NEWLINE WAIT SPEAKER NEWLINE NEWLINE END</x:v>
      </x:c>
      <x:c r="I681" s="23" t="str">
        <x:v>EA:A5C3</x:v>
      </x:c>
      <x:c r="J681" s="23" t="str">
        <x:v>CC 49 01 61 6D 01 67 6C 61 64 01 79 6F 75 01 61 72 65 01 73 61 66 65 2C C8 79 6F 75 6E 67 01 6C 61 64 79 21 01 59 6F 75 01 6C 6F 6F 6B 01 73 74 72 6F 6E 67 2C 01 62 75 74 C8 64 6F 01 6E 6F 74 01 70 75 73 68 01 79 6F 75 72 73 65 6C 66 01 74 6F 6F 01 68 61 72 64 2E C5 CC 49 66 01 79 6F 75 01 61 72 65 01 68 75 72 74 2C C8 79 6F 75 01 6D 61 79 01 73 74 61 79 01 61 74 01 6F 75 72 C8 68 6F 75 73 65 01 77 68 65 6E 65 76 65 72 01 79 6F 75 01 6C 69 6B 65 21 C0</x:v>
      </x:c>
      <x:c r="K681" s="23" t="str">
        <x:v>1CC 084 02B 084 01B 084 022 001 024 025 035 037 084 01B 03F 001 0C0 01A 03D 07A 1C8 010 03D 01F 029 001 138 01E 012 084 01B 03F 084 015 1C8 030 037 029 001 011 015 03D 084 01E 001 030 037 029 081 081 081 1C5 1CC 016 084 01C 021 011 01F 036 001 011 021 084 022 032 1C8 03B 01B 036 028 001 161 025 1C8 121 02E 03E 022 03E 022 032 001 013 013 015 036 024 07A 1C0</x:v>
      </x:c>
    </x:row>
    <x:row r="682">
      <x:c r="A682" s="22" t="str">
        <x:f>"02"</x:f>
        <x:v>02</x:v>
      </x:c>
      <x:c r="B682" s="22" t="str">
        <x:f>"A8"</x:f>
        <x:v>A8</x:v>
      </x:c>
      <x:c r="C682" s="22" t="str">
        <x:f>"0x02A8"</x:f>
        <x:v>0x02A8</x:v>
      </x:c>
      <x:c r="D682" s="21" t="str">
        <x:v>&lt;SPEAKER&gt;「ふがふが ふがふが なにも
おかまいできんがのう&lt;WAIT&gt;&lt;SPEAKER&gt;「お泊めするくらいなら ふがふが
できますわい&lt;WAIT&gt;&lt;SPEAKER&gt;「お泊まりになりますかの?</x:v>
      </x:c>
      <x:c r="E682" s="19" t="str">
        <x:v>&lt;SPEAKER&gt;Snort, snort... We
cannot offer you much.&lt;WAIT&gt;&lt;SPEAKER&gt;But we can at least
give you a place to sleep. Snort.&lt;WAIT&gt;&lt;SPEAKER&gt;Would you like to stay?</x:v>
      </x:c>
      <x:c r="F682" s="20" t="str"/>
      <x:c r="G682" s="20" t="str"/>
      <x:c r="H682" s="23" t="str">
        <x:v>SPEAKER NEWLINE WAIT SPEAKER NEWLINE WAIT SPEAKER END</x:v>
      </x:c>
      <x:c r="I682" s="23" t="str">
        <x:v>EA:A65B</x:v>
      </x:c>
      <x:c r="J682" s="23" t="str">
        <x:v>CC 53 6E 6F 72 74 2C 01 73 6E 6F 72 74 2E 2E 2E 01 57 65 C8 63 61 6E 6E 6F 74 01 6F 66 66 65 72 01 79 6F 75 01 6D 75 63 68 2E C5 CC 42 75 74 01 77 65 01 63 61 6E 01 61 74 01 6C 65 61 73 74 C8 67 69 76 65 01 79 6F 75 01 61 01 70 6C 61 63 65 01 74 6F 01 73 6C 65 65 70 2E 01 53 6E 6F 72 74 2E C5 CC 57 6F 75 6C 64 01 79 6F 75 01 6C 69 6B 65 01 74 6F 01 73 74 61 79 3F C0</x:v>
      </x:c>
      <x:c r="K682" s="23" t="str">
        <x:v>1CC 02B 084 015 02B 084 015 001 02B 084 015 02B 084 015 001 024 025 032 1C8 014 015 02E 011 084 022 016 03D 084 015 028 012 1C5 1CC 014 121 031 01C 038 017 036 011 024 036 001 02B 084 015 02B 084 015 1C8 084 022 016 02E 01C 03B 011 1C5 1CC 014 121 02E 037 025 024 037 02E 01C 015 028 079 1C0</x:v>
      </x:c>
    </x:row>
    <x:row r="683">
      <x:c r="A683" s="22" t="str">
        <x:f>"02"</x:f>
        <x:v>02</x:v>
      </x:c>
      <x:c r="B683" s="22" t="str">
        <x:f>"A9"</x:f>
        <x:v>A9</x:v>
      </x:c>
      <x:c r="C683" s="22" t="str">
        <x:f>"0x02A9"</x:f>
        <x:v>0x02A9</x:v>
      </x:c>
      <x:c r="D683" s="21" t="str">
        <x:v>&lt;SPEAKER&gt;「くれぐれも けがを
せんように 行かっしゃい</x:v>
      </x:c>
      <x:c r="E683" s="19" t="str">
        <x:v>&lt;SPEAKER&gt;Travel carefully, and
do not get yourself hurt.</x:v>
      </x:c>
      <x:c r="F683" s="20" t="str"/>
      <x:c r="G683" s="20" t="str"/>
      <x:c r="H683" s="23" t="str">
        <x:v>SPEAKER NEWLINE END</x:v>
      </x:c>
      <x:c r="I683" s="23" t="str">
        <x:v>EA:A6D6</x:v>
      </x:c>
      <x:c r="J683" s="23" t="str">
        <x:v>CC 54 72 61 76 65 6C 01 63 61 72 65 66 75 6C 6C 79 2C 01 61 6E 64 C8 64 6F 01 6E 6F 74 01 67 65 74 01 79 6F 75 72 73 65 6C 66 01 68 75 72 74 2E C0</x:v>
      </x:c>
      <x:c r="K683" s="23" t="str">
        <x:v>1CC 017 039 084 017 039 032 001 018 084 015 03C 1C8 01D 03D 035 012 025 001 08D 015 03E 01B 03F 011 1C0</x:v>
      </x:c>
    </x:row>
    <x:row r="684">
      <x:c r="A684" s="22" t="str">
        <x:f>"02"</x:f>
        <x:v>02</x:v>
      </x:c>
      <x:c r="B684" s="22" t="str">
        <x:f>"AA"</x:f>
        <x:v>AA</x:v>
      </x:c>
      <x:c r="C684" s="22" t="str">
        <x:f>"0x02AA"</x:f>
        <x:v>0x02AA</x:v>
      </x:c>
      <x:c r="D684" s="21" t="str">
        <x:v>&lt;SPEAKER&gt;「バロン城は 人間を
あざむくために 魔物たちが
かいぞうしたんじゃ&lt;WAIT&gt;&lt;SPEAKER&gt;「宝のうわさを 世界に
ながしたのも 魔物たちですわい&lt;WAIT&gt;&lt;SPEAKER&gt;「わるぢえは すべて あの
化け物ベビーバロンが
つけとるんじゃ&lt;WAIT&gt;&lt;SPEAKER&gt;「強そうな 人間を
島にあつめて かんづめに
して 食っとる</x:v>
      </x:c>
      <x:c r="E684" s="19" t="str">
        <x:v>&lt;SPEAKER&gt;The monsters remodeled
Baron Castle to deceive humans.&lt;WAIT&gt;&lt;SPEAKER&gt;They were also the
ones who spread rumors of
treasure around the world.&lt;WAIT&gt;&lt;SPEAKER&gt;All of these
schemes came from that
monster, the Baby Baron.&lt;WAIT&gt;&lt;SPEAKER&gt;They lure strong
humans to the island, trap
them here, and eat them.</x:v>
      </x:c>
      <x:c r="F684" s="20" t="str"/>
      <x:c r="G684" s="20" t="str"/>
      <x:c r="H684" s="23" t="str">
        <x:v>SPEAKER NEWLINE WAIT SPEAKER NEWLINE NEWLINE WAIT SPEAKER NEWLINE NEWLINE WAIT SPEAKER NEWLINE NEWLINE END</x:v>
      </x:c>
      <x:c r="I684" s="23" t="str">
        <x:v>EA:A707</x:v>
      </x:c>
      <x:c r="J684" s="23" t="str">
        <x:v>CC 54 68 65 01 6D 6F 6E 73 74 65 72 73 01 72 65 6D 6F 64 65 6C 65 64 C8 42 61 72 6F 6E 01 43 61 73 74 6C 65 01 74 6F 01 64 65 63 65 69 76 65 01 68 75 6D 61 6E 73 2E C5 CC 54 68 65 79 01 77 65 72 65 01 61 6C 73 6F 01 74 68 65 C8 6F 6E 65 73 01 77 68 6F 01 73 70 72 65 61 64 01 72 75 6D 6F 72 73 01 6F 66 C8 74 72 65 61 73 75 72 65 01 61 72 6F 75 6E 64 01 74 68 65 01 77 6F 72 6C 64 2E C5 CC 41 6C 6C 01 6F 66 01 74 68 65 73 65 C8 73 63 68 65 6D 65 73 01 63 61 6D 65 01 66 72 6F 6D 01 74 68 61 74 C8 6D 6F 6E 73 74 65 72 2C 01 74 68 65 01 42 61 62 79 01 42 61 72 6F 6E 2E C5 CC 54 68 65 79 01 6C 75 72 65 01 73 74 72 6F 6E 67 C8 68 75 6D 61 6E 73 01 74 6F 01 74 68 65 01 69 73 6C 61 6E 64 2C 01 74 72 61 70 C8 74 68 65 6D 01 68 65 72 65 2C 01 61 6E 64 01 65 61 74 01 74 68 65 6D 2E C0</x:v>
      </x:c>
      <x:c r="K684" s="23" t="str">
        <x:v>1CC 084 05B 06C 06F 08C 029 001 091 0E3 03C 1C8 010 084 01A 030 017 01F 031 025 001 09A 08B 01F 020 084 015 1C8 015 011 084 01E 012 01B 01F 03D 084 01B 03F 1C5 1CC 095 028 012 03B 01A 03C 001 0A9 103 025 1C8 024 084 015 01B 01F 028 032 001 09A 08B 01F 020 084 022 01C 03B 011 1C5 1CC 03B 038 084 020 013 029 001 01C 084 02C 022 001 010 028 1C8 09E 018 08B 084 05E 084 05C 078 084 05B 06C 06F 084 015 1C8 021 018 023 038 03D 084 01B 03F 1C5 1CC 138 01E 012 024 001 091 0E3 03C 1C8 08A 025 010 021 031 022 001 015 03D 084 021 031 025 1C8 01B 022 001 0E4 03E 023 038 1C0</x:v>
      </x:c>
    </x:row>
    <x:row r="685">
      <x:c r="A685" s="22" t="str">
        <x:f>"02"</x:f>
        <x:v>02</x:v>
      </x:c>
      <x:c r="B685" s="22" t="str">
        <x:f>"AB"</x:f>
        <x:v>AB</x:v>
      </x:c>
      <x:c r="C685" s="22" t="str">
        <x:f>"0x02AB"</x:f>
        <x:v>0x02AB</x:v>
      </x:c>
      <x:c r="D685" s="21" t="str">
        <x:v>&lt;SPEAKER&gt;「わしらの むすこも 宝に
目がくらんで かんづめに
されて しもうた・・・・</x:v>
      </x:c>
      <x:c r="E685" s="19" t="str">
        <x:v>&lt;SPEAKER&gt;Our son was blinded
by the treasure too, and
ended up trapped here...</x:v>
      </x:c>
      <x:c r="F685" s="20" t="str"/>
      <x:c r="G685" s="20" t="str"/>
      <x:c r="H685" s="23" t="str">
        <x:v>SPEAKER NEWLINE NEWLINE END</x:v>
      </x:c>
      <x:c r="I685" s="23" t="str">
        <x:v>EA:A80C</x:v>
      </x:c>
      <x:c r="J685" s="23" t="str">
        <x:v>CC 4F 75 72 01 73 6F 6E 01 77 61 73 01 62 6C 69 6E 64 65 64 C8 62 79 01 74 68 65 01 74 72 65 61 73 75 72 65 01 74 6F 6F 2C 01 61 6E 64 C8 65 6E 64 65 64 01 75 70 01 74 72 61 70 70 65 64 01 68 65 72 65 2E 2E 2E C0</x:v>
      </x:c>
      <x:c r="K685" s="23" t="str">
        <x:v>1CC 03B 01B 036 028 001 030 01C 019 032 001 095 025 1C8 0B6 084 015 017 036 03D 084 022 001 015 03D 084 021 031 025 1C8 01A 039 022 001 01B 032 012 01F 081 081 081 081 1C0</x:v>
      </x:c>
    </x:row>
    <x:row r="686">
      <x:c r="A686" s="22" t="str">
        <x:f>"02"</x:f>
        <x:v>02</x:v>
      </x:c>
      <x:c r="B686" s="22" t="str">
        <x:f>"AC"</x:f>
        <x:v>AC</x:v>
      </x:c>
      <x:c r="C686" s="22" t="str">
        <x:f>"0x02AC"</x:f>
        <x:v>0x02AC</x:v>
      </x:c>
      <x:c r="D686" s="21" t="str">
        <x:v>&lt;SPEAKER&gt;「あつかましいかも しれんが
むすこの かたきを
うって くだされ&lt;WAIT&gt;&lt;SPEAKER&gt;「あの でかい魔物を
ぶちのめして くださらんか
う・う&lt;PAUSE_30&gt; う&lt;PAUSE_30&gt; うー&lt;PAUSE_30&gt; むすこー!</x:v>
      </x:c>
      <x:c r="E686" s="19" t="str">
        <x:v>&lt;SPEAKER&gt;I know this is much to
ask, but please avenge our son.&lt;WAIT&gt;&lt;SPEAKER&gt;Will you defeat
that enormous monster?
U... &lt;PAUSE_30&gt; u... &lt;PAUSE_30&gt;uuugh...&lt;PAUSE_30&gt; My son!</x:v>
      </x:c>
      <x:c r="F686" s="20" t="str"/>
      <x:c r="G686" s="20" t="str"/>
      <x:c r="H686" s="23" t="str">
        <x:v>SPEAKER NEWLINE WAIT SPEAKER NEWLINE NEWLINE PAUSE_30 PAUSE_30 PAUSE_30 END</x:v>
      </x:c>
      <x:c r="I686" s="23" t="str">
        <x:v>EA:A853</x:v>
      </x:c>
      <x:c r="J686" s="23" t="str">
        <x:v>CC 49 01 6B 6E 6F 77 01 74 68 69 73 01 69 73 01 6D 75 63 68 01 74 6F C8 61 73 6B 2C 01 62 75 74 01 70 6C 65 61 73 65 01 61 76 65 6E 67 65 01 6F 75 72 01 73 6F 6E 2E C5 CC 57 69 6C 6C 01 79 6F 75 01 64 65 66 65 61 74 C8 74 68 61 74 01 65 6E 6F 72 6D 6F 75 73 01 6D 6F 6E 73 74 65 72 3F C8 55 2E 2E 2E 01 CD 01 75 2E 2E 2E 01 CD 75 75 75 67 68 2E 2E 2E CD 01 4D 79 01 73 6F 6E 21 C0</x:v>
      </x:c>
      <x:c r="K686" s="23" t="str">
        <x:v>1CC 010 021 015 02E 01B 011 015 032 001 01B 039 03D 084 015 1C8 030 01C 019 028 001 015 01F 016 03C 1C8 012 03E 022 001 017 084 01F 01A 039 1C5 1CC 010 028 001 084 022 015 011 09A 08B 03C 1C8 084 02B 020 028 031 01B 022 001 017 084 01F 01A 036 03D 015 1C8 012 081 012 1CD 001 012 1CD 001 012 078 1CD 001 030 01C 019 078 07A 1C0</x:v>
      </x:c>
    </x:row>
    <x:row r="687">
      <x:c r="A687" s="22" t="str">
        <x:f>"02"</x:f>
        <x:v>02</x:v>
      </x:c>
      <x:c r="B687" s="22" t="str">
        <x:f>"AD"</x:f>
        <x:v>AD</x:v>
      </x:c>
      <x:c r="C687" s="22" t="str">
        <x:f>"0x02AD"</x:f>
        <x:v>0x02AD</x:v>
      </x:c>
      <x:c r="D687" s="21" t="str">
        <x:v>&lt;SPEAKER&gt;「わしらは ベビーバロンどもの
こづかいかせぎのために ここで
ものを 高値で 売っとったのです&lt;WAIT&gt;&lt;SPEAKER&gt;「やつらの はなしを こみみに
はさんだんじゃが 北の 鉱山で
何かを 掘っとるらしいな&lt;WAIT&gt;&lt;SPEAKER&gt;「化け物ベビーバロンが ひっしで
古代の 何かを さがしとる
とか いっとったのう&lt;WAIT&gt;&lt;SPEAKER&gt;「え? 北に 行く方法じゃと?&lt;WAIT&gt;&lt;SPEAKER&gt;「うーむ それは 地下水道を
通るしか ないな・・・でも
とても むりじゃ!・・・・&lt;WAIT&gt;&lt;SPEAKER&gt;「・・・しかし あんたなら
もしかして こえられるかもしれん
・・・・・・よしっ!</x:v>
      </x:c>
      <x:c r="E687" s="19" t="str">
        <x:v>&lt;SPEAKER&gt;The Baby Barons made
us sell goods at high prices
for their spending money.&lt;WAIT&gt;&lt;SPEAKER&gt;I overheard them.
They're digging for something
in the northern mine.&lt;WAIT&gt;&lt;SPEAKER&gt;That monster
Baby Baron is desperate
to find something ancient.&lt;WAIT&gt;&lt;SPEAKER&gt;What? How
do you go north?&lt;WAIT&gt;&lt;SPEAKER&gt;Only through the
underground waterway... but
that's far too dangerous.&lt;WAIT&gt;&lt;SPEAKER&gt;Still, maybe you
can do it. ...All right!</x:v>
      </x:c>
      <x:c r="F687" s="20" t="str"/>
      <x:c r="G687" s="20" t="str"/>
      <x:c r="H687" s="23" t="str">
        <x:v>SPEAKER NEWLINE NEWLINE WAIT SPEAKER NEWLINE NEWLINE WAIT SPEAKER NEWLINE NEWLINE WAIT SPEAKER NEWLINE WAIT SPEAKER NEWLINE NEWLINE WAIT SPEAKER NEWLINE END</x:v>
      </x:c>
      <x:c r="I687" s="23" t="str">
        <x:v>EA:A8D2</x:v>
      </x:c>
      <x:c r="J687" s="23" t="str">
        <x:v>CC 54 68 65 01 42 61 62 79 01 42 61 72 6F 6E 73 01 6D 61 64 65 C8 75 73 01 73 65 6C 6C 01 67 6F 6F 64 73 01 61 74 01 68 69 67 68 01 70 72 69 63 65 73 C8 66 6F 72 01 74 68 65 69 72 01 73 70 65 6E 64 69 6E 67 01 6D 6F 6E 65 79 2E C5 CC 49 01 6F 76 65 72 68 65 61 72 64 01 74 68 65 6D 2E C8 54 68 65 79 27 72 65 01 64 69 67 67 69 6E 67 01 66 6F 72 01 73 6F 6D 65 74 68 69 6E 67 C8 69 6E 01 74 68 65 01 6E 6F 72 74 68 65 72 6E 01 6D 69 6E 65 2E C5 CC 54 68 61 74 01 6D 6F 6E 73 74 65 72 C8 42 61 62 79 01 42 61 72 6F 6E 01 69 73 01 64 65 73 70 65 72 61 74 65 C8 74 6F 01 66 69 6E 64 01 73 6F 6D 65 74 68 69 6E 67 01 61 6E 63 69 65 6E 74 2E C5 CC 57 68 61 74 3F 01 48 6F 77 C8 64 6F 01 79 6F 75 01 67 6F 01 6E 6F 72 74 68 3F C5 CC 4F 6E 6C 79 01 74 68 72 6F 75 67 68 01 74 68 65 C8 75 6E 64 65 72 67 72 6F 75 6E 64 01 77 61 74 65 72 77 61 79 2E 2E 2E 01 62 75 74 C8 74 68 61 74 27 73 01 66 61 72 01 74 6F 6F 01 64 61 6E 67 65 72 6F 75 73 2E C5 CC 53 74 69 6C 6C 2C 01 6D 61 79 62 65 01 79 6F 75 C8 63 61 6E 01 64 6F 01 69 74 2E 01 2E 2E 2E 41 6C 6C 01 72 69 67 68 74 21 C0</x:v>
      </x:c>
      <x:c r="K687" s="23" t="str">
        <x:v>1CC 03B 01B 036 029 001 084 05E 084 05C 078 084 05B 06C 06F 084 023 032 028 1C8 019 084 021 015 011 015 01D 084 016 028 01F 031 025 001 019 019 084 022 1C8 032 028 03C 001 105 199 084 022 001 0A2 03E 023 03E 01F 028 084 022 01C 1C5 1CC 033 021 036 028 001 029 024 01B 03C 001 019 02F 02F 025 1C8 029 01A 03D 084 01F 03D 084 01B 03F 084 015 001 09C 028 001 10B 10C 084 022 1C8 093 015 03C 001 11C 03E 023 038 036 01B 011 024 1C5 1CC 09E 018 08B 084 05E 084 05C 078 084 05B 06C 06F 084 015 001 02A 03E 01B 084 022 1C8 096 09F 028 001 093 015 03C 001 01A 084 015 01B 023 038 1C8 023 015 001 011 03E 023 03E 01F 028 012 1C5 1CC 013 079 001 09C 025 001 08D 017 0B9 157 084 01B 03F 023 079 1C5 1CC 012 078 030 001 01E 039 029 001 0D5 0B8 0B2 0C7 03C 1C8 12E 038 01B 015 001 024 011 024 081 081 081 084 022 032 1C8 023 022 032 001 030 037 084 01B 03F 07A 081 081 081 081 1C5 1CC 081 081 081 01B 015 01B 001 010 03D 01F 024 036 1C8 032 01B 015 01B 022 001 019 013 036 039 038 015 032 01B 039 03D 1C8 081 081 081 081 081 081 035 01B 03E 07A 1C0</x:v>
      </x:c>
    </x:row>
    <x:row r="688">
      <x:c r="A688" s="22" t="str">
        <x:f>"02"</x:f>
        <x:v>02</x:v>
      </x:c>
      <x:c r="B688" s="22" t="str">
        <x:f>"AE"</x:f>
        <x:v>AE</x:v>
      </x:c>
      <x:c r="C688" s="22" t="str">
        <x:f>"0x02AE"</x:f>
        <x:v>0x02AE</x:v>
      </x:c>
      <x:c r="D688" s="21" t="str">
        <x:v>&lt;SPEAKER&gt;「これを さしあげよう!</x:v>
      </x:c>
      <x:c r="E688" s="19" t="str">
        <x:v>&lt;SPEAKER&gt;Take this!</x:v>
      </x:c>
      <x:c r="F688" s="20" t="str"/>
      <x:c r="G688" s="20" t="str"/>
      <x:c r="H688" s="23" t="str">
        <x:v>SPEAKER END</x:v>
      </x:c>
      <x:c r="I688" s="23" t="str">
        <x:v>EA:AA36</x:v>
      </x:c>
      <x:c r="J688" s="23" t="str">
        <x:v>CC 54 61 6B 65 01 74 68 69 73 21 C0</x:v>
      </x:c>
      <x:c r="K688" s="23" t="str">
        <x:v>1CC 019 039 03C 001 01A 01B 010 084 018 035 012 07A 1C0</x:v>
      </x:c>
    </x:row>
    <x:row r="689">
      <x:c r="A689" s="22" t="str">
        <x:f>"02"</x:f>
        <x:v>02</x:v>
      </x:c>
      <x:c r="B689" s="22" t="str">
        <x:f>"AF"</x:f>
        <x:v>AF</x:v>
      </x:c>
      <x:c r="C689" s="22" t="str">
        <x:f>"0x02AF"</x:f>
        <x:v>0x02AF</x:v>
      </x:c>
      <x:c r="D689" s="21" t="str">
        <x:v>&lt;SPEAKER&gt;「地下水道は きけんが いっぱいじゃ!
こううんを いのりますぞ!</x:v>
      </x:c>
      <x:c r="E689" s="19" t="str">
        <x:v>&lt;SPEAKER&gt;The underground waterway
is full of danger! Good luck!</x:v>
      </x:c>
      <x:c r="F689" s="20" t="str"/>
      <x:c r="G689" s="20" t="str"/>
      <x:c r="H689" s="23" t="str">
        <x:v>SPEAKER NEWLINE END</x:v>
      </x:c>
      <x:c r="I689" s="23" t="str">
        <x:v>EA:AA42</x:v>
      </x:c>
      <x:c r="J689" s="23" t="str">
        <x:v>CC 54 68 65 01 75 6E 64 65 72 67 72 6F 75 6E 64 01 77 61 74 65 72 77 61 79 C8 69 73 01 66 75 6C 6C 01 6F 66 01 64 61 6E 67 65 72 21 01 47 6F 6F 64 01 6C 75 63 6B 21 C0</x:v>
      </x:c>
      <x:c r="K689" s="23" t="str">
        <x:v>1CC 0D5 0B8 0B2 0C7 029 001 016 018 03D 084 015 001 011 03E 083 029 011 084 01B 03F 07A 1C8 019 012 012 03D 03C 001 011 028 037 02E 01C 084 01E 07A 1C0</x:v>
      </x:c>
    </x:row>
    <x:row r="690">
      <x:c r="A690" s="22" t="str">
        <x:f>"02"</x:f>
        <x:v>02</x:v>
      </x:c>
      <x:c r="B690" s="22" t="str">
        <x:f>"B0"</x:f>
        <x:v>B0</x:v>
      </x:c>
      <x:c r="C690" s="22" t="str">
        <x:f>"0x02B0"</x:f>
        <x:v>0x02B0</x:v>
      </x:c>
      <x:c r="D690" s="21" t="str">
        <x:v>&lt;SPEAKER&gt;「では にもつをへらして
また 来てくだされ まってますぞ!</x:v>
      </x:c>
      <x:c r="E690" s="19" t="str">
        <x:v>&lt;SPEAKER&gt;Make some room
in your baggage and come
back. I will be waiting!</x:v>
      </x:c>
      <x:c r="F690" s="20" t="str"/>
      <x:c r="G690" s="20" t="str"/>
      <x:c r="H690" s="23" t="str">
        <x:v>SPEAKER NEWLINE NEWLINE END</x:v>
      </x:c>
      <x:c r="I690" s="23" t="str">
        <x:v>EA:AA7A</x:v>
      </x:c>
      <x:c r="J690" s="23" t="str">
        <x:v>CC 4D 61 6B 65 01 73 6F 6D 65 01 72 6F 6F 6D C8 69 6E 01 79 6F 75 72 01 62 61 67 67 61 67 65 01 61 6E 64 01 63 6F 6D 65 C8 62 61 63 6B 2E 01 49 01 77 69 6C 6C 01 62 65 01 77 61 69 74 69 6E 67 21 C0</x:v>
      </x:c>
      <x:c r="K690" s="23" t="str">
        <x:v>1CC 084 022 029 001 025 032 021 03C 02C 036 01B 022 1C8 02E 01F 001 097 022 017 084 01F 01A 039 001 02E 03E 022 02E 01C 084 01E 07A 1C0</x:v>
      </x:c>
    </x:row>
    <x:row r="691">
      <x:c r="A691" s="22" t="str">
        <x:f>"02"</x:f>
        <x:v>02</x:v>
      </x:c>
      <x:c r="B691" s="22" t="str">
        <x:f>"B1"</x:f>
        <x:v>B1</x:v>
      </x:c>
      <x:c r="C691" s="22" t="str">
        <x:f>"0x02B1"</x:f>
        <x:v>0x02B1</x:v>
      </x:c>
      <x:c r="D691" s="21" t="str">
        <x:v>&lt;SPEAKER&gt;「あんたの おかげで
わしらも じゅうろうどうから
かいほうされましたわい&lt;WAIT&gt;&lt;SPEAKER&gt;「いまは のんびりと
くらして おりますよ</x:v>
      </x:c>
      <x:c r="E691" s="19" t="str">
        <x:v>&lt;SPEAKER&gt;Thanks to you, we have
been freed from forced labor.&lt;WAIT&gt;&lt;SPEAKER&gt;Now we can
finally live in peace.</x:v>
      </x:c>
      <x:c r="F691" s="20" t="str"/>
      <x:c r="G691" s="20" t="str"/>
      <x:c r="H691" s="23" t="str">
        <x:v>SPEAKER NEWLINE WAIT SPEAKER NEWLINE END</x:v>
      </x:c>
      <x:c r="I691" s="23" t="str">
        <x:v>EA:AABC</x:v>
      </x:c>
      <x:c r="J691" s="23" t="str">
        <x:v>CC 54 68 61 6E 6B 73 01 74 6F 01 79 6F 75 2C 01 77 65 01 68 61 76 65 C8 62 65 65 6E 01 66 72 65 65 64 01 66 72 6F 6D 01 66 6F 72 63 65 64 01 6C 61 62 6F 72 2E C5 CC 4E 6F 77 01 77 65 01 63 61 6E C8 66 69 6E 61 6C 6C 79 01 6C 69 76 65 01 69 6E 01 70 65 61 63 65 2E C0</x:v>
      </x:c>
      <x:c r="K691" s="23" t="str">
        <x:v>1CC 010 03D 01F 028 001 014 015 084 018 084 022 1C8 03B 01B 036 032 001 084 01B 040 012 03A 012 084 023 012 015 036 1C8 015 011 02D 012 01A 039 02E 01B 01F 03B 011 1C5 1CC 011 02E 029 001 028 03D 084 02A 037 023 1C8 017 036 01B 022 001 014 037 02E 01C 035 1C0</x:v>
      </x:c>
    </x:row>
    <x:row r="692">
      <x:c r="A692" s="22" t="str">
        <x:f>"02"</x:f>
        <x:v>02</x:v>
      </x:c>
      <x:c r="B692" s="22" t="str">
        <x:f>"B2"</x:f>
        <x:v>B2</x:v>
      </x:c>
      <x:c r="C692" s="22" t="str">
        <x:f>"0x02B2"</x:f>
        <x:v>0x02B2</x:v>
      </x:c>
      <x:c r="D692" s="21" t="str">
        <x:v>&lt;SPEAKER&gt;「うわっ! おどろいた!
人間じゃないかっ? えっ?
地下水道を ぬけるって?&lt;WAIT&gt;&lt;SPEAKER&gt;「どひゃー そんな むちゃな!</x:v>
      </x:c>
      <x:c r="E692" s="19" t="str">
        <x:v>&lt;SPEAKER&gt;Whoa! You startled me!
You are human? What? You want
to go through the waterway?&lt;WAIT&gt;&lt;SPEAKER&gt;Whoa! That is crazy!</x:v>
      </x:c>
      <x:c r="F692" s="20" t="str"/>
      <x:c r="G692" s="20" t="str"/>
      <x:c r="H692" s="23" t="str">
        <x:v>SPEAKER NEWLINE NEWLINE WAIT SPEAKER END</x:v>
      </x:c>
      <x:c r="I692" s="23" t="str">
        <x:v>EA:AB15</x:v>
      </x:c>
      <x:c r="J692" s="23" t="str">
        <x:v>CC 57 68 6F 61 21 01 59 6F 75 01 73 74 61 72 74 6C 65 64 01 6D 65 21 C8 59 6F 75 01 61 72 65 01 68 75 6D 61 6E 3F 01 57 68 61 74 3F 01 59 6F 75 01 77 61 6E 74 C8 74 6F 01 67 6F 01 74 68 72 6F 75 67 68 01 74 68 65 01 77 61 74 65 72 77 61 79 3F C5 CC 57 68 6F 61 21 01 54 68 61 74 01 69 73 01 63 72 61 7A 79 21 C0</x:v>
      </x:c>
      <x:c r="K692" s="23" t="str">
        <x:v>1CC 012 03B 03E 07A 001 014 084 023 03A 011 01F 07A 1C8 091 0E3 084 01B 03F 024 011 015 03E 079 001 013 03E 079 1C8 0D5 0B8 0B2 0C7 03C 001 026 018 038 03E 022 079 1C5 1CC 084 023 02A 03F 078 001 01E 03D 024 001 030 020 03F 024 07A 1C0</x:v>
      </x:c>
    </x:row>
    <x:row r="693">
      <x:c r="A693" s="22" t="str">
        <x:f>"02"</x:f>
        <x:v>02</x:v>
      </x:c>
      <x:c r="B693" s="22" t="str">
        <x:f>"B3"</x:f>
        <x:v>B3</x:v>
      </x:c>
      <x:c r="C693" s="22" t="str">
        <x:f>"0x02B3"</x:f>
        <x:v>0x02B3</x:v>
      </x:c>
      <x:c r="D693" s="21" t="str">
        <x:v>&lt;SPEAKER&gt;「この 地下水道は よごれた水を
きれいにするために いろんな
仕掛けが してあるんだ&lt;WAIT&gt;&lt;SPEAKER&gt;「だから なまみの 人間は
とても 通れないと 思うよ</x:v>
      </x:c>
      <x:c r="E693" s="19" t="str">
        <x:v>&lt;SPEAKER&gt;This waterway has
all kinds of mechanisms
that clean dirty water.&lt;WAIT&gt;&lt;SPEAKER&gt;So I doubt a
flesh-and-blood human
could ever get through it.</x:v>
      </x:c>
      <x:c r="F693" s="20" t="str"/>
      <x:c r="G693" s="20" t="str"/>
      <x:c r="H693" s="23" t="str">
        <x:v>SPEAKER NEWLINE NEWLINE WAIT SPEAKER NEWLINE NEWLINE END</x:v>
      </x:c>
      <x:c r="I693" s="23" t="str">
        <x:v>EA:AB7D</x:v>
      </x:c>
      <x:c r="J693" s="23" t="str">
        <x:v>CC 54 68 69 73 01 77 61 74 65 72 77 61 79 01 68 61 73 C8 61 6C 6C 01 6B 69 6E 64 73 01 6F 66 01 6D 65 63 68 61 6E 69 73 6D 73 C8 74 68 61 74 01 63 6C 65 61 6E 01 64 69 72 74 79 01 77 61 74 65 72 2E C5 CC 53 6F 01 49 01 64 6F 75 62 74 01 61 C8 66 6C 65 73 68 2D 61 6E 64 2D 62 6C 6F 6F 64 01 68 75 6D 61 6E C8 63 6F 75 6C 64 01 65 76 65 72 01 67 65 74 01 74 68 72 6F 75 67 68 01 69 74 2E C0</x:v>
      </x:c>
      <x:c r="K693" s="23" t="str">
        <x:v>1CC 019 028 001 0D5 0B8 0B2 0C7 029 001 035 084 019 039 01F 0B2 03C 1C8 016 039 011 025 01C 038 01F 031 025 001 011 03A 03D 024 1C8 18F 195 018 084 015 001 01B 022 010 038 03D 084 01F 1C5 1CC 084 01F 015 036 001 024 02E 02F 028 001 091 0E3 029 1C8 023 022 032 001 12E 039 024 011 023 001 10F 012 035 1C0</x:v>
      </x:c>
    </x:row>
    <x:row r="694">
      <x:c r="A694" s="22" t="str">
        <x:f>"02"</x:f>
        <x:v>02</x:v>
      </x:c>
      <x:c r="B694" s="22" t="str">
        <x:f>"B4"</x:f>
        <x:v>B4</x:v>
      </x:c>
      <x:c r="C694" s="22" t="str">
        <x:f>"0x02B4"</x:f>
        <x:v>0x02B4</x:v>
      </x:c>
      <x:c r="D694" s="21" t="str">
        <x:v>&lt;CLEAR&gt;
すきとおった水が たまっている</x:v>
      </x:c>
      <x:c r="E694" s="19" t="str">
        <x:v>&lt;CLEAR&gt;Clear water has pooled here.</x:v>
      </x:c>
      <x:c r="F694" s="20" t="str"/>
      <x:c r="G694" s="20" t="str"/>
      <x:c r="H694" s="23" t="str">
        <x:v>CLEAR END</x:v>
      </x:c>
      <x:c r="I694" s="23" t="str">
        <x:v>EA:ABFF</x:v>
      </x:c>
      <x:c r="J694" s="23" t="str">
        <x:v>D0 43 6C 65 61 72 01 77 61 74 65 72 01 68 61 73 01 70 6F 6F 6C 65 64 01 68 65 72 65 2E C0</x:v>
      </x:c>
      <x:c r="K694" s="23" t="str">
        <x:v>1D0 01C 016 023 014 03E 01F 0B2 084 015 001 01F 02E 03E 022 011 038 1C0</x:v>
      </x:c>
    </x:row>
    <x:row r="695">
      <x:c r="A695" s="22" t="str">
        <x:f>"02"</x:f>
        <x:v>02</x:v>
      </x:c>
      <x:c r="B695" s="22" t="str">
        <x:f>"B5"</x:f>
        <x:v>B5</x:v>
      </x:c>
      <x:c r="C695" s="22" t="str">
        <x:f>"0x02B5"</x:f>
        <x:v>0x02B5</x:v>
      </x:c>
      <x:c r="D695" s="21" t="str">
        <x:v>&lt;CLEAR&gt;
そうさパネルが あります
スイッチを おしてみますか?</x:v>
      </x:c>
      <x:c r="E695" s="19" t="str">
        <x:v>&lt;CLEAR&gt;There is a control
panel. Press the switch?</x:v>
      </x:c>
      <x:c r="F695" s="20" t="str"/>
      <x:c r="G695" s="20" t="str"/>
      <x:c r="H695" s="23" t="str">
        <x:v>CLEAR NEWLINE END</x:v>
      </x:c>
      <x:c r="I695" s="23" t="str">
        <x:v>EA:AC1D</x:v>
      </x:c>
      <x:c r="J695" s="23" t="str">
        <x:v>D0 54 68 65 72 65 01 69 73 01 61 01 63 6F 6E 74 72 6F 6C C8 70 61 6E 65 6C 2E 01 50 72 65 73 73 01 74 68 65 01 73 77 69 74 63 68 3F C0</x:v>
      </x:c>
      <x:c r="K695" s="23" t="str">
        <x:v>1D0 01E 012 01A 083 05B 059 06A 084 015 001 010 037 02E 01C 1C8 04E 043 070 052 03C 001 014 01B 022 02F 02E 01C 015 079 1C0</x:v>
      </x:c>
    </x:row>
    <x:row r="696">
      <x:c r="A696" s="22" t="str">
        <x:f>"02"</x:f>
        <x:v>02</x:v>
      </x:c>
      <x:c r="B696" s="22" t="str">
        <x:f>"B6"</x:f>
        <x:v>B6</x:v>
      </x:c>
      <x:c r="C696" s="22" t="str">
        <x:f>"0x02B6"</x:f>
        <x:v>0x02B6</x:v>
      </x:c>
      <x:c r="D696" s="21" t="str">
        <x:v>&lt;CLEAR&gt;
「水道管 せつぞく かくにん
水を くみあげます</x:v>
      </x:c>
      <x:c r="E696" s="19" t="str">
        <x:v>&lt;CLEAR&gt;"WATER PIPE CONNECTION
CONFIRMED. PUMPING WATER."&lt;LINE&gt;</x:v>
      </x:c>
      <x:c r="F696" s="20" t="str"/>
      <x:c r="G696" s="20" t="str"/>
      <x:c r="H696" s="23" t="str">
        <x:v>CLEAR NEWLINE LINE END</x:v>
      </x:c>
      <x:c r="I696" s="23" t="str">
        <x:v>EA:AC4A</x:v>
      </x:c>
      <x:c r="J696" s="23" t="str">
        <x:v>D0 22 57 41 54 45 52 01 50 49 50 45 01 43 4F 4E 4E 45 43 54 49 4F 4E C8 43 4F 4E 46 49 52 4D 45 44 2E 01 50 55 4D 50 49 4E 47 01 57 41 54 45 52 2E 22 C3 C0</x:v>
      </x:c>
      <x:c r="K696" s="23" t="str">
        <x:v>1D0 07D 0B2 0C7 143 001 01D 021 084 01E 017 001 015 017 025 03D 1C8 0B2 03C 001 017 02F 010 084 018 02E 01C 1C3 1C0</x:v>
      </x:c>
    </x:row>
    <x:row r="697">
      <x:c r="A697" s="22" t="str">
        <x:f>"02"</x:f>
        <x:v>02</x:v>
      </x:c>
      <x:c r="B697" s="22" t="str">
        <x:f>"B7"</x:f>
        <x:v>B7</x:v>
      </x:c>
      <x:c r="C697" s="22" t="str">
        <x:f>"0x02B7"</x:f>
        <x:v>0x02B7</x:v>
      </x:c>
      <x:c r="D697" s="21" t="str">
        <x:v>&lt;CLEAR&gt;
「水道管が ただしく
つながって いないので
水を くみあげられません</x:v>
      </x:c>
      <x:c r="E697" s="19" t="str">
        <x:v>&lt;CLEAR&gt;"WATER CANNOT BE
PUMPED. PIPES ARE NOT
CONNECTED CORRECTLY."</x:v>
      </x:c>
      <x:c r="F697" s="20" t="str"/>
      <x:c r="G697" s="20" t="str"/>
      <x:c r="H697" s="23" t="str">
        <x:v>CLEAR NEWLINE NEWLINE END</x:v>
      </x:c>
      <x:c r="I697" s="23" t="str">
        <x:v>EA:AC7E</x:v>
      </x:c>
      <x:c r="J697" s="23" t="str">
        <x:v>D0 22 57 41 54 45 52 01 43 41 4E 4E 4F 54 01 42 45 C8 50 55 4D 50 45 44 2E 01 50 49 50 45 53 01 41 52 45 01 4E 4F 54 C8 43 4F 4E 4E 45 43 54 45 44 01 43 4F 52 52 45 43 54 4C 59 2E 22 C0</x:v>
      </x:c>
      <x:c r="K697" s="23" t="str">
        <x:v>1D0 07D 0B2 0C7 143 084 015 001 01F 084 01F 01B 017 1C8 021 024 084 015 03E 022 001 011 024 011 028 084 022 1C8 0B2 03C 001 017 02F 010 084 018 036 039 02E 01D 03D 1C0</x:v>
      </x:c>
    </x:row>
    <x:row r="698">
      <x:c r="A698" s="22" t="str">
        <x:f>"02"</x:f>
        <x:v>02</x:v>
      </x:c>
      <x:c r="B698" s="22" t="str">
        <x:f>"B8"</x:f>
        <x:v>B8</x:v>
      </x:c>
      <x:c r="C698" s="22" t="str">
        <x:f>"0x02B8"</x:f>
        <x:v>0x02B8</x:v>
      </x:c>
      <x:c r="D698" s="21" t="str">
        <x:v>&lt;CLEAR&gt;
そうさパネルの スイッチは
動かなく なってしまった</x:v>
      </x:c>
      <x:c r="E698" s="19" t="str">
        <x:v>&lt;CLEAR&gt;The control-panel switch
will no longer move.</x:v>
      </x:c>
      <x:c r="F698" s="20" t="str"/>
      <x:c r="G698" s="20" t="str"/>
      <x:c r="H698" s="23" t="str">
        <x:v>CLEAR NEWLINE END</x:v>
      </x:c>
      <x:c r="I698" s="23" t="str">
        <x:v>EA:ACBC</x:v>
      </x:c>
      <x:c r="J698" s="23" t="str">
        <x:v>D0 54 68 65 01 63 6F 6E 74 72 6F 6C 2D 70 61 6E 65 6C 01 73 77 69 74 63 68 C8 77 69 6C 6C 01 6E 6F 01 6C 6F 6E 67 65 72 01 6D 6F 76 65 2E C0</x:v>
      </x:c>
      <x:c r="K698" s="23" t="str">
        <x:v>1D0 01E 012 01A 083 05B 059 06A 028 001 04E 043 070 052 029 1C8 0B1 015 024 017 001 024 03E 022 01B 02E 03E 01F 1C0</x:v>
      </x:c>
    </x:row>
    <x:row r="699">
      <x:c r="A699" s="22" t="str">
        <x:f>"02"</x:f>
        <x:v>02</x:v>
      </x:c>
      <x:c r="B699" s="22" t="str">
        <x:f>"B9"</x:f>
        <x:v>B9</x:v>
      </x:c>
      <x:c r="C699" s="22" t="str">
        <x:f>"0x02B9"</x:f>
        <x:v>0x02B9</x:v>
      </x:c>
      <x:c r="D699" s="21" t="str">
        <x:v>&lt;SPEAKER&gt;「へへへ ほら 力持ちだろう?
水の中では こんな おもい物でも
持てちゃうよ&lt;WAIT&gt;&lt;SPEAKER&gt;「でも ここでは 空気がないから
体力が へっていくんだ&lt;WAIT&gt;&lt;SPEAKER&gt;「だから ところどころで かべから
空気が もれているから それを
すうことだな</x:v>
      </x:c>
      <x:c r="E699" s="19" t="str">
        <x:v>&lt;SPEAKER&gt;Heh heh! Strong,
aren't I? Underwater, even
heavy things are easy to lift.&lt;WAIT&gt;&lt;SPEAKER&gt;But there's no air here,
so your health keeps falling.&lt;WAIT&gt;&lt;SPEAKER&gt;Air leaks from
some walls. Breathe
it when you find it.</x:v>
      </x:c>
      <x:c r="F699" s="20" t="str"/>
      <x:c r="G699" s="20" t="str"/>
      <x:c r="H699" s="23" t="str">
        <x:v>SPEAKER NEWLINE NEWLINE WAIT SPEAKER NEWLINE WAIT SPEAKER NEWLINE NEWLINE END</x:v>
      </x:c>
      <x:c r="I699" s="23" t="str">
        <x:v>EA:ACEB</x:v>
      </x:c>
      <x:c r="J699" s="23" t="str">
        <x:v>CC 48 65 68 01 68 65 68 21 01 53 74 72 6F 6E 67 2C C8 61 72 65 6E 27 74 01 49 3F 01 55 6E 64 65 72 77 61 74 65 72 2C 01 65 76 65 6E C8 68 65 61 76 79 01 74 68 69 6E 67 73 01 61 72 65 01 65 61 73 79 01 74 6F 01 6C 69 66 74 2E C5 CC 42 75 74 01 74 68 65 72 65 27 73 01 6E 6F 01 61 69 72 01 68 65 72 65 2C C8 73 6F 01 79 6F 75 72 01 68 65 61 6C 74 68 01 6B 65 65 70 73 01 66 61 6C 6C 69 6E 67 2E C5 CC 41 69 72 01 6C 65 61 6B 73 01 66 72 6F 6D C8 73 6F 6D 65 01 77 61 6C 6C 73 2E 01 42 72 65 61 74 68 65 C8 69 74 01 77 68 65 6E 01 79 6F 75 01 66 69 6E 64 01 69 74 2E C0</x:v>
      </x:c>
      <x:c r="K699" s="23" t="str">
        <x:v>1CC 02C 02C 02C 001 02D 036 001 107 0D3 020 084 01F 03A 012 079 1C8 0B2 028 0A1 084 022 029 001 019 03D 024 001 014 032 011 08B 084 022 032 1C8 0D3 022 020 03F 012 035 1C5 1CC 084 022 032 001 019 019 084 022 029 001 156 099 084 015 024 011 015 036 1C8 0F0 107 084 015 001 02C 03E 022 011 017 03D 084 01F 1C5 1CC 084 01F 015 036 001 023 019 03A 084 023 019 03A 084 022 001 015 084 02C 015 036 1C8 156 099 084 015 001 032 039 022 011 038 015 036 001 01E 039 03C 1C8 01C 012 019 023 084 01F 024 1C0</x:v>
      </x:c>
    </x:row>
    <x:row r="700">
      <x:c r="A700" s="22" t="str">
        <x:f>"02"</x:f>
        <x:v>02</x:v>
      </x:c>
      <x:c r="B700" s="22" t="str">
        <x:f>"BA"</x:f>
        <x:v>BA</x:v>
      </x:c>
      <x:c r="C700" s="22" t="str">
        <x:f>"0x02BA"</x:f>
        <x:v>0x02BA</x:v>
      </x:c>
      <x:c r="D700" s="21" t="str">
        <x:v>&lt;SPEAKER&gt;「ごくらく ごくらくだぜ
ごくらくとは この町の
ことを いうんだなっ</x:v>
      </x:c>
      <x:c r="E700" s="19" t="str">
        <x:v>&lt;SPEAKER&gt;Paradise! This
place is paradise! Now this
is what I call paradise.</x:v>
      </x:c>
      <x:c r="F700" s="20" t="str"/>
      <x:c r="G700" s="20" t="str"/>
      <x:c r="H700" s="23" t="str">
        <x:v>SPEAKER NEWLINE NEWLINE END</x:v>
      </x:c>
      <x:c r="I700" s="23" t="str">
        <x:v>EA:ADA8</x:v>
      </x:c>
      <x:c r="J700" s="23" t="str">
        <x:v>CC 50 61 72 61 64 69 73 65 21 01 54 68 69 73 C8 70 6C 61 63 65 01 69 73 01 70 61 72 61 64 69 73 65 21 01 4E 6F 77 01 74 68 69 73 C8 69 73 01 77 68 61 74 01 49 01 63 61 6C 6C 01 70 61 72 61 64 69 73 65 2E C0</x:v>
      </x:c>
      <x:c r="K700" s="23" t="str">
        <x:v>1CC 084 019 017 036 017 001 084 019 017 036 017 084 01F 084 01D 1C8 084 019 017 036 017 023 029 001 019 028 0C9 028 1C8 019 023 03C 001 011 012 03D 084 01F 024 03E 1C0</x:v>
      </x:c>
    </x:row>
    <x:row r="701">
      <x:c r="A701" s="22" t="str">
        <x:f>"02"</x:f>
        <x:v>02</x:v>
      </x:c>
      <x:c r="B701" s="22" t="str">
        <x:f>"BB"</x:f>
        <x:v>BB</x:v>
      </x:c>
      <x:c r="C701" s="22" t="str">
        <x:f>"0x02BB"</x:f>
        <x:v>0x02BB</x:v>
      </x:c>
      <x:c r="D701" s="21" t="str">
        <x:v>&lt;SPEAKER&gt;「おれたちゃ ふだつきの
はんざいしゃさ!&lt;WAIT&gt;&lt;SPEAKER&gt;「だけど ここは ムショと
ちがって たいぐうも いいし
一生 ここに いても いいぜ!</x:v>
      </x:c>
      <x:c r="E701" s="19" t="str">
        <x:v>&lt;SPEAKER&gt;We are
hardened criminals!&lt;WAIT&gt;&lt;SPEAKER&gt;But unlike prison,
they treat us well here.
I could stay for life!</x:v>
      </x:c>
      <x:c r="F701" s="20" t="str"/>
      <x:c r="G701" s="20" t="str"/>
      <x:c r="H701" s="23" t="str">
        <x:v>SPEAKER NEWLINE WAIT SPEAKER NEWLINE NEWLINE END</x:v>
      </x:c>
      <x:c r="I701" s="23" t="str">
        <x:v>EA:ADED</x:v>
      </x:c>
      <x:c r="J701" s="23" t="str">
        <x:v>CC 57 65 01 61 72 65 C8 68 61 72 64 65 6E 65 64 01 63 72 69 6D 69 6E 61 6C 73 21 C5 CC 42 75 74 01 75 6E 6C 69 6B 65 01 70 72 69 73 6F 6E 2C C8 74 68 65 79 01 74 72 65 61 74 01 75 73 01 77 65 6C 6C 01 68 65 72 65 2E C8 49 01 63 6F 75 6C 64 01 73 74 61 79 01 66 6F 72 01 6C 69 66 65 21 C0</x:v>
      </x:c>
      <x:c r="K701" s="23" t="str">
        <x:v>1CC 014 039 01F 020 03F 001 02B 084 01F 021 016 028 1C8 029 03D 084 01A 011 01B 03F 01A 07A 1C5 1CC 084 01F 018 084 023 001 019 019 029 001 062 04D 073 023 1C8 020 084 015 03E 022 001 01F 011 084 017 012 032 001 011 011 01B 1C8 0AF 09B 001 019 019 025 001 011 022 032 001 011 011 084 01D 07A 1C0</x:v>
      </x:c>
    </x:row>
    <x:row r="702">
      <x:c r="A702" s="22" t="str">
        <x:f>"02"</x:f>
        <x:v>02</x:v>
      </x:c>
      <x:c r="B702" s="22" t="str">
        <x:f>"BC"</x:f>
        <x:v>BC</x:v>
      </x:c>
      <x:c r="C702" s="22" t="str">
        <x:f>"0x02BC"</x:f>
        <x:v>0x02BC</x:v>
      </x:c>
      <x:c r="D702" s="21" t="str">
        <x:v>&lt;SPEAKER&gt;「おれたちゃ この島から ずっと
ずっと はなれた ところの
ろうやから つれてこられたんだ&lt;WAIT&gt;&lt;SPEAKER&gt;「いきなり ベビーバロンどもに
さらわれた日にゃあ そら あんた&lt;WAIT&gt;&lt;SPEAKER&gt;「いくら ごく悪人の おれでもよ
いっしゅん かあちゃんの かおが
うかぶほど びびりまくったぜ</x:v>
      </x:c>
      <x:c r="E702" s="19" t="str">
        <x:v>&lt;SPEAKER&gt;They brought us here
from a prison far, far away.&lt;WAIT&gt;&lt;SPEAKER&gt;Those Baby Barons
suddenly kidnapped us. Man...&lt;WAIT&gt;&lt;SPEAKER&gt;Even a crook like me
got so scared I saw my mother's
face flash before my eyes.</x:v>
      </x:c>
      <x:c r="F702" s="20" t="str"/>
      <x:c r="G702" s="20" t="str"/>
      <x:c r="H702" s="23" t="str">
        <x:v>SPEAKER NEWLINE WAIT SPEAKER NEWLINE WAIT SPEAKER NEWLINE NEWLINE END</x:v>
      </x:c>
      <x:c r="I702" s="23" t="str">
        <x:v>EA:AE4D</x:v>
      </x:c>
      <x:c r="J702" s="23" t="str">
        <x:v>CC 54 68 65 79 01 62 72 6F 75 67 68 74 01 75 73 01 68 65 72 65 C8 66 72 6F 6D 01 61 01 70 72 69 73 6F 6E 01 66 61 72 2C 01 66 61 72 01 61 77 61 79 2E C5 CC 54 68 6F 73 65 01 42 61 62 79 01 42 61 72 6F 6E 73 C8 73 75 64 64 65 6E 6C 79 01 6B 69 64 6E 61 70 70 65 64 01 75 73 2E 01 4D 61 6E 2E 2E 2E C5 CC 45 76 65 6E 01 61 01 63 72 6F 6F 6B 01 6C 69 6B 65 01 6D 65 C8 67 6F 74 01 73 6F 01 73 63 61 72 65 64 01 49 01 73 61 77 01 6D 79 01 6D 6F 74 68 65 72 27 73 C8 66 61 63 65 01 66 6C 61 73 68 01 62 65 66 6F 72 65 01 6D 79 01 65 79 65 73 2E C0</x:v>
      </x:c>
      <x:c r="K702" s="23" t="str">
        <x:v>1CC 014 039 01F 020 03F 001 019 028 08A 015 036 001 084 01C 03E 023 1C8 084 01C 03E 023 001 029 024 039 01F 001 023 019 03A 028 1C8 03A 012 033 015 036 001 021 039 022 019 036 039 01F 03D 084 01F 1C5 1CC 011 016 024 037 001 084 05E 084 05C 078 084 05B 06C 06F 084 023 032 025 1C8 01A 036 03B 039 01F 120 025 03F 010 001 01E 036 001 010 03D 01F 1C5 1CC 011 017 036 001 084 019 017 0B5 091 028 001 014 039 084 022 032 035 1C8 011 03E 01B 040 03D 001 015 010 020 03F 03D 028 001 015 014 084 015 1C8 012 015 084 02B 02D 084 023 001 084 02A 084 02A 037 02E 017 03E 01F 084 01D 1C0</x:v>
      </x:c>
    </x:row>
    <x:row r="703">
      <x:c r="A703" s="22" t="str">
        <x:f>"02"</x:f>
        <x:v>02</x:v>
      </x:c>
      <x:c r="B703" s="22" t="str">
        <x:f>"BD"</x:f>
        <x:v>BD</x:v>
      </x:c>
      <x:c r="C703" s="22" t="str">
        <x:f>"0x02BD"</x:f>
        <x:v>0x02BD</x:v>
      </x:c>
      <x:c r="D703" s="21" t="str">
        <x:v>&lt;SPEAKER&gt;「あんた しんいりかい?&lt;WAIT&gt;&lt;SPEAKER&gt;「しんいりは まず この町を
しきってる ヘブリじいさんに
あいさつしないと だめだぞ!</x:v>
      </x:c>
      <x:c r="E703" s="19" t="str">
        <x:v>&lt;SPEAKER&gt;You new here?&lt;WAIT&gt;&lt;SPEAKER&gt;Newcomers have
to greet old Hebri, the
man who runs this town.</x:v>
      </x:c>
      <x:c r="F703" s="20" t="str"/>
      <x:c r="G703" s="20" t="str"/>
      <x:c r="H703" s="23" t="str">
        <x:v>SPEAKER WAIT SPEAKER NEWLINE NEWLINE END</x:v>
      </x:c>
      <x:c r="I703" s="23" t="str">
        <x:v>EA:AF02</x:v>
      </x:c>
      <x:c r="J703" s="23" t="str">
        <x:v>CC 59 6F 75 01 6E 65 77 01 68 65 72 65 3F C5 CC 4E 65 77 63 6F 6D 65 72 73 01 68 61 76 65 C8 74 6F 01 67 72 65 65 74 01 6F 6C 64 01 48 65 62 72 69 2C 01 74 68 65 C8 6D 61 6E 01 77 68 6F 01 72 75 6E 73 01 74 68 69 73 01 74 6F 77 6E 2E C0</x:v>
      </x:c>
      <x:c r="K703" s="23" t="str">
        <x:v>1CC 010 03D 01F 001 01B 03D 011 037 015 011 079 1C5 1CC 01B 03D 011 037 029 001 02E 084 01C 001 019 028 0C9 03C 1C8 01B 016 03E 022 038 001 05E 084 05D 069 084 01B 011 01A 03D 025 1C8 010 011 01A 021 01B 024 011 023 001 084 01F 031 084 01F 084 01E 07A 1C0</x:v>
      </x:c>
    </x:row>
    <x:row r="704">
      <x:c r="A704" s="22" t="str">
        <x:f>"02"</x:f>
        <x:v>02</x:v>
      </x:c>
      <x:c r="B704" s="22" t="str">
        <x:f>"BE"</x:f>
        <x:v>BE</x:v>
      </x:c>
      <x:c r="C704" s="22" t="str">
        <x:f>"0x02BE"</x:f>
        <x:v>0x02BE</x:v>
      </x:c>
      <x:c r="D704" s="21" t="str">
        <x:v>&lt;SPEAKER&gt;「おう! しんいりかい? ういー
ここは はんざいしゃに とっちゃ
てんごく みたいな ところよー&lt;WAIT&gt;&lt;SPEAKER&gt;「さけは たんまり あるしよー
ばくちも ばっちりだしな
まあ しいていえばだな ういー&lt;WAIT&gt;&lt;SPEAKER&gt;「バニーちゃんが いねえこと
ぐらいだなー うーっぷいー!&lt;WAIT&gt;&lt;SPEAKER&gt;「どーだい? ねーちゃんよー
バニーちゃんに なるかい?
人気でるぜえ! あんたなら!</x:v>
      </x:c>
      <x:c r="E704" s="19" t="str">
        <x:v>&lt;SPEAKER&gt;Hey! New here? Hic! For
a criminal, this place is heaven!&lt;WAIT&gt;&lt;SPEAKER&gt;Plenty of booze, and
all the gambling you could
want. If anything is missing...&lt;WAIT&gt;&lt;SPEAKER&gt;It is bunny girls! Hic!&lt;WAIT&gt;&lt;SPEAKER&gt;How about it, babe?
Want to be our bunny
girl? You would be a hit!</x:v>
      </x:c>
      <x:c r="F704" s="20" t="str"/>
      <x:c r="G704" s="20" t="str"/>
      <x:c r="H704" s="23" t="str">
        <x:v>SPEAKER NEWLINE WAIT SPEAKER NEWLINE NEWLINE WAIT SPEAKER WAIT SPEAKER NEWLINE NEWLINE END</x:v>
      </x:c>
      <x:c r="I704" s="23" t="str">
        <x:v>EA:AF51</x:v>
      </x:c>
      <x:c r="J704" s="23" t="str">
        <x:v>CC 48 65 79 21 01 4E 65 77 01 68 65 72 65 3F 01 48 69 63 21 01 46 6F 72 C8 61 01 63 72 69 6D 69 6E 61 6C 2C 01 74 68 69 73 01 70 6C 61 63 65 01 69 73 01 68 65 61 76 65 6E 21 C5 CC 50 6C 65 6E 74 79 01 6F 66 01 62 6F 6F 7A 65 2C 01 61 6E 64 C8 61 6C 6C 01 74 68 65 01 67 61 6D 62 6C 69 6E 67 01 79 6F 75 01 63 6F 75 6C 64 C8 77 61 6E 74 2E 01 49 66 01 61 6E 79 74 68 69 6E 67 01 69 73 01 6D 69 73 73 69 6E 67 2E 2E 2E C5 CC 49 74 01 69 73 01 62 75 6E 6E 79 01 67 69 72 6C 73 21 01 48 69 63 21 C5 CC 48 6F 77 01 61 62 6F 75 74 01 69 74 2C 01 62 61 62 65 3F C8 57 61 6E 74 01 74 6F 01 62 65 01 6F 75 72 01 62 75 6E 6E 79 C8 67 69 72 6C 3F 01 59 6F 75 01 77 6F 75 6C 64 01 62 65 01 61 01 68 69 74 21 C0</x:v>
      </x:c>
      <x:c r="K704" s="23" t="str">
        <x:v>1CC 014 012 07A 001 01B 03D 011 037 015 011 079 001 012 011 078 1C8 019 019 029 001 029 03D 084 01A 011 01B 03F 025 001 023 03E 020 03F 1C8 022 03D 084 019 017 001 02F 01F 011 024 001 023 019 03A 035 078 1C5 1CC 01A 018 029 001 01F 03D 02E 037 001 010 038 01B 035 078 1C8 084 029 017 020 032 001 084 029 03E 020 037 084 01F 01B 024 1C8 02E 010 001 01B 011 022 011 013 084 029 084 01F 024 001 012 011 078 1C5 1CC 084 05B 057 078 020 03F 03D 084 015 001 011 027 013 019 023 1C8 084 017 036 011 084 01F 024 078 001 012 078 03E 083 02B 011 078 07A 1C5 1CC 084 023 078 084 01F 011 079 001 027 078 020 03F 03D 035 078 1C8 084 05B 057 078 020 03F 03D 025 001 024 038 015 011 079 1C8 091 099 084 022 038 084 01D 013 07A 001 010 03D 01F 024 036 07A 1C0</x:v>
      </x:c>
    </x:row>
    <x:row r="705">
      <x:c r="A705" s="22" t="str">
        <x:f>"02"</x:f>
        <x:v>02</x:v>
      </x:c>
      <x:c r="B705" s="22" t="str">
        <x:f>"BF"</x:f>
        <x:v>BF</x:v>
      </x:c>
      <x:c r="C705" s="22" t="str">
        <x:f>"0x02BF"</x:f>
        <x:v>0x02BF</x:v>
      </x:c>
      <x:c r="D705" s="21" t="str">
        <x:v>&lt;SPEAKER&gt;「いいか しんいり よく聞けよ!&lt;WAIT&gt;&lt;SPEAKER&gt;「おまえが 何をしたかは
しらねえが ここへ来たってことは
どっかの ろうやに いたわけだ&lt;WAIT&gt;&lt;SPEAKER&gt;「それを たすけてくれたのは
ジェイビーさまだ! だから
くれぐれも わすれんようにな&lt;WAIT&gt;&lt;SPEAKER&gt;「ジェイビーさま あっての
おれたちだって ことをなっ!&lt;WAIT&gt;&lt;SPEAKER&gt;「ジェイビーさま ばんざーい!</x:v>
      </x:c>
      <x:c r="E705" s="19" t="str">
        <x:v>&lt;SPEAKER&gt;Listen up, rookie!&lt;WAIT&gt;&lt;SPEAKER&gt;I don't know what you
did, but if you're here, you
were in some prison somewhere.&lt;WAIT&gt;&lt;SPEAKER&gt;Lord J.B. rescued
you. Never forget that.&lt;WAIT&gt;&lt;SPEAKER&gt;We owe
everything to Lord J.B.!&lt;WAIT&gt;&lt;SPEAKER&gt;Long live Lord J.B.!</x:v>
      </x:c>
      <x:c r="F705" s="20" t="str"/>
      <x:c r="G705" s="20" t="str"/>
      <x:c r="H705" s="23" t="str">
        <x:v>SPEAKER WAIT SPEAKER NEWLINE NEWLINE WAIT SPEAKER NEWLINE WAIT SPEAKER NEWLINE WAIT SPEAKER END</x:v>
      </x:c>
      <x:c r="I705" s="23" t="str">
        <x:v>EA:B03A</x:v>
      </x:c>
      <x:c r="J705" s="23" t="str">
        <x:v>CC 4C 69 73 74 65 6E 01 75 70 2C 01 72 6F 6F 6B 69 65 21 C5 CC 49 01 64 6F 6E 27 74 01 6B 6E 6F 77 01 77 68 61 74 01 79 6F 75 C8 64 69 64 2C 01 62 75 74 01 69 66 01 79 6F 75 27 72 65 01 68 65 72 65 2C 01 79 6F 75 C8 77 65 72 65 01 69 6E 01 73 6F 6D 65 01 70 72 69 73 6F 6E 01 73 6F 6D 65 77 68 65 72 65 2E C5 CC 4C 6F 72 64 01 4A 2E 42 2E 01 72 65 73 63 75 65 64 C8 79 6F 75 2E 01 4E 65 76 65 72 01 66 6F 72 67 65 74 01 74 68 61 74 2E C5 CC 57 65 01 6F 77 65 C8 65 76 65 72 79 74 68 69 6E 67 01 74 6F 01 4C 6F 72 64 01 4A 2E 42 2E 21 C5 CC 4C 6F 6E 67 01 6C 69 76 65 01 4C 6F 72 64 01 4A 2E 42 2E 21 C0</x:v>
      </x:c>
      <x:c r="K705" s="23" t="str">
        <x:v>1CC 011 011 015 001 01B 03D 011 037 001 035 017 0A6 018 035 07A 1C5 1CC 014 02E 013 084 015 001 093 03C 01B 01F 015 029 1C8 01B 036 027 013 084 015 001 019 019 02C 097 01F 03E 022 019 023 029 1C8 084 023 03E 015 028 001 03A 012 033 025 001 011 01F 03B 018 084 01F 1C5 1CC 01E 039 03C 001 01F 01C 018 022 017 039 01F 028 029 1C8 084 04D 076 043 084 05C 078 01A 02E 084 01F 07A 001 084 01F 015 036 1C8 017 039 084 017 039 032 001 03B 01C 039 03D 035 012 025 024 1C5 1CC 084 04D 076 043 084 05C 078 01A 02E 001 010 03E 022 028 1C8 014 039 01F 020 084 01F 03E 022 001 019 023 03C 024 03E 07A 1C5 1CC 084 04D 076 043 084 05C 078 01A 02E 001 084 029 03D 084 01A 078 011 07A 1C0</x:v>
      </x:c>
    </x:row>
    <x:row r="706">
      <x:c r="A706" s="22" t="str">
        <x:f>"02"</x:f>
        <x:v>02</x:v>
      </x:c>
      <x:c r="B706" s="22" t="str">
        <x:f>"C0"</x:f>
        <x:v>C0</x:v>
      </x:c>
      <x:c r="C706" s="22" t="str">
        <x:f>"0x02C0"</x:f>
        <x:v>0x02C0</x:v>
      </x:c>
      <x:c r="D706" s="21" t="str">
        <x:v>&lt;SPEAKER&gt;「いやー もう こしが
いたくて たまらないよ&lt;WAIT&gt;&lt;SPEAKER&gt;「なんたって あさから
ばんまで ぶっとおしで
発掘さぎょう だからな&lt;WAIT&gt;&lt;SPEAKER&gt;「でも ジェイビーさまは
いったい 何を ひっしで
さがしてるのかなあ?</x:v>
      </x:c>
      <x:c r="E706" s="19" t="str">
        <x:v>&lt;SPEAKER&gt;Ahh, my
back is killing me.&lt;WAIT&gt;&lt;SPEAKER&gt;We excavate nonstop from
morning until night, after all.&lt;WAIT&gt;&lt;SPEAKER&gt;What is Lord J.B. so
desperate to find, anyway?</x:v>
      </x:c>
      <x:c r="F706" s="20" t="str"/>
      <x:c r="G706" s="20" t="str"/>
      <x:c r="H706" s="23" t="str">
        <x:v>SPEAKER NEWLINE WAIT SPEAKER NEWLINE WAIT SPEAKER NEWLINE END</x:v>
      </x:c>
      <x:c r="I706" s="23" t="str">
        <x:v>EA:B103</x:v>
      </x:c>
      <x:c r="J706" s="23" t="str">
        <x:v>CC 41 68 68 2C 01 6D 79 C8 62 61 63 6B 01 69 73 01 6B 69 6C 6C 69 6E 67 01 6D 65 2E C5 CC 57 65 01 65 78 63 61 76 61 74 65 01 6E 6F 6E 73 74 6F 70 01 66 72 6F 6D C8 6D 6F 72 6E 69 6E 67 01 75 6E 74 69 6C 01 6E 69 67 68 74 2C 01 61 66 74 65 72 01 61 6C 6C 2E C5 CC 57 68 61 74 01 69 73 01 4C 6F 72 64 01 4A 2E 42 2E 01 73 6F C8 64 65 73 70 65 72 61 74 65 01 74 6F 01 66 69 6E 64 2C 01 61 6E 79 77 61 79 3F C0</x:v>
      </x:c>
      <x:c r="K706" s="23" t="str">
        <x:v>1CC 011 033 078 001 032 012 001 019 01B 084 015 1C8 011 01F 017 022 001 01F 02E 036 024 011 035 1C5 1CC 024 03D 01F 03E 022 001 010 01A 015 036 1C8 084 029 03D 02E 084 022 001 084 02B 03E 023 014 01B 084 022 1C8 0C8 11C 01A 084 016 041 012 001 084 01F 015 036 024 1C5 1CC 084 022 032 001 084 04D 076 043 084 05C 078 01A 02E 029 1C8 011 03E 01F 011 001 093 03C 001 02A 03E 01B 084 022 1C8 01A 084 015 01B 022 038 028 015 024 010 079 1C0</x:v>
      </x:c>
    </x:row>
    <x:row r="707">
      <x:c r="A707" s="22" t="str">
        <x:f>"02"</x:f>
        <x:v>02</x:v>
      </x:c>
      <x:c r="B707" s="22" t="str">
        <x:f>"C1"</x:f>
        <x:v>C1</x:v>
      </x:c>
      <x:c r="C707" s="22" t="str">
        <x:f>"0x02C1"</x:f>
        <x:v>0x02C1</x:v>
      </x:c>
      <x:c r="D707" s="21" t="str">
        <x:v>&lt;SPEAKER&gt;「ぐおわー! ぎゃーす!
おまえを 食べちゃうぞー!</x:v>
      </x:c>
      <x:c r="E707" s="19" t="str">
        <x:v>&lt;SPEAKER&gt;GROAAR! GYAAH!
I am going to eat you!</x:v>
      </x:c>
      <x:c r="F707" s="20" t="str"/>
      <x:c r="G707" s="20" t="str"/>
      <x:c r="H707" s="23" t="str">
        <x:v>SPEAKER NEWLINE END</x:v>
      </x:c>
      <x:c r="I707" s="23" t="str">
        <x:v>EA:B18B</x:v>
      </x:c>
      <x:c r="J707" s="23" t="str">
        <x:v>CC 47 52 4F 41 41 52 21 01 47 59 41 41 48 21 C8 49 01 61 6D 01 67 6F 69 6E 67 01 74 6F 01 65 61 74 01 79 6F 75 21 C0</x:v>
      </x:c>
      <x:c r="K707" s="23" t="str">
        <x:v>1CC 084 017 014 03B 078 07A 001 084 016 03F 078 01C 07A 1C8 014 02E 013 03C 001 0E4 084 02C 020 03F 012 084 01E 078 07A 1C0</x:v>
      </x:c>
    </x:row>
    <x:row r="708">
      <x:c r="A708" s="22" t="str">
        <x:f>"02"</x:f>
        <x:v>02</x:v>
      </x:c>
      <x:c r="B708" s="22" t="str">
        <x:f>"C2"</x:f>
        <x:v>C2</x:v>
      </x:c>
      <x:c r="C708" s="22" t="str">
        <x:f>"0x02C2"</x:f>
        <x:v>0x02C2</x:v>
      </x:c>
      <x:c r="D708" s="21" t="str">
        <x:v>&lt;SPEAKER&gt;「でへへ! おどろいたろう!&lt;WAIT&gt;&lt;SPEAKER&gt;「ヘブリの家の中から
体の そしきを 変化させる
まものエキスが でてきたんだ</x:v>
      </x:c>
      <x:c r="E708" s="19" t="str">
        <x:v>&lt;SPEAKER&gt;Heh heh!
Scared you, huh?&lt;WAIT&gt;&lt;SPEAKER&gt;We found Monster
Extract in Hebri's house. It can
alter the tissues of your body.</x:v>
      </x:c>
      <x:c r="F708" s="20" t="str"/>
      <x:c r="G708" s="20" t="str"/>
      <x:c r="H708" s="23" t="str">
        <x:v>SPEAKER NEWLINE WAIT SPEAKER NEWLINE NEWLINE END</x:v>
      </x:c>
      <x:c r="I708" s="23" t="str">
        <x:v>EA:B1B2</x:v>
      </x:c>
      <x:c r="J708" s="23" t="str">
        <x:v>CC 48 65 68 01 68 65 68 21 C8 53 63 61 72 65 64 01 79 6F 75 2C 01 68 75 68 3F C5 CC 57 65 01 66 6F 75 6E 64 01 4D 6F 6E 73 74 65 72 C8 45 78 74 72 61 63 74 01 69 6E 01 48 65 62 72 69 27 73 01 68 6F 75 73 65 2E 01 49 74 01 63 61 6E C8 61 6C 74 65 72 01 74 68 65 01 74 69 73 73 75 65 73 01 6F 66 01 79 6F 75 72 01 62 6F 64 79 2E C0</x:v>
      </x:c>
      <x:c r="K708" s="23" t="str">
        <x:v>1CC 084 022 02C 02C 07A 001 014 084 023 03A 011 01F 03A 012 07A 1C5 1CC 05E 084 05D 069 028 161 028 0A1 015 036 1C8 0F0 028 001 01E 01B 016 03C 001 178 09E 01A 01D 038 1C8 02E 032 028 045 048 04E 084 015 001 084 022 022 016 01F 03D 084 01F 1C0</x:v>
      </x:c>
    </x:row>
    <x:row r="709">
      <x:c r="A709" s="22" t="str">
        <x:f>"02"</x:f>
        <x:v>02</x:v>
      </x:c>
      <x:c r="B709" s="22" t="str">
        <x:f>"C3"</x:f>
        <x:v>C3</x:v>
      </x:c>
      <x:c r="C709" s="22" t="str">
        <x:f>"0x02C3"</x:f>
        <x:v>0x02C3</x:v>
      </x:c>
      <x:c r="D709" s="21" t="str">
        <x:v>&lt;SPEAKER&gt;「ヘブリの家の きんこの中に
まだ あるはずだよ</x:v>
      </x:c>
      <x:c r="E709" s="19" t="str">
        <x:v>&lt;SPEAKER&gt;There should
still be some inside the
safe in Hebri's house.</x:v>
      </x:c>
      <x:c r="F709" s="20" t="str"/>
      <x:c r="G709" s="20" t="str"/>
      <x:c r="H709" s="23" t="str">
        <x:v>SPEAKER NEWLINE NEWLINE END</x:v>
      </x:c>
      <x:c r="I709" s="23" t="str">
        <x:v>EA:B220</x:v>
      </x:c>
      <x:c r="J709" s="23" t="str">
        <x:v>CC 54 68 65 72 65 01 73 68 6F 75 6C 64 C8 73 74 69 6C 6C 01 62 65 01 73 6F 6D 65 01 69 6E 73 69 64 65 01 74 68 65 C8 73 61 66 65 01 69 6E 01 48 65 62 72 69 27 73 01 68 6F 75 73 65 2E C0</x:v>
      </x:c>
      <x:c r="K709" s="23" t="str">
        <x:v>1CC 05E 084 05D 069 028 161 028 001 016 03D 019 028 0A1 025 1C8 02E 084 01F 001 010 038 029 084 01C 084 01F 035 1C0</x:v>
      </x:c>
    </x:row>
    <x:row r="710">
      <x:c r="A710" s="22" t="str">
        <x:f>"02"</x:f>
        <x:v>02</x:v>
      </x:c>
      <x:c r="B710" s="22" t="str">
        <x:f>"C4"</x:f>
        <x:v>C4</x:v>
      </x:c>
      <x:c r="C710" s="22" t="str">
        <x:f>"0x02C4"</x:f>
        <x:v>0x02C4</x:v>
      </x:c>
      <x:c r="D710" s="21" t="str">
        <x:v>&lt;SPEAKER&gt;「そうか もう手に入れたか</x:v>
      </x:c>
      <x:c r="E710" s="19" t="str">
        <x:v>&lt;SPEAKER&gt;Oh, you already got it.</x:v>
      </x:c>
      <x:c r="F710" s="20" t="str"/>
      <x:c r="G710" s="20" t="str"/>
      <x:c r="H710" s="23" t="str">
        <x:v>SPEAKER END</x:v>
      </x:c>
      <x:c r="I710" s="23" t="str">
        <x:v>EA:B25E</x:v>
      </x:c>
      <x:c r="J710" s="23" t="str">
        <x:v>CC 4F 68 2C 01 79 6F 75 01 61 6C 72 65 61 64 79 01 67 6F 74 01 69 74 2E C0</x:v>
      </x:c>
      <x:c r="K710" s="23" t="str">
        <x:v>1CC 01E 012 015 001 032 012 177 025 08E 039 01F 015 1C0</x:v>
      </x:c>
    </x:row>
    <x:row r="711">
      <x:c r="A711" s="22" t="str">
        <x:f>"02"</x:f>
        <x:v>02</x:v>
      </x:c>
      <x:c r="B711" s="22" t="str">
        <x:f>"C5"</x:f>
        <x:v>C5</x:v>
      </x:c>
      <x:c r="C711" s="22" t="str">
        <x:f>"0x02C5"</x:f>
        <x:v>0x02C5</x:v>
      </x:c>
      <x:c r="D711" s="21" t="str">
        <x:v>&lt;SPEAKER&gt;「そいつを 使えば
モンスターの かくれがにも
侵入できるかもな!</x:v>
      </x:c>
      <x:c r="E711" s="19" t="str">
        <x:v>&lt;SPEAKER&gt;Use that stuff
and you might be able to
infiltrate the monsters' hideout!</x:v>
      </x:c>
      <x:c r="F711" s="20" t="str"/>
      <x:c r="G711" s="20" t="str"/>
      <x:c r="H711" s="23" t="str">
        <x:v>SPEAKER NEWLINE NEWLINE END</x:v>
      </x:c>
      <x:c r="I711" s="23" t="str">
        <x:v>EA:B277</x:v>
      </x:c>
      <x:c r="J711" s="23" t="str">
        <x:v>CC 55 73 65 01 74 68 61 74 01 73 74 75 66 66 C8 61 6E 64 01 79 6F 75 01 6D 69 67 68 74 01 62 65 01 61 62 6C 65 01 74 6F C8 69 6E 66 69 6C 74 72 61 74 65 01 74 68 65 01 6D 6F 6E 73 74 65 72 73 27 01 68 69 64 65 6F 75 74 21 C0</x:v>
      </x:c>
      <x:c r="K711" s="23" t="str">
        <x:v>1CC 01E 011 021 03C 001 123 013 084 029 1C8 064 06F 04E 051 078 028 001 015 017 039 084 015 025 032 1C8 14D 08E 084 022 016 038 015 032 024 07A 1C0</x:v>
      </x:c>
    </x:row>
    <x:row r="712">
      <x:c r="A712" s="22" t="str">
        <x:f>"02"</x:f>
        <x:v>02</x:v>
      </x:c>
      <x:c r="B712" s="22" t="str">
        <x:f>"C6"</x:f>
        <x:v>C6</x:v>
      </x:c>
      <x:c r="C712" s="22" t="str">
        <x:f>"0x02C6"</x:f>
        <x:v>0x02C6</x:v>
      </x:c>
      <x:c r="D712" s="21" t="str">
        <x:v>&lt;SPEAKER&gt;「うわー ごめんなさーい
おれ リルちゃんを ひとりじめ
したかったんだよー&lt;WAIT&gt;&lt;SPEAKER&gt;「もう こんなことは しないから
ゆるしてくれよー!&lt;WAIT&gt;&lt;SPEAKER&gt;「それは それとして
あんたたち ひかるビーダマを
持ってないかい?</x:v>
      </x:c>
      <x:c r="E712" s="19" t="str">
        <x:v>&lt;SPEAKER&gt;Wah! I am sorry!
I wanted Lil all to myself!&lt;WAIT&gt;&lt;SPEAKER&gt;I will never do
it again, so forgive me!&lt;WAIT&gt;&lt;SPEAKER&gt;Anyway... Do you happen
to have any Shining Marbles?</x:v>
      </x:c>
      <x:c r="F712" s="20" t="str"/>
      <x:c r="G712" s="20" t="str"/>
      <x:c r="H712" s="23" t="str">
        <x:v>SPEAKER NEWLINE WAIT SPEAKER NEWLINE WAIT SPEAKER NEWLINE END</x:v>
      </x:c>
      <x:c r="I712" s="23" t="str">
        <x:v>EA:B2C2</x:v>
      </x:c>
      <x:c r="J712" s="23" t="str">
        <x:v>CC 57 61 68 21 01 49 01 61 6D 01 73 6F 72 72 79 21 C8 49 01 77 61 6E 74 65 64 01 4C 69 6C 01 61 6C 6C 01 74 6F 01 6D 79 73 65 6C 66 21 C5 CC 49 01 77 69 6C 6C 01 6E 65 76 65 72 01 64 6F C8 69 74 01 61 67 61 69 6E 2C 01 73 6F 01 66 6F 72 67 69 76 65 01 6D 65 21 C5 CC 41 6E 79 77 61 79 2E 2E 2E 01 44 6F 01 79 6F 75 01 68 61 70 70 65 6E C8 74 6F 01 68 61 76 65 01 61 6E 79 01 53 68 69 6E 69 6E 67 01 4D 61 72 62 6C 65 73 3F C0</x:v>
      </x:c>
      <x:c r="K712" s="23" t="str">
        <x:v>1CC 012 03B 078 001 084 019 031 03D 024 01A 078 011 1C8 014 039 001 069 06A 020 03F 03D 03C 001 02A 023 037 084 01B 031 1C8 01B 01F 015 03E 01F 03D 084 01F 035 078 1C5 1CC 032 012 001 019 03D 024 019 023 029 001 01B 024 011 015 036 1C8 034 038 01B 022 017 039 035 078 07A 1C5 1CC 01E 039 029 001 01E 039 023 01B 022 1C8 010 03D 01F 01F 020 001 02A 015 038 084 05C 078 084 051 060 03C 1C8 0D3 03E 022 024 011 015 011 079 1C0</x:v>
      </x:c>
    </x:row>
    <x:row r="713">
      <x:c r="A713" s="22" t="str">
        <x:f>"02"</x:f>
        <x:v>02</x:v>
      </x:c>
      <x:c r="B713" s="22" t="str">
        <x:f>"C7"</x:f>
        <x:v>C7</x:v>
      </x:c>
      <x:c r="C713" s="22" t="str">
        <x:f>"0x02C7"</x:f>
        <x:v>0x02C7</x:v>
      </x:c>
      <x:c r="D713" s="21" t="str">
        <x:v>&lt;SPEAKER&gt;「なんじゃ? しんいりか?
わしゃ 何も ジェイビーさまから
聞いとらんぞ&lt;WAIT&gt;&lt;SPEAKER&gt;「・・・まあ かくにんは あとで
するか・・・よし よく聞くんだ!&lt;WAIT&gt;&lt;SPEAKER&gt;「ここでの おまえの
しごとは 発掘さぎょうだ!&lt;WAIT&gt;&lt;SPEAKER&gt;「しんいりは まず 鉱山へ行け!
そこで まず おにのように
はたらきまくるんだ! わかったな!</x:v>
      </x:c>
      <x:c r="E713" s="19" t="str">
        <x:v>&lt;SPEAKER&gt;What? A newcomer? Lord
J.B. never told me anything.&lt;WAIT&gt;&lt;SPEAKER&gt;...I will confirm it
later. For now, listen carefully!&lt;WAIT&gt;&lt;SPEAKER&gt;Your job
here is excavation!&lt;WAIT&gt;&lt;SPEAKER&gt;Newcomers go to
Deathvalley Mine first and
work like demons! Got it?!</x:v>
      </x:c>
      <x:c r="F713" s="20" t="str"/>
      <x:c r="G713" s="20" t="str"/>
      <x:c r="H713" s="23" t="str">
        <x:v>SPEAKER NEWLINE WAIT SPEAKER NEWLINE WAIT SPEAKER NEWLINE WAIT SPEAKER NEWLINE NEWLINE END</x:v>
      </x:c>
      <x:c r="I713" s="23" t="str">
        <x:v>EA:B350</x:v>
      </x:c>
      <x:c r="J713" s="23" t="str">
        <x:v>CC 57 68 61 74 3F 01 41 01 6E 65 77 63 6F 6D 65 72 3F 01 4C 6F 72 64 C8 4A 2E 42 2E 01 6E 65 76 65 72 01 74 6F 6C 64 01 6D 65 01 61 6E 79 74 68 69 6E 67 2E C5 CC 2E 2E 2E 49 01 77 69 6C 6C 01 63 6F 6E 66 69 72 6D 01 69 74 C8 6C 61 74 65 72 2E 01 46 6F 72 01 6E 6F 77 2C 01 6C 69 73 74 65 6E 01 63 61 72 65 66 75 6C 6C 79 21 C5 CC 59 6F 75 72 01 6A 6F 62 C8 68 65 72 65 01 69 73 01 65 78 63 61 76 61 74 69 6F 6E 21 C5 CC 4E 65 77 63 6F 6D 65 72 73 01 67 6F 01 74 6F C8 44 65 61 74 68 76 61 6C 6C 65 79 01 4D 69 6E 65 01 66 69 72 73 74 01 61 6E 64 C8 77 6F 72 6B 01 6C 69 6B 65 01 64 65 6D 6F 6E 73 21 01 47 6F 74 01 69 74 3F 21 C0</x:v>
      </x:c>
      <x:c r="K713" s="23" t="str">
        <x:v>1CC 024 03D 084 01B 03F 079 001 01B 03D 011 037 015 079 1C8 03B 01B 03F 001 093 032 001 084 04D 076 043 084 05C 078 01A 02E 015 036 1C8 0A6 011 023 036 03D 084 01E 1C5 1CC 081 081 081 02E 010 001 015 017 025 03D 029 001 010 023 084 022 1C8 01C 038 015 081 081 081 035 01B 001 035 017 0A6 017 03D 084 01F 07A 1C5 1CC 019 019 084 022 028 001 014 02E 013 028 1C8 01B 084 019 023 029 001 0C8 11C 01A 084 016 041 012 084 01F 07A 1C5 1CC 01B 03D 011 037 029 001 02E 084 01C 001 10B 10C 02C 08D 018 07A 1C8 01E 019 084 022 001 02E 084 01C 001 014 025 028 035 012 025 1C8 029 01F 036 016 02E 017 038 03D 084 01F 07A 001 03B 015 03E 01F 024 07A 1C0</x:v>
      </x:c>
    </x:row>
    <x:row r="714">
      <x:c r="A714" s="22" t="str">
        <x:f>"02"</x:f>
        <x:v>02</x:v>
      </x:c>
      <x:c r="B714" s="22" t="str">
        <x:f>"C8"</x:f>
        <x:v>C8</x:v>
      </x:c>
      <x:c r="C714" s="22" t="str">
        <x:f>"0x02C8"</x:f>
        <x:v>0x02C8</x:v>
      </x:c>
      <x:c r="D714" s="21" t="str">
        <x:v>&lt;SPEAKER&gt;「よし 鉱山に のぼる ケーブルの
きっぷを やるぞい! ほれ!</x:v>
      </x:c>
      <x:c r="E714" s="19" t="str">
        <x:v>&lt;SPEAKER&gt;All right. Here
is a cable-car ticket
up to Deathvalley Mine!</x:v>
      </x:c>
      <x:c r="F714" s="20" t="str"/>
      <x:c r="G714" s="20" t="str"/>
      <x:c r="H714" s="23" t="str">
        <x:v>SPEAKER NEWLINE NEWLINE END</x:v>
      </x:c>
      <x:c r="I714" s="23" t="str">
        <x:v>EA:B422</x:v>
      </x:c>
      <x:c r="J714" s="23" t="str">
        <x:v>CC 41 6C 6C 01 72 69 67 68 74 2E 01 48 65 72 65 C8 69 73 01 61 01 63 61 62 6C 65 2D 63 61 72 01 74 69 63 6B 65 74 C8 75 70 01 74 6F 01 44 65 61 74 68 76 61 6C 6C 65 79 01 4D 69 6E 65 21 C0</x:v>
      </x:c>
      <x:c r="K714" s="23" t="str">
        <x:v>1CC 035 01B 001 10B 10C 025 001 028 084 02D 038 001 04A 078 084 05D 06A 028 1C8 016 03E 083 02B 03C 001 033 038 084 01E 011 07A 001 02D 039 07A 1C0</x:v>
      </x:c>
    </x:row>
    <x:row r="715">
      <x:c r="A715" s="22" t="str">
        <x:f>"02"</x:f>
        <x:v>02</x:v>
      </x:c>
      <x:c r="B715" s="22" t="str">
        <x:f>"C9"</x:f>
        <x:v>C9</x:v>
      </x:c>
      <x:c r="C715" s="22" t="str">
        <x:f>"0x02C9"</x:f>
        <x:v>0x02C9</x:v>
      </x:c>
      <x:c r="D715" s="21" t="str">
        <x:v>&lt;SPEAKER&gt;「わかったら さっさと 行けい!</x:v>
      </x:c>
      <x:c r="E715" s="19" t="str">
        <x:v>&lt;SPEAKER&gt;If you
understand, get moving!</x:v>
      </x:c>
      <x:c r="F715" s="20" t="str"/>
      <x:c r="G715" s="20" t="str"/>
      <x:c r="H715" s="23" t="str">
        <x:v>SPEAKER NEWLINE END</x:v>
      </x:c>
      <x:c r="I715" s="23" t="str">
        <x:v>EA:B461</x:v>
      </x:c>
      <x:c r="J715" s="23" t="str">
        <x:v>CC 49 66 01 79 6F 75 C8 75 6E 64 65 72 73 74 61 6E 64 2C 01 67 65 74 01 6D 6F 76 69 6E 67 21 C0</x:v>
      </x:c>
      <x:c r="K715" s="23" t="str">
        <x:v>1CC 03B 015 03E 01F 036 001 01A 03E 01A 023 001 08D 018 011 07A 1C0</x:v>
      </x:c>
    </x:row>
    <x:row r="716">
      <x:c r="A716" s="22" t="str">
        <x:f>"02"</x:f>
        <x:v>02</x:v>
      </x:c>
      <x:c r="B716" s="22" t="str">
        <x:f>"CA"</x:f>
        <x:v>CA</x:v>
      </x:c>
      <x:c r="C716" s="22" t="str">
        <x:f>"0x02CA"</x:f>
        <x:v>0x02CA</x:v>
      </x:c>
      <x:c r="D716" s="21" t="str">
        <x:v>&lt;SPEAKER&gt;「きっぷが ほしけりゃ
にもつを どうにかして
またくるんだな!</x:v>
      </x:c>
      <x:c r="E716" s="19" t="str">
        <x:v>&lt;SPEAKER&gt;If you want the
ticket, make room in your
baggage and come back!</x:v>
      </x:c>
      <x:c r="F716" s="20" t="str"/>
      <x:c r="G716" s="20" t="str"/>
      <x:c r="H716" s="23" t="str">
        <x:v>SPEAKER NEWLINE NEWLINE END</x:v>
      </x:c>
      <x:c r="I716" s="23" t="str">
        <x:v>EA:B481</x:v>
      </x:c>
      <x:c r="J716" s="23" t="str">
        <x:v>CC 49 66 01 79 6F 75 01 77 61 6E 74 01 74 68 65 C8 74 69 63 6B 65 74 2C 01 6D 61 6B 65 01 72 6F 6F 6D 01 69 6E 01 79 6F 75 72 C8 62 61 67 67 61 67 65 01 61 6E 64 01 63 6F 6D 65 01 62 61 63 6B 21 C0</x:v>
      </x:c>
      <x:c r="K716" s="23" t="str">
        <x:v>1CC 016 03E 083 02B 084 015 001 02D 01B 018 037 03F 1C8 025 032 021 03C 001 084 023 012 025 015 01B 022 1C8 02E 01F 017 038 03D 084 01F 024 07A 1C0</x:v>
      </x:c>
    </x:row>
    <x:row r="717">
      <x:c r="A717" s="22" t="str">
        <x:f>"02"</x:f>
        <x:v>02</x:v>
      </x:c>
      <x:c r="B717" s="22" t="str">
        <x:f>"CB"</x:f>
        <x:v>CB</x:v>
      </x:c>
      <x:c r="C717" s="22" t="str">
        <x:f>"0x02CB"</x:f>
        <x:v>0x02CB</x:v>
      </x:c>
      <x:c r="D717" s="21" t="str">
        <x:v>&lt;SPEAKER&gt;「ここは ムショと ちがって
はたらいたら はたらいたぶんだけ
たのしく すごせるところだ&lt;WAIT&gt;&lt;SPEAKER&gt;「ジェイビーさまに 感謝の
気持ちを わすれずになっ!</x:v>
      </x:c>
      <x:c r="E717" s="19" t="str">
        <x:v>&lt;SPEAKER&gt;This place is not like
prison. The harder you work, the
more you get to enjoy yourself.&lt;WAIT&gt;&lt;SPEAKER&gt;Never forget to
be grateful to Lord J.B.!</x:v>
      </x:c>
      <x:c r="F717" s="20" t="str"/>
      <x:c r="G717" s="20" t="str"/>
      <x:c r="H717" s="23" t="str">
        <x:v>SPEAKER NEWLINE NEWLINE WAIT SPEAKER NEWLINE END</x:v>
      </x:c>
      <x:c r="I717" s="23" t="str">
        <x:v>EA:B4C3</x:v>
      </x:c>
      <x:c r="J717" s="23" t="str">
        <x:v>CC 54 68 69 73 01 70 6C 61 63 65 01 69 73 01 6E 6F 74 01 6C 69 6B 65 C8 70 72 69 73 6F 6E 2E 01 54 68 65 01 68 61 72 64 65 72 01 79 6F 75 01 77 6F 72 6B 2C 01 74 68 65 C8 6D 6F 72 65 01 79 6F 75 01 67 65 74 01 74 6F 01 65 6E 6A 6F 79 01 79 6F 75 72 73 65 6C 66 2E C5 CC 4E 65 76 65 72 01 66 6F 72 67 65 74 01 74 6F C8 62 65 01 67 72 61 74 65 66 75 6C 01 74 6F 01 4C 6F 72 64 01 4A 2E 42 2E 21 C0</x:v>
      </x:c>
      <x:c r="K717" s="23" t="str">
        <x:v>1CC 019 019 029 001 062 04D 073 023 001 020 084 015 03E 022 1C8 029 01F 036 011 01F 036 001 029 01F 036 011 01F 084 02B 03D 084 01F 018 1C8 01F 028 01B 017 001 01C 084 019 01D 038 023 019 03A 084 01F 1C5 1CC 084 04D 076 043 084 05C 078 01A 02E 025 001 0FC 193 028 1C8 099 0D3 020 03C 001 03B 01C 039 084 01C 025 024 03E 07A 1C0</x:v>
      </x:c>
    </x:row>
    <x:row r="718">
      <x:c r="A718" s="22" t="str">
        <x:f>"02"</x:f>
        <x:v>02</x:v>
      </x:c>
      <x:c r="B718" s="22" t="str">
        <x:f>"CC"</x:f>
        <x:v>CC</x:v>
      </x:c>
      <x:c r="C718" s="22" t="str">
        <x:f>"0x02CC"</x:f>
        <x:v>0x02CC</x:v>
      </x:c>
      <x:c r="D718" s="21" t="str">
        <x:v>&lt;CLEAR&gt;
レディは きんこを しらべた</x:v>
      </x:c>
      <x:c r="E718" s="19" t="str">
        <x:v>&lt;CLEAR&gt;Lady examines the safe.</x:v>
      </x:c>
      <x:c r="F718" s="20" t="str"/>
      <x:c r="G718" s="20" t="str"/>
      <x:c r="H718" s="23" t="str">
        <x:v>CLEAR END</x:v>
      </x:c>
      <x:c r="I718" s="23" t="str">
        <x:v>EA:B547</x:v>
      </x:c>
      <x:c r="J718" s="23" t="str">
        <x:v>D0 4C 61 64 79 01 65 78 61 6D 69 6E 65 73 01 74 68 65 01 73 61 66 65 2E C0</x:v>
      </x:c>
      <x:c r="K718" s="23" t="str">
        <x:v>1D0 06B 084 054 075 029 001 016 03D 019 03C 001 01B 036 084 02C 01F 1C0</x:v>
      </x:c>
    </x:row>
    <x:row r="719">
      <x:c r="A719" s="22" t="str">
        <x:f>"02"</x:f>
        <x:v>02</x:v>
      </x:c>
      <x:c r="B719" s="22" t="str">
        <x:f>"CD"</x:f>
        <x:v>CD</x:v>
      </x:c>
      <x:c r="C719" s="22" t="str">
        <x:f>"0x02CD"</x:f>
        <x:v>0x02CD</x:v>
      </x:c>
      <x:c r="D719" s="21" t="str">
        <x:v>&lt;CLEAR&gt;
きんこが ある
あかないようだ・・・</x:v>
      </x:c>
      <x:c r="E719" s="19" t="str">
        <x:v>&lt;CLEAR&gt;There is a safe here.
It will not open...</x:v>
      </x:c>
      <x:c r="F719" s="20" t="str"/>
      <x:c r="G719" s="20" t="str"/>
      <x:c r="H719" s="23" t="str">
        <x:v>CLEAR NEWLINE END</x:v>
      </x:c>
      <x:c r="I719" s="23" t="str">
        <x:v>EA:B560</x:v>
      </x:c>
      <x:c r="J719" s="23" t="str">
        <x:v>D0 54 68 65 72 65 01 69 73 01 61 01 73 61 66 65 01 68 65 72 65 2E C8 49 74 01 77 69 6C 6C 01 6E 6F 74 01 6F 70 65 6E 2E 2E 2E C0</x:v>
      </x:c>
      <x:c r="K719" s="23" t="str">
        <x:v>1D0 016 03D 019 084 015 001 010 038 1C8 010 015 024 011 035 012 084 01F 081 081 081 1C0</x:v>
      </x:c>
    </x:row>
    <x:row r="720">
      <x:c r="A720" s="22" t="str">
        <x:f>"02"</x:f>
        <x:v>02</x:v>
      </x:c>
      <x:c r="B720" s="22" t="str">
        <x:f>"CE"</x:f>
        <x:v>CE</x:v>
      </x:c>
      <x:c r="C720" s="22" t="str">
        <x:f>"0x02CE"</x:f>
        <x:v>0x02CE</x:v>
      </x:c>
      <x:c r="D720" s="21" t="str">
        <x:v>&lt;SPEAKER&gt;「おお 話は すべて聞いたぜ
ジェイビーを たおしてくれるなら
武器を ちょうたつするぜ&lt;WAIT&gt;&lt;SPEAKER&gt;「鉱山には 使える武器が
たんまりあるから
掘り出すたびに 店にならべておくぜ</x:v>
      </x:c>
      <x:c r="E720" s="19" t="str">
        <x:v>&lt;SPEAKER&gt;I heard everything.
If you'll fight J.B.,
I'll supply weapons.&lt;WAIT&gt;&lt;SPEAKER&gt;This mine has plenty.
Whenever we dig one up,
I'll put it in the shop.</x:v>
      </x:c>
      <x:c r="F720" s="20" t="str"/>
      <x:c r="G720" s="20" t="str"/>
      <x:c r="H720" s="23" t="str">
        <x:v>SPEAKER NEWLINE NEWLINE WAIT SPEAKER NEWLINE NEWLINE END</x:v>
      </x:c>
      <x:c r="I720" s="23" t="str">
        <x:v>EA:B58B</x:v>
      </x:c>
      <x:c r="J720" s="23" t="str">
        <x:v>CC 49 01 68 65 61 72 64 01 65 76 65 72 79 74 68 69 6E 67 2E C8 49 66 01 79 6F 75 27 6C 6C 01 66 69 67 68 74 01 4A 2E 42 2E 2C C8 49 27 6C 6C 01 73 75 70 70 6C 79 01 77 65 61 70 6F 6E 73 2E C5 CC 54 68 69 73 01 6D 69 6E 65 01 68 61 73 01 70 6C 65 6E 74 79 2E C8 57 68 65 6E 65 76 65 72 01 77 65 01 64 69 67 01 6F 6E 65 01 75 70 2C C8 49 27 6C 6C 01 70 75 74 01 69 74 01 69 6E 01 74 68 65 01 73 68 6F 70 2E C0</x:v>
      </x:c>
      <x:c r="K720" s="23" t="str">
        <x:v>1CC 014 014 001 0A0 029 001 01C 084 02C 022 0A6 011 01F 084 01D 1C8 084 04D 076 043 084 05C 078 03C 001 01F 014 01B 022 017 039 038 024 036 1C8 0CB 12A 03C 001 020 041 012 01F 021 01C 038 084 01D 1C5 1CC 10B 10C 025 029 001 123 013 038 0CB 12A 084 015 1C8 01F 03D 02E 037 010 038 015 036 1C8 11C 037 106 01C 01F 084 02A 025 001 129 025 024 036 084 02C 022 014 017 084 01D 1C0</x:v>
      </x:c>
    </x:row>
    <x:row r="721">
      <x:c r="A721" s="22" t="str">
        <x:f>"02"</x:f>
        <x:v>02</x:v>
      </x:c>
      <x:c r="B721" s="22" t="str">
        <x:f>"CF"</x:f>
        <x:v>CF</x:v>
      </x:c>
      <x:c r="C721" s="22" t="str">
        <x:f>"0x02CF"</x:f>
        <x:v>0x02CF</x:v>
      </x:c>
      <x:c r="D721" s="21" t="str">
        <x:v>&lt;SPEAKER&gt;「お! それは けられた者に
多大なラッキーを もたらすという
伝説の あかいハイヒール!&lt;WAIT&gt;&lt;SPEAKER&gt;「ねえちゃん! たのむ!
そいつで おれを けってくれないか?</x:v>
      </x:c>
      <x:c r="E721" s="19" t="str">
        <x:v>&lt;SPEAKER&gt;Whoa! The legendary
Red High Heels! A kick from
them brings amazing luck!&lt;WAIT&gt;&lt;SPEAKER&gt;Lady, please!
Kick me with them!</x:v>
      </x:c>
      <x:c r="F721" s="20" t="str"/>
      <x:c r="G721" s="20" t="str"/>
      <x:c r="H721" s="23" t="str">
        <x:v>SPEAKER NEWLINE NEWLINE WAIT SPEAKER NEWLINE END</x:v>
      </x:c>
      <x:c r="I721" s="23" t="str">
        <x:v>EA:B613</x:v>
      </x:c>
      <x:c r="J721" s="23" t="str">
        <x:v>CC 57 68 6F 61 21 01 54 68 65 01 6C 65 67 65 6E 64 61 72 79 C8 52 65 64 01 48 69 67 68 01 48 65 65 6C 73 21 01 41 01 6B 69 63 6B 01 66 72 6F 6D C8 74 68 65 6D 01 62 72 69 6E 67 73 01 61 6D 61 7A 69 6E 67 01 6C 75 63 6B 21 C5 CC 4C 61 64 79 2C 01 70 6C 65 61 73 65 21 C8 4B 69 63 6B 01 6D 65 01 77 69 74 68 01 74 68 65 6D 21 C0</x:v>
      </x:c>
      <x:c r="K721" s="23" t="str">
        <x:v>1CC 014 07A 001 01E 039 029 001 018 036 039 01F 0A7 025 1C8 0CE 0AC 024 068 070 048 078 03C 001 032 01F 036 01C 023 011 012 1C8 092 08F 028 001 010 015 011 05B 043 05C 078 06A 07A 1C5 1CC 027 013 020 03F 03D 07A 001 01F 028 030 07A 1C8 01E 011 021 084 022 001 014 039 03C 001 018 03E 022 017 039 024 011 015 079 1C0</x:v>
      </x:c>
    </x:row>
    <x:row r="722">
      <x:c r="A722" s="22" t="str">
        <x:f>"02"</x:f>
        <x:v>02</x:v>
      </x:c>
      <x:c r="B722" s="22" t="str">
        <x:f>"D0"</x:f>
        <x:v>D0</x:v>
      </x:c>
      <x:c r="C722" s="22" t="str">
        <x:f>"0x02D0"</x:f>
        <x:v>0x02D0</x:v>
      </x:c>
      <x:c r="D722" s="21" t="str">
        <x:v>&lt;SPEAKER&gt;「イエー やったぜ!</x:v>
      </x:c>
      <x:c r="E722" s="19" t="str">
        <x:v>&lt;SPEAKER&gt;YEAH! I did it!</x:v>
      </x:c>
      <x:c r="F722" s="20" t="str"/>
      <x:c r="G722" s="20" t="str"/>
      <x:c r="H722" s="23" t="str">
        <x:v>SPEAKER END</x:v>
      </x:c>
      <x:c r="I722" s="23" t="str">
        <x:v>EA:B680</x:v>
      </x:c>
      <x:c r="J722" s="23" t="str">
        <x:v>CC 59 45 41 48 21 01 49 01 64 69 64 01 69 74 21 C0</x:v>
      </x:c>
      <x:c r="K722" s="23" t="str">
        <x:v>1CC 043 045 078 001 033 03E 01F 084 01D 07A 1C0</x:v>
      </x:c>
    </x:row>
    <x:row r="723">
      <x:c r="A723" s="22" t="str">
        <x:f>"02"</x:f>
        <x:v>02</x:v>
      </x:c>
      <x:c r="B723" s="22" t="str">
        <x:f>"D1"</x:f>
        <x:v>D1</x:v>
      </x:c>
      <x:c r="C723" s="22" t="str">
        <x:f>"0x02D1"</x:f>
        <x:v>0x02D1</x:v>
      </x:c>
      <x:c r="D723" s="21" t="str">
        <x:v>&lt;SPEAKER&gt;「ねえちゃん たのむよ!
おれとあんたの なかじゃねえか!
えんりょはいらねえぜ!</x:v>
      </x:c>
      <x:c r="E723" s="19" t="str">
        <x:v>&lt;SPEAKER&gt;Come on, lady!
Please! We are pals,
right? Do not hold back!</x:v>
      </x:c>
      <x:c r="F723" s="20" t="str"/>
      <x:c r="G723" s="20" t="str"/>
      <x:c r="H723" s="23" t="str">
        <x:v>SPEAKER NEWLINE NEWLINE END</x:v>
      </x:c>
      <x:c r="I723" s="23" t="str">
        <x:v>EA:B691</x:v>
      </x:c>
      <x:c r="J723" s="23" t="str">
        <x:v>CC 43 6F 6D 65 01 6F 6E 2C 01 6C 61 64 79 21 C8 50 6C 65 61 73 65 21 01 57 65 01 61 72 65 01 70 61 6C 73 2C C8 72 69 67 68 74 3F 01 44 6F 01 6E 6F 74 01 68 6F 6C 64 01 62 61 63 6B 21 C0</x:v>
      </x:c>
      <x:c r="K723" s="23" t="str">
        <x:v>1CC 027 013 020 03F 03D 001 01F 028 030 035 07A 1C8 014 039 023 010 03D 01F 028 001 024 015 084 01B 03F 027 013 015 07A 1C8 013 03D 037 041 029 011 036 027 013 084 01D 07A 1C0</x:v>
      </x:c>
    </x:row>
    <x:row r="724">
      <x:c r="A724" s="22" t="str">
        <x:f>"02"</x:f>
        <x:v>02</x:v>
      </x:c>
      <x:c r="B724" s="22" t="str">
        <x:f>"D2"</x:f>
        <x:v>D2</x:v>
      </x:c>
      <x:c r="C724" s="22" t="str">
        <x:f>"0x02D2"</x:f>
        <x:v>0x02D2</x:v>
      </x:c>
      <x:c r="D724" s="21" t="str">
        <x:v>&lt;SPEAKER&gt;「いてー!
でもきもちいいー!&lt;WAIT&gt;&lt;SPEAKER&gt;「さて いい思いを
させてもらった ところで
おれいに これをやるよ!</x:v>
      </x:c>
      <x:c r="E724" s="19" t="str">
        <x:v>&lt;SPEAKER&gt;OW! But that felt great!&lt;WAIT&gt;&lt;SPEAKER&gt;Well, after a
treat like that, I owe
you something. Take this!</x:v>
      </x:c>
      <x:c r="F724" s="20" t="str"/>
      <x:c r="G724" s="20" t="str"/>
      <x:c r="H724" s="23" t="str">
        <x:v>SPEAKER WAIT SPEAKER NEWLINE NEWLINE END</x:v>
      </x:c>
      <x:c r="I724" s="23" t="str">
        <x:v>EA:B6CF</x:v>
      </x:c>
      <x:c r="J724" s="23" t="str">
        <x:v>CC 4F 57 21 01 42 75 74 01 74 68 61 74 01 66 65 6C 74 01 67 72 65 61 74 21 C5 CC 57 65 6C 6C 2C 01 61 66 74 65 72 01 61 C8 74 72 65 61 74 01 6C 69 6B 65 01 74 68 61 74 2C 01 49 01 6F 77 65 C8 79 6F 75 01 73 6F 6D 65 74 68 69 6E 67 2E 01 54 61 6B 65 01 74 68 69 73 21 C0</x:v>
      </x:c>
      <x:c r="K724" s="23" t="str">
        <x:v>1CC 011 022 078 07A 1C8 084 022 032 016 032 020 011 011 078 07A 1C5 1CC 01A 022 001 011 011 10F 011 03C 1C8 01A 01D 022 032 036 03E 01F 001 023 019 03A 084 022 1C8 014 039 011 025 001 019 039 03C 033 038 035 07A 1C0</x:v>
      </x:c>
    </x:row>
    <x:row r="725">
      <x:c r="A725" s="22" t="str">
        <x:f>"02"</x:f>
        <x:v>02</x:v>
      </x:c>
      <x:c r="B725" s="22" t="str">
        <x:f>"D3"</x:f>
        <x:v>D3</x:v>
      </x:c>
      <x:c r="C725" s="22" t="str">
        <x:f>"0x02D3"</x:f>
        <x:v>0x02D3</x:v>
      </x:c>
      <x:c r="D725" s="21" t="str">
        <x:v>&lt;SPEAKER&gt;「お! それは・・・
ねえちゃん こっちに来て
そのクツを よく見せてくれねえか?</x:v>
      </x:c>
      <x:c r="E725" s="19" t="str">
        <x:v>&lt;SPEAKER&gt;Whoa! Those are... Lady,
come over here and let me get
a good look at those shoes!</x:v>
      </x:c>
      <x:c r="F725" s="20" t="str"/>
      <x:c r="G725" s="20" t="str"/>
      <x:c r="H725" s="23" t="str">
        <x:v>SPEAKER NEWLINE NEWLINE END</x:v>
      </x:c>
      <x:c r="I725" s="23" t="str">
        <x:v>EA:B729</x:v>
      </x:c>
      <x:c r="J725" s="23" t="str">
        <x:v>CC 57 68 6F 61 21 01 54 68 6F 73 65 01 61 72 65 2E 2E 2E 01 4C 61 64 79 2C C8 63 6F 6D 65 01 6F 76 65 72 01 68 65 72 65 01 61 6E 64 01 6C 65 74 01 6D 65 01 67 65 74 C8 61 01 67 6F 6F 64 01 6C 6F 6F 6B 01 61 74 01 74 68 6F 73 65 01 73 68 6F 65 73 21 C0</x:v>
      </x:c>
      <x:c r="K725" s="23" t="str">
        <x:v>1CC 014 07A 001 01E 039 029 081 081 081 1C8 027 013 020 03F 03D 001 019 03E 020 025 097 022 1C8 01E 028 049 053 03C 001 035 017 090 01D 022 017 039 027 013 015 079 1C0</x:v>
      </x:c>
    </x:row>
    <x:row r="726">
      <x:c r="A726" s="22" t="str">
        <x:f>"02"</x:f>
        <x:v>02</x:v>
      </x:c>
      <x:c r="B726" s="22" t="str">
        <x:f>"D4"</x:f>
        <x:v>D4</x:v>
      </x:c>
      <x:c r="C726" s="22" t="str">
        <x:f>"0x02D4"</x:f>
        <x:v>0x02D4</x:v>
      </x:c>
      <x:c r="D726" s="21" t="str">
        <x:v>&lt;SPEAKER&gt;「いや レディさん!
ほんとに 感謝してますよ&lt;WAIT&gt;&lt;SPEAKER&gt;「ほかの 囚人も なんとか
あのジェイビーの いきのねを
とめたいと 思っとるんですが&lt;WAIT&gt;&lt;SPEAKER&gt;「わしらでは さかだちしても
たちうち できん あいてですわ!&lt;WAIT&gt;&lt;SPEAKER&gt;「だから・・・レディさん!
かんづめに された なかまの
かたきを うってくだせえ!&lt;WAIT&gt;&lt;SPEAKER&gt;「かたきを うってくれるんなら
しにものぐるいで うもれた武器を
掘り出します! どうかたのんます!</x:v>
      </x:c>
      <x:c r="E726" s="19" t="str">
        <x:v>&lt;SPEAKER&gt;Lady, thank you so much!&lt;WAIT&gt;&lt;SPEAKER&gt;The other prisoners
want J.B. stopped too, but
we don't stand a chance.&lt;WAIT&gt;&lt;SPEAKER&gt;We couldn't beat him
even standing on our heads!&lt;WAIT&gt;&lt;SPEAKER&gt;So please, Lady! Avenge
our friends sealed in cans!&lt;WAIT&gt;&lt;SPEAKER&gt;If you will, we'll
dig up weapons like our
lives depend on it! Please!</x:v>
      </x:c>
      <x:c r="F726" s="20" t="str"/>
      <x:c r="G726" s="20" t="str"/>
      <x:c r="H726" s="23" t="str">
        <x:v>SPEAKER WAIT SPEAKER NEWLINE NEWLINE WAIT SPEAKER NEWLINE WAIT SPEAKER NEWLINE WAIT SPEAKER NEWLINE NEWLINE END</x:v>
      </x:c>
      <x:c r="I726" s="23" t="str">
        <x:v>EA:B77D</x:v>
      </x:c>
      <x:c r="J726" s="23" t="str">
        <x:v>CC 4C 61 64 79 2C 01 74 68 61 6E 6B 01 79 6F 75 01 73 6F 01 6D 75 63 68 21 C5 CC 54 68 65 01 6F 74 68 65 72 01 70 72 69 73 6F 6E 65 72 73 C8 77 61 6E 74 01 4A 2E 42 2E 01 73 74 6F 70 70 65 64 01 74 6F 6F 2C 01 62 75 74 C8 77 65 01 64 6F 6E 27 74 01 73 74 61 6E 64 01 61 01 63 68 61 6E 63 65 2E C5 CC 57 65 01 63 6F 75 6C 64 6E 27 74 01 62 65 61 74 01 68 69 6D C8 65 76 65 6E 01 73 74 61 6E 64 69 6E 67 01 6F 6E 01 6F 75 72 01 68 65 61 64 73 21 C5 CC 53 6F 01 70 6C 65 61 73 65 2C 01 4C 61 64 79 21 01 41 76 65 6E 67 65 C8 6F 75 72 01 66 72 69 65 6E 64 73 01 73 65 61 6C 65 64 01 69 6E 01 63 61 6E 73 21 C5 CC 49 66 01 79 6F 75 01 77 69 6C 6C 2C 01 77 65 27 6C 6C C8 64 69 67 01 75 70 01 77 65 61 70 6F 6E 73 01 6C 69 6B 65 01 6F 75 72 C8 6C 69 76 65 73 01 64 65 70 65 6E 64 01 6F 6E 01 69 74 21 01 50 6C 65 61 73 65 21 C0</x:v>
      </x:c>
      <x:c r="K726" s="23" t="str">
        <x:v>1CC 011 033 001 06B 084 054 075 01A 03D 07A 1C8 02D 03D 023 025 001 0FC 193 01B 022 02E 01C 035 1C5 1CC 02D 015 028 001 113 091 032 001 024 03D 023 015 1C8 010 028 084 04D 076 043 084 05C 078 028 001 011 016 028 027 03C 1C8 023 031 01F 011 023 001 10F 03E 023 038 03D 084 022 01C 084 015 1C5 1CC 03B 01B 036 084 022 029 001 01A 015 084 01F 020 01B 022 032 1C8 01F 020 012 020 001 084 022 016 03D 001 010 011 022 084 022 01C 03B 07A 1C5 1CC 084 01F 015 036 081 081 081 06B 084 054 075 01A 03D 07A 1C8 015 03D 084 021 031 025 001 01A 039 01F 001 024 015 02E 028 1C8 015 01F 016 03C 001 012 03E 022 017 084 01F 01D 013 07A 1C5 1CC 015 01F 016 03C 001 012 03E 022 017 039 038 03D 024 036 1C8 01B 025 032 028 084 017 038 011 084 022 001 012 032 039 01F 0CB 12A 03C 1C8 11C 037 106 01B 02E 01C 07A 001 084 023 012 015 01F 028 03D 02E 01C 07A 1C0</x:v>
      </x:c>
    </x:row>
    <x:row r="727">
      <x:c r="A727" s="22" t="str">
        <x:f>"02"</x:f>
        <x:v>02</x:v>
      </x:c>
      <x:c r="B727" s="22" t="str">
        <x:f>"D5"</x:f>
        <x:v>D5</x:v>
      </x:c>
      <x:c r="C727" s="22" t="str">
        <x:f>"0x02D5"</x:f>
        <x:v>0x02D5</x:v>
      </x:c>
      <x:c r="D727" s="21" t="str">
        <x:v>&lt;SPEAKER&gt;「え? 岩場を のぼる くつ?&lt;WAIT&gt;&lt;SPEAKER&gt;「うん 鉱山で 使ってたけど
あれは ガスがないと
やくに たたないよ!&lt;WAIT&gt;&lt;SPEAKER&gt;「それでも いいなら
使ってくださいよ ヘヘ おれ
今 はいてるんですよ</x:v>
      </x:c>
      <x:c r="E727" s="19" t="str">
        <x:v>&lt;SPEAKER&gt;Huh? Boots for
climbing rocky ground?&lt;WAIT&gt;&lt;SPEAKER&gt;We used them in
Deathvalley Mine, but they
are useless without gas.&lt;WAIT&gt;&lt;SPEAKER&gt;If you still want
them, go ahead. Heh heh...
I am wearing them now.</x:v>
      </x:c>
      <x:c r="F727" s="20" t="str"/>
      <x:c r="G727" s="20" t="str"/>
      <x:c r="H727" s="23" t="str">
        <x:v>SPEAKER NEWLINE WAIT SPEAKER NEWLINE NEWLINE WAIT SPEAKER NEWLINE NEWLINE END</x:v>
      </x:c>
      <x:c r="I727" s="23" t="str">
        <x:v>EA:B88F</x:v>
      </x:c>
      <x:c r="J727" s="23" t="str">
        <x:v>CC 48 75 68 3F 01 42 6F 6F 74 73 01 66 6F 72 C8 63 6C 69 6D 62 69 6E 67 01 72 6F 63 6B 79 01 67 72 6F 75 6E 64 3F C5 CC 57 65 01 75 73 65 64 01 74 68 65 6D 01 69 6E C8 44 65 61 74 68 76 61 6C 6C 65 79 01 4D 69 6E 65 2C 01 62 75 74 01 74 68 65 79 C8 61 72 65 01 75 73 65 6C 65 73 73 01 77 69 74 68 6F 75 74 01 67 61 73 2E C5 CC 49 66 01 79 6F 75 01 73 74 69 6C 6C 01 77 61 6E 74 C8 74 68 65 6D 2C 01 67 6F 01 61 68 65 61 64 2E 01 48 65 68 01 68 65 68 2E 2E 2E C8 49 01 61 6D 01 77 65 61 72 69 6E 67 01 74 68 65 6D 01 6E 6F 77 2E C0</x:v>
      </x:c>
      <x:c r="K727" s="23" t="str">
        <x:v>1CC 013 079 001 158 0A5 03C 001 028 084 02D 038 001 017 021 079 1C5 1CC 012 03D 001 10B 10C 084 022 001 123 03E 022 01F 018 084 023 1C8 010 039 029 001 084 047 04E 084 015 024 011 023 1C8 033 017 025 001 01F 01F 024 011 035 07A 1C5 1CC 01E 039 084 022 032 001 011 011 024 036 1C8 123 03E 022 017 084 01F 01A 011 035 001 05E 05E 001 014 039 1C8 150 001 029 011 022 038 03D 084 022 01C 035 1C0</x:v>
      </x:c>
    </x:row>
    <x:row r="728">
      <x:c r="A728" s="22" t="str">
        <x:f>"02"</x:f>
        <x:v>02</x:v>
      </x:c>
      <x:c r="B728" s="22" t="str">
        <x:f>"D6"</x:f>
        <x:v>D6</x:v>
      </x:c>
      <x:c r="C728" s="22" t="str">
        <x:f>"0x02D6"</x:f>
        <x:v>0x02D6</x:v>
      </x:c>
      <x:c r="D728" s="21" t="str">
        <x:v>&lt;SPEAKER&gt;「ちょっと くさいかも
しれないけど はい どーぞ!</x:v>
      </x:c>
      <x:c r="E728" s="19" t="str">
        <x:v>&lt;SPEAKER&gt;They might smell
a little, but here you go!</x:v>
      </x:c>
      <x:c r="F728" s="20" t="str"/>
      <x:c r="G728" s="20" t="str"/>
      <x:c r="H728" s="23" t="str">
        <x:v>SPEAKER NEWLINE END</x:v>
      </x:c>
      <x:c r="I728" s="23" t="str">
        <x:v>EA:B940</x:v>
      </x:c>
      <x:c r="J728" s="23" t="str">
        <x:v>CC 54 68 65 79 01 6D 69 67 68 74 01 73 6D 65 6C 6C C8 61 01 6C 69 74 74 6C 65 2C 01 62 75 74 01 68 65 72 65 01 79 6F 75 01 67 6F 21 C0</x:v>
      </x:c>
      <x:c r="K728" s="23" t="str">
        <x:v>1CC 020 041 03E 023 001 017 01A 011 015 032 1C8 01B 039 024 011 018 084 023 001 029 011 001 084 023 078 084 01E 07A 1C0</x:v>
      </x:c>
    </x:row>
    <x:row r="729">
      <x:c r="A729" s="22" t="str">
        <x:f>"02"</x:f>
        <x:v>02</x:v>
      </x:c>
      <x:c r="B729" s="22" t="str">
        <x:f>"D7"</x:f>
        <x:v>D7</x:v>
      </x:c>
      <x:c r="C729" s="22" t="str">
        <x:f>"0x02D7"</x:f>
        <x:v>0x02D7</x:v>
      </x:c>
      <x:c r="D729" s="21" t="str">
        <x:v>&lt;SPEAKER&gt;「さっそく はいてみますかい?</x:v>
      </x:c>
      <x:c r="E729" s="19" t="str">
        <x:v>&lt;SPEAKER&gt;Want to put
them on right away?</x:v>
      </x:c>
      <x:c r="F729" s="20" t="str"/>
      <x:c r="G729" s="20" t="str"/>
      <x:c r="H729" s="23" t="str">
        <x:v>SPEAKER NEWLINE END</x:v>
      </x:c>
      <x:c r="I729" s="23" t="str">
        <x:v>EA:B96D</x:v>
      </x:c>
      <x:c r="J729" s="23" t="str">
        <x:v>CC 57 61 6E 74 01 74 6F 01 70 75 74 C8 74 68 65 6D 01 6F 6E 01 72 69 67 68 74 01 61 77 61 79 3F C0</x:v>
      </x:c>
      <x:c r="K729" s="23" t="str">
        <x:v>1CC 01A 03E 01E 017 001 029 011 022 02F 02E 01C 015 011 079 1C0</x:v>
      </x:c>
    </x:row>
    <x:row r="730">
      <x:c r="A730" s="22" t="str">
        <x:f>"02"</x:f>
        <x:v>02</x:v>
      </x:c>
      <x:c r="B730" s="22" t="str">
        <x:f>"D8"</x:f>
        <x:v>D8</x:v>
      </x:c>
      <x:c r="C730" s="22" t="str">
        <x:f>"0x02D8"</x:f>
        <x:v>0x02D8</x:v>
      </x:c>
      <x:c r="D730" s="21" t="str">
        <x:v>&lt;SPEAKER&gt;「ロケットぐつを 装備して
ガスの 噴き出ている ところに
のれば ガスを ほきゅうできるよ&lt;WAIT&gt;&lt;SPEAKER&gt;「そして Aっと さけべば
すこしくらいの 高さなら
ジャンプできるよ&lt;WAIT&gt;&lt;SPEAKER&gt;「でも すぐ ガスが
なくなっちゃうけどね!</x:v>
      </x:c>
      <x:c r="E730" s="19" t="str">
        <x:v>&lt;SPEAKER&gt;Equip the Rocket
Boots and stand where gas
is blowing out to refuel.&lt;WAIT&gt;&lt;SPEAKER&gt;Then shout A
and you can jump over
small changes in height.&lt;WAIT&gt;&lt;SPEAKER&gt;The gas runs
out pretty fast, though!</x:v>
      </x:c>
      <x:c r="F730" s="20" t="str"/>
      <x:c r="G730" s="20" t="str"/>
      <x:c r="H730" s="23" t="str">
        <x:v>SPEAKER NEWLINE NEWLINE WAIT SPEAKER NEWLINE NEWLINE WAIT SPEAKER NEWLINE END</x:v>
      </x:c>
      <x:c r="I730" s="23" t="str">
        <x:v>EA:B98E</x:v>
      </x:c>
      <x:c r="J730" s="23" t="str">
        <x:v>CC 45 71 75 69 70 01 74 68 65 01 52 6F 63 6B 65 74 C8 42 6F 6F 74 73 01 61 6E 64 01 73 74 61 6E 64 01 77 68 65 72 65 01 67 61 73 C8 69 73 01 62 6C 6F 77 69 6E 67 01 6F 75 74 01 74 6F 01 72 65 66 75 65 6C 2E C5 CC 54 68 65 6E 01 73 68 6F 75 74 01 41 C8 61 6E 64 01 79 6F 75 01 63 61 6E 01 6A 75 6D 70 01 6F 76 65 72 C8 73 6D 61 6C 6C 01 63 68 61 6E 67 65 73 01 69 6E 01 68 65 69 67 68 74 2E C5 CC 54 68 65 01 67 61 73 01 72 75 6E 73 C8 6F 75 74 01 70 72 65 74 74 79 01 66 61 73 74 2C 01 74 68 6F 75 67 68 21 C0</x:v>
      </x:c>
      <x:c r="K730" s="23" t="str">
        <x:v>1CC 06C 04A 070 055 084 017 021 03C 001 0C2 0C4 01B 022 1C8 084 047 04E 028 001 117 016 106 022 011 038 001 023 019 03A 025 1C8 028 039 084 029 001 084 047 04E 03C 001 02D 016 040 012 084 022 016 038 035 1C5 1CC 01E 01B 022 001 16E 03E 023 001 01A 018 084 02C 084 029 1C8 01C 019 01B 017 036 011 028 001 105 01A 024 036 1C8 084 04D 071 06F 083 05D 084 022 016 038 035 1C5 1CC 084 022 032 001 01C 084 017 001 084 047 04E 084 015 1C8 024 017 024 03E 020 03F 012 018 084 023 027 07A 1C0</x:v>
      </x:c>
    </x:row>
    <x:row r="731">
      <x:c r="A731" s="22" t="str">
        <x:f>"02"</x:f>
        <x:v>02</x:v>
      </x:c>
      <x:c r="B731" s="22" t="str">
        <x:f>"D9"</x:f>
        <x:v>D9</x:v>
      </x:c>
      <x:c r="C731" s="22" t="str">
        <x:f>"0x02D9"</x:f>
        <x:v>0x02D9</x:v>
      </x:c>
      <x:c r="D731" s="21" t="str">
        <x:v>&lt;SPEAKER&gt;「こうみえても おれは あしが
ちいさいんですよ だから
レディさんにしか あわないよ&lt;WAIT&gt;&lt;SPEAKER&gt;「だから レディさんの
にもつを せいりして
また 来てくださいよ</x:v>
      </x:c>
      <x:c r="E731" s="19" t="str">
        <x:v>&lt;SPEAKER&gt;I may not look
it, but my feet are small.
They will only fit Lady.&lt;WAIT&gt;&lt;SPEAKER&gt;Make some room in
Lady's baggage and come back.</x:v>
      </x:c>
      <x:c r="F731" s="20" t="str"/>
      <x:c r="G731" s="20" t="str"/>
      <x:c r="H731" s="23" t="str">
        <x:v>SPEAKER NEWLINE NEWLINE WAIT SPEAKER NEWLINE END</x:v>
      </x:c>
      <x:c r="I731" s="23" t="str">
        <x:v>EA:BA38</x:v>
      </x:c>
      <x:c r="J731" s="23" t="str">
        <x:v>CC 49 01 6D 61 79 01 6E 6F 74 01 6C 6F 6F 6B C8 69 74 2C 01 62 75 74 01 6D 79 01 66 65 65 74 01 61 72 65 01 73 6D 61 6C 6C 2E C8 54 68 65 79 01 77 69 6C 6C 01 6F 6E 6C 79 01 66 69 74 01 4C 61 64 79 2E C5 CC 4D 61 6B 65 01 73 6F 6D 65 01 72 6F 6F 6D 01 69 6E C8 4C 61 64 79 27 73 01 62 61 67 67 61 67 65 01 61 6E 64 01 63 6F 6D 65 01 62 61 63 6B 2E C0</x:v>
      </x:c>
      <x:c r="K731" s="23" t="str">
        <x:v>1CC 019 012 02F 013 022 032 001 014 039 029 001 010 01B 084 015 1C8 020 011 01A 011 03D 084 022 01C 035 001 084 01F 015 036 1C8 06B 084 054 075 01A 03D 025 01B 015 001 010 03B 024 011 035 1C5 1CC 084 01F 015 036 001 06B 084 054 075 01A 03D 028 1C8 025 032 021 03C 001 01D 011 037 01B 022 1C8 02E 01F 001 097 022 017 084 01F 01A 011 035 1C0</x:v>
      </x:c>
    </x:row>
    <x:row r="732">
      <x:c r="A732" s="22" t="str">
        <x:f>"02"</x:f>
        <x:v>02</x:v>
      </x:c>
      <x:c r="B732" s="22" t="str">
        <x:f>"DA"</x:f>
        <x:v>DA</x:v>
      </x:c>
      <x:c r="C732" s="22" t="str">
        <x:f>"0x02DA"</x:f>
        <x:v>0x02DA</x:v>
      </x:c>
      <x:c r="D732" s="21" t="str">
        <x:v>&lt;CLEAR&gt;
ドドヘイは
ロケットぐつを装備した</x:v>
      </x:c>
      <x:c r="E732" s="19" t="str">
        <x:v>&lt;CLEAR&gt;Dodohei equipped
the Rocket Boots.</x:v>
      </x:c>
      <x:c r="F732" s="20" t="str"/>
      <x:c r="G732" s="20" t="str"/>
      <x:c r="H732" s="23" t="str">
        <x:v>CLEAR NEWLINE END</x:v>
      </x:c>
      <x:c r="I732" s="23" t="str">
        <x:v>EA:BAAD</x:v>
      </x:c>
      <x:c r="J732" s="23" t="str">
        <x:v>D0 44 6F 64 6F 68 65 69 01 65 71 75 69 70 70 65 64 C8 74 68 65 01 52 6F 63 6B 65 74 01 42 6F 6F 74 73 2E C0</x:v>
      </x:c>
      <x:c r="K732" s="23" t="str">
        <x:v>1D0 084 055 084 055 05E 043 029 1C8 06C 04A 070 055 084 017 021 03C 0C2 0C4 01B 01F 1C0</x:v>
      </x:c>
    </x:row>
    <x:row r="733">
      <x:c r="A733" s="22" t="str">
        <x:f>"02"</x:f>
        <x:v>02</x:v>
      </x:c>
      <x:c r="B733" s="22" t="str">
        <x:f>"DB"</x:f>
        <x:v>DB</x:v>
      </x:c>
      <x:c r="C733" s="22" t="str">
        <x:f>"0x02DB"</x:f>
        <x:v>0x02DB</x:v>
      </x:c>
      <x:c r="D733" s="21" t="str">
        <x:v>&lt;SPEAKER&gt;「ヘブリのやろう! 魔物が
変身していたんですよ!&lt;WAIT&gt;&lt;SPEAKER&gt;「レディさんを 鉱山に行かせて
そのあと すぐに ジェイビーに
ほうこくしていたんでさあ&lt;WAIT&gt;&lt;SPEAKER&gt;「いやはや すっかりだまされましたわ
あ そうそう うしろのきんこに
まものエキスが ありやすよ&lt;WAIT&gt;&lt;SPEAKER&gt;「そいつをのんで こんどは
魔物どもの すみかに
侵入して やりやしょうよ!</x:v>
      </x:c>
      <x:c r="E733" s="19" t="str">
        <x:v>&lt;SPEAKER&gt;That bastard Hebri
was a monster in disguise!&lt;WAIT&gt;&lt;SPEAKER&gt;He sent you to
Deathvalley Mine, then
immediately reported it to J.B.&lt;WAIT&gt;&lt;SPEAKER&gt;He really fooled all of
us. Oh, right. There is Monster
Extract in the safe behind me.&lt;WAIT&gt;&lt;SPEAKER&gt;Drink it, then infiltrate
the monsters' home this time!</x:v>
      </x:c>
      <x:c r="F733" s="20" t="str"/>
      <x:c r="G733" s="20" t="str"/>
      <x:c r="H733" s="23" t="str">
        <x:v>SPEAKER NEWLINE WAIT SPEAKER NEWLINE NEWLINE WAIT SPEAKER NEWLINE NEWLINE WAIT SPEAKER NEWLINE END</x:v>
      </x:c>
      <x:c r="I733" s="23" t="str">
        <x:v>EA:BAD1</x:v>
      </x:c>
      <x:c r="J733" s="23" t="str">
        <x:v>CC 54 68 61 74 01 62 61 73 74 61 72 64 01 48 65 62 72 69 C8 77 61 73 01 61 01 6D 6F 6E 73 74 65 72 01 69 6E 01 64 69 73 67 75 69 73 65 21 C5 CC 48 65 01 73 65 6E 74 01 79 6F 75 01 74 6F C8 44 65 61 74 68 76 61 6C 6C 65 79 01 4D 69 6E 65 2C 01 74 68 65 6E C8 69 6D 6D 65 64 69 61 74 65 6C 79 01 72 65 70 6F 72 74 65 64 01 69 74 01 74 6F 01 4A 2E 42 2E C5 CC 48 65 01 72 65 61 6C 6C 79 01 66 6F 6F 6C 65 64 01 61 6C 6C 01 6F 66 C8 75 73 2E 01 4F 68 2C 01 72 69 67 68 74 2E 01 54 68 65 72 65 01 69 73 01 4D 6F 6E 73 74 65 72 C8 45 78 74 72 61 63 74 01 69 6E 01 74 68 65 01 73 61 66 65 01 62 65 68 69 6E 64 01 6D 65 2E C5 CC 44 72 69 6E 6B 01 69 74 2C 01 74 68 65 6E 01 69 6E 66 69 6C 74 72 61 74 65 C8 74 68 65 01 6D 6F 6E 73 74 65 72 73 27 01 68 6F 6D 65 01 74 68 69 73 01 74 69 6D 65 21 C0</x:v>
      </x:c>
      <x:c r="K733" s="23" t="str">
        <x:v>1CC 05E 084 05D 069 028 033 03A 012 07A 001 09A 08B 084 015 1C8 178 1BA 01B 022 011 01F 03D 084 022 01C 035 07A 1C5 1CC 06B 084 054 075 01A 03D 03C 001 10B 10C 025 08D 015 01D 022 1C8 01E 028 010 023 001 01C 084 017 025 001 084 04D 076 043 084 05C 078 025 1C8 02D 012 019 017 01B 022 011 01F 03D 084 022 01A 010 1C5 1CC 011 033 029 033 001 01C 03E 015 037 084 01F 02E 01A 039 02E 01B 01F 03B 1C8 010 001 01E 012 01E 012 001 012 01B 03A 028 016 03D 019 025 1C8 02E 032 028 045 048 04E 084 015 001 010 037 033 01C 035 1C5 1CC 01E 011 021 03C 028 03D 084 022 001 019 03D 084 023 029 1C8 09A 08B 084 023 032 028 001 01C 02F 015 025 1C8 14D 08E 01B 022 001 033 037 033 01B 041 012 035 07A 1C0</x:v>
      </x:c>
    </x:row>
    <x:row r="734">
      <x:c r="A734" s="22" t="str">
        <x:f>"02"</x:f>
        <x:v>02</x:v>
      </x:c>
      <x:c r="B734" s="22" t="str">
        <x:f>"DC"</x:f>
        <x:v>DC</x:v>
      </x:c>
      <x:c r="C734" s="22" t="str">
        <x:f>"0x02DC"</x:f>
        <x:v>0x02DC</x:v>
      </x:c>
      <x:c r="D734" s="21" t="str">
        <x:v>&lt;SPEAKER&gt;「あんた 見かけん かおだな
ヘブリじいさんに あいさつ
しといたほうが いいよ</x:v>
      </x:c>
      <x:c r="E734" s="19" t="str">
        <x:v>&lt;SPEAKER&gt;I do not recognize
you. You should go introduce
yourself to old Hebri.</x:v>
      </x:c>
      <x:c r="F734" s="20" t="str"/>
      <x:c r="G734" s="20" t="str"/>
      <x:c r="H734" s="23" t="str">
        <x:v>SPEAKER NEWLINE NEWLINE END</x:v>
      </x:c>
      <x:c r="I734" s="23" t="str">
        <x:v>EA:BBD8</x:v>
      </x:c>
      <x:c r="J734" s="23" t="str">
        <x:v>CC 49 01 64 6F 01 6E 6F 74 01 72 65 63 6F 67 6E 69 7A 65 C8 79 6F 75 2E 01 59 6F 75 01 73 68 6F 75 6C 64 01 67 6F 01 69 6E 74 72 6F 64 75 63 65 C8 79 6F 75 72 73 65 6C 66 01 74 6F 01 6F 6C 64 01 48 65 62 72 69 2E C0</x:v>
      </x:c>
      <x:c r="K734" s="23" t="str">
        <x:v>1CC 010 03D 01F 001 090 015 018 03D 001 015 014 084 01F 024 1C8 05E 084 05D 069 084 01B 011 01A 03D 025 001 010 011 01A 021 1C8 01B 023 011 01F 02D 012 084 015 001 011 011 035 1C0</x:v>
      </x:c>
    </x:row>
    <x:row r="735">
      <x:c r="A735" s="22" t="str">
        <x:f>"02"</x:f>
        <x:v>02</x:v>
      </x:c>
      <x:c r="B735" s="22" t="str">
        <x:f>"DD"</x:f>
        <x:v>DD</x:v>
      </x:c>
      <x:c r="C735" s="22" t="str">
        <x:f>"0x02DD"</x:f>
        <x:v>0x02DD</x:v>
      </x:c>
      <x:c r="D735" s="21" t="str">
        <x:v>&lt;SPEAKER&gt;「レ レディさん!
なかまの かたきを
うってくだせえ!</x:v>
      </x:c>
      <x:c r="E735" s="19" t="str">
        <x:v>&lt;SPEAKER&gt;L-Lady! Please
avenge our friends!</x:v>
      </x:c>
      <x:c r="F735" s="20" t="str"/>
      <x:c r="G735" s="20" t="str"/>
      <x:c r="H735" s="23" t="str">
        <x:v>SPEAKER NEWLINE END</x:v>
      </x:c>
      <x:c r="I735" s="23" t="str">
        <x:v>EA:BC20</x:v>
      </x:c>
      <x:c r="J735" s="23" t="str">
        <x:v>CC 4C 2D 4C 61 64 79 21 01 50 6C 65 61 73 65 C8 61 76 65 6E 67 65 01 6F 75 72 01 66 72 69 65 6E 64 73 21 C0</x:v>
      </x:c>
      <x:c r="K735" s="23" t="str">
        <x:v>1CC 06B 001 06B 084 054 075 01A 03D 07A 1C8 024 015 02E 028 001 015 01F 016 03C 1C8 012 03E 022 017 084 01F 01D 013 07A 1C0</x:v>
      </x:c>
    </x:row>
    <x:row r="736">
      <x:c r="A736" s="22" t="str">
        <x:f>"02"</x:f>
        <x:v>02</x:v>
      </x:c>
      <x:c r="B736" s="22" t="str">
        <x:f>"DE"</x:f>
        <x:v>DE</x:v>
      </x:c>
      <x:c r="C736" s="22" t="str">
        <x:f>"0x02DE"</x:f>
        <x:v>0x02DE</x:v>
      </x:c>
      <x:c r="D736" s="21" t="str">
        <x:v>&lt;SPEAKER&gt;「ねーちゃん しんいりか?
かわいい かおして なに
わるさ したんだい?</x:v>
      </x:c>
      <x:c r="E736" s="19" t="str">
        <x:v>&lt;SPEAKER&gt;Hey, are you new here?
With a cute face like that, what
did you do to get locked up?</x:v>
      </x:c>
      <x:c r="F736" s="20" t="str"/>
      <x:c r="G736" s="20" t="str"/>
      <x:c r="H736" s="23" t="str">
        <x:v>SPEAKER NEWLINE NEWLINE END</x:v>
      </x:c>
      <x:c r="I736" s="23" t="str">
        <x:v>EA:BC44</x:v>
      </x:c>
      <x:c r="J736" s="23" t="str">
        <x:v>CC 48 65 79 2C 01 61 72 65 01 79 6F 75 01 6E 65 77 01 68 65 72 65 3F C8 57 69 74 68 01 61 01 63 75 74 65 01 66 61 63 65 01 6C 69 6B 65 01 74 68 61 74 2C 01 77 68 61 74 C8 64 69 64 01 79 6F 75 01 64 6F 01 74 6F 01 67 65 74 01 6C 6F 63 6B 65 64 01 75 70 3F C0</x:v>
      </x:c>
      <x:c r="K736" s="23" t="str">
        <x:v>1CC 027 078 020 03F 03D 001 01B 03D 011 037 015 079 1C8 015 03B 011 011 001 015 014 01B 022 001 024 025 1C8 03B 038 01A 001 01B 01F 03D 084 01F 011 079 1C0</x:v>
      </x:c>
    </x:row>
    <x:row r="737">
      <x:c r="A737" s="22" t="str">
        <x:f>"02"</x:f>
        <x:v>02</x:v>
      </x:c>
      <x:c r="B737" s="22" t="str">
        <x:f>"DF"</x:f>
        <x:v>DF</x:v>
      </x:c>
      <x:c r="C737" s="22" t="str">
        <x:f>"0x02DF"</x:f>
        <x:v>0x02DF</x:v>
      </x:c>
      <x:c r="D737" s="21" t="str">
        <x:v>&lt;SPEAKER&gt;「あの ジャンボやろうを
ぶちのめすためなら
なんでも てつだいますぜ!</x:v>
      </x:c>
      <x:c r="E737" s="19" t="str">
        <x:v>&lt;SPEAKER&gt;If it helps smash
that jumbo bastard, I
will do anything I can!</x:v>
      </x:c>
      <x:c r="F737" s="20" t="str"/>
      <x:c r="G737" s="20" t="str"/>
      <x:c r="H737" s="23" t="str">
        <x:v>SPEAKER NEWLINE NEWLINE END</x:v>
      </x:c>
      <x:c r="I737" s="23" t="str">
        <x:v>EA:BC9A</x:v>
      </x:c>
      <x:c r="J737" s="23" t="str">
        <x:v>CC 49 66 01 69 74 01 68 65 6C 70 73 01 73 6D 61 73 68 C8 74 68 61 74 01 6A 75 6D 62 6F 01 62 61 73 74 61 72 64 2C 01 49 C8 77 69 6C 6C 01 64 6F 01 61 6E 79 74 68 69 6E 67 01 49 01 63 61 6E 21 C0</x:v>
      </x:c>
      <x:c r="K737" s="23" t="str">
        <x:v>1CC 010 028 001 084 04D 071 06F 084 05F 033 03A 012 03C 1C8 084 02B 020 028 031 01C 01F 031 024 036 1C8 024 03D 084 022 032 001 022 021 084 01F 011 02E 01C 084 01D 07A 1C0</x:v>
      </x:c>
    </x:row>
    <x:row r="738">
      <x:c r="A738" s="22" t="str">
        <x:f>"02"</x:f>
        <x:v>02</x:v>
      </x:c>
      <x:c r="B738" s="22" t="str">
        <x:f>"E0"</x:f>
        <x:v>E0</x:v>
      </x:c>
      <x:c r="C738" s="22" t="str">
        <x:f>"0x02E0"</x:f>
        <x:v>0x02E0</x:v>
      </x:c>
      <x:c r="D738" s="21" t="str">
        <x:v>&lt;SPEAKER&gt;「お! ドドヘイかい?・・・
なんだ・・・ しんいりか・・&lt;WAIT&gt;&lt;SPEAKER&gt;「いや なに ともだちの
ドドヘイが 鉱山から 何日も
もどってこないんだよ&lt;WAIT&gt;&lt;SPEAKER&gt;「まあ あいつは タフだから
とまりこみで ガンガン
やってるとは 思うけどね</x:v>
      </x:c>
      <x:c r="E738" s="19" t="str">
        <x:v>&lt;SPEAKER&gt;Oh, Dodohei? ...
Oh. Just a newcomer...&lt;WAIT&gt;&lt;SPEAKER&gt;A friend of mine
named Dodohei has not come
back from the mine for days.&lt;WAIT&gt;&lt;SPEAKER&gt;He is tough, so I
figure he is just working
nonstop and sleeping there.</x:v>
      </x:c>
      <x:c r="F738" s="20" t="str"/>
      <x:c r="G738" s="20" t="str"/>
      <x:c r="H738" s="23" t="str">
        <x:v>SPEAKER NEWLINE WAIT SPEAKER NEWLINE NEWLINE WAIT SPEAKER NEWLINE NEWLINE END</x:v>
      </x:c>
      <x:c r="I738" s="23" t="str">
        <x:v>EA:BCDB</x:v>
      </x:c>
      <x:c r="J738" s="23" t="str">
        <x:v>CC 4F 68 2C 01 44 6F 64 6F 68 65 69 3F 01 2E 2E 2E C8 4F 68 2E 01 4A 75 73 74 01 61 01 6E 65 77 63 6F 6D 65 72 2E 2E 2E C5 CC 41 01 66 72 69 65 6E 64 01 6F 66 01 6D 69 6E 65 C8 6E 61 6D 65 64 01 44 6F 64 6F 68 65 69 01 68 61 73 01 6E 6F 74 01 63 6F 6D 65 C8 62 61 63 6B 01 66 72 6F 6D 01 74 68 65 01 6D 69 6E 65 01 66 6F 72 01 64 61 79 73 2E C5 CC 48 65 01 69 73 01 74 6F 75 67 68 2C 01 73 6F 01 49 C8 66 69 67 75 72 65 01 68 65 01 69 73 01 6A 75 73 74 01 77 6F 72 6B 69 6E 67 C8 6E 6F 6E 73 74 6F 70 01 61 6E 64 01 73 6C 65 65 70 69 6E 67 01 74 68 65 72 65 2E C0</x:v>
      </x:c>
      <x:c r="K738" s="23" t="str">
        <x:v>1CC 014 07A 001 084 055 084 055 05E 043 015 011 079 081 081 081 1C8 024 03D 084 01F 081 081 081 001 01B 03D 011 037 015 081 081 1C5 1CC 011 033 001 024 025 001 023 032 084 01F 020 028 1C8 084 055 084 055 05E 043 084 015 001 10B 10C 015 036 001 093 120 032 1C8 032 084 023 03E 022 019 024 011 03D 084 01F 035 1C5 1CC 02E 010 001 010 011 021 029 001 051 05D 084 01F 015 036 1C8 023 02E 037 019 02F 084 022 001 084 047 06F 084 047 06F 1C8 033 03E 022 038 023 029 001 10F 012 018 084 023 027 1C0</x:v>
      </x:c>
    </x:row>
    <x:row r="739">
      <x:c r="A739" s="22" t="str">
        <x:f>"02"</x:f>
        <x:v>02</x:v>
      </x:c>
      <x:c r="B739" s="22" t="str">
        <x:f>"E1"</x:f>
        <x:v>E1</x:v>
      </x:c>
      <x:c r="C739" s="22" t="str">
        <x:f>"0x02E1"</x:f>
        <x:v>0x02E1</x:v>
      </x:c>
      <x:c r="D739" s="21" t="str">
        <x:v>&lt;SPEAKER&gt;「なかまの かんづめは
とりあえず この町に はこんで
まいそう してやりました&lt;WAIT&gt;&lt;SPEAKER&gt;「それにしても かんづめだなんて
あの ジャンボベビーのやろう
人間を なめやがって!</x:v>
      </x:c>
      <x:c r="E739" s="19" t="str">
        <x:v>&lt;SPEAKER&gt;We brought our
canned friends back to
town and buried them.&lt;WAIT&gt;&lt;SPEAKER&gt;Still, canning people like
that... That jumbo baby bastard
treats humans like garbage!</x:v>
      </x:c>
      <x:c r="F739" s="20" t="str"/>
      <x:c r="G739" s="20" t="str"/>
      <x:c r="H739" s="23" t="str">
        <x:v>SPEAKER NEWLINE NEWLINE WAIT SPEAKER NEWLINE NEWLINE END</x:v>
      </x:c>
      <x:c r="I739" s="23" t="str">
        <x:v>EA:BD97</x:v>
      </x:c>
      <x:c r="J739" s="23" t="str">
        <x:v>CC 57 65 01 62 72 6F 75 67 68 74 01 6F 75 72 C8 63 61 6E 6E 65 64 01 66 72 69 65 6E 64 73 01 62 61 63 6B 01 74 6F C8 74 6F 77 6E 01 61 6E 64 01 62 75 72 69 65 64 01 74 68 65 6D 2E C5 CC 53 74 69 6C 6C 2C 01 63 61 6E 6E 69 6E 67 01 70 65 6F 70 6C 65 01 6C 69 6B 65 C8 74 68 61 74 2E 2E 2E 01 54 68 61 74 01 6A 75 6D 62 6F 01 62 61 62 79 01 62 61 73 74 61 72 64 C8 74 72 65 61 74 73 01 68 75 6D 61 6E 73 01 6C 69 6B 65 01 67 61 72 62 61 67 65 21 C0</x:v>
      </x:c>
      <x:c r="K739" s="23" t="str">
        <x:v>1CC 024 015 02E 028 001 015 03D 084 021 031 029 1C8 023 037 010 013 084 01C 001 019 028 0C9 025 001 029 019 03D 084 022 1C8 02E 011 01E 012 001 01B 022 033 037 02E 01B 01F 1C5 1CC 01E 039 025 01B 022 032 001 015 03D 084 021 031 084 01F 024 03D 022 1C8 010 028 001 084 04D 071 06F 084 05F 084 05E 084 05C 078 028 033 03A 012 1C8 091 0E3 03C 001 024 031 033 084 015 03E 022 07A 1C0</x:v>
      </x:c>
    </x:row>
    <x:row r="740">
      <x:c r="A740" s="22" t="str">
        <x:f>"02"</x:f>
        <x:v>02</x:v>
      </x:c>
      <x:c r="B740" s="22" t="str">
        <x:f>"E2"</x:f>
        <x:v>E2</x:v>
      </x:c>
      <x:c r="C740" s="22" t="str">
        <x:f>"0x02E2"</x:f>
        <x:v>0x02E2</x:v>
      </x:c>
      <x:c r="D740" s="21" t="str">
        <x:v>&lt;SPEAKER&gt;「おう しんいりか?・・・
ちょっと 部屋の すみまで
来いや!</x:v>
      </x:c>
      <x:c r="E740" s="19" t="str">
        <x:v>&lt;SPEAKER&gt;Oh, a newcomer? Come
over to the corner of the room.</x:v>
      </x:c>
      <x:c r="F740" s="20" t="str"/>
      <x:c r="G740" s="20" t="str"/>
      <x:c r="H740" s="23" t="str">
        <x:v>SPEAKER NEWLINE END</x:v>
      </x:c>
      <x:c r="I740" s="23" t="str">
        <x:v>EA:BE2C</x:v>
      </x:c>
      <x:c r="J740" s="23" t="str">
        <x:v>CC 4F 68 2C 01 61 01 6E 65 77 63 6F 6D 65 72 3F 01 43 6F 6D 65 C8 6F 76 65 72 01 74 6F 01 74 68 65 01 63 6F 72 6E 65 72 01 6F 66 01 74 68 65 01 72 6F 6F 6D 2E C0</x:v>
      </x:c>
      <x:c r="K740" s="23" t="str">
        <x:v>1CC 014 012 001 01B 03D 011 037 015 079 081 081 081 1C8 020 041 03E 023 001 0DA 0B3 028 001 01C 02F 02E 084 022 1C8 097 011 033 07A 1C0</x:v>
      </x:c>
    </x:row>
    <x:row r="741">
      <x:c r="A741" s="22" t="str">
        <x:f>"02"</x:f>
        <x:v>02</x:v>
      </x:c>
      <x:c r="B741" s="22" t="str">
        <x:f>"E3"</x:f>
        <x:v>E3</x:v>
      </x:c>
      <x:c r="C741" s="22" t="str">
        <x:f>"0x02E3"</x:f>
        <x:v>0x02E3</x:v>
      </x:c>
      <x:c r="D741" s="21" t="str">
        <x:v>&lt;SPEAKER&gt;「いまでも かんづめの ゆめを
見ることがあるんだよ&lt;WAIT&gt;&lt;SPEAKER&gt;「いつか ちびっちまいそうだから
ねるまえには いつも トイレに
行っておくんだ</x:v>
      </x:c>
      <x:c r="E741" s="19" t="str">
        <x:v>&lt;SPEAKER&gt;I still dream
about being canned.&lt;WAIT&gt;&lt;SPEAKER&gt;I am afraid I will wet
myself someday, so I always
use the toilet before bed.</x:v>
      </x:c>
      <x:c r="F741" s="20" t="str"/>
      <x:c r="G741" s="20" t="str"/>
      <x:c r="H741" s="23" t="str">
        <x:v>SPEAKER NEWLINE WAIT SPEAKER NEWLINE NEWLINE END</x:v>
      </x:c>
      <x:c r="I741" s="23" t="str">
        <x:v>EA:BE62</x:v>
      </x:c>
      <x:c r="J741" s="23" t="str">
        <x:v>CC 49 01 73 74 69 6C 6C 01 64 72 65 61 6D C8 61 62 6F 75 74 01 62 65 69 6E 67 01 63 61 6E 6E 65 64 2E C5 CC 49 01 61 6D 01 61 66 72 61 69 64 01 49 01 77 69 6C 6C 01 77 65 74 C8 6D 79 73 65 6C 66 01 73 6F 6D 65 64 61 79 2C 01 73 6F 01 49 01 61 6C 77 61 79 73 C8 75 73 65 01 74 68 65 01 74 6F 69 6C 65 74 01 62 65 66 6F 72 65 01 62 65 64 2E C0</x:v>
      </x:c>
      <x:c r="K741" s="23" t="str">
        <x:v>1CC 011 02E 084 022 032 001 015 03D 084 021 031 028 001 034 031 03C 1C8 090 038 019 023 084 015 010 038 03D 084 01F 035 1C5 1CC 011 021 015 001 020 084 02A 03E 020 02E 011 01E 012 084 01F 015 036 1C8 027 038 02E 013 025 029 001 011 021 032 001 055 043 06B 025 1C8 08D 03E 022 014 017 03D 084 01F 1C0</x:v>
      </x:c>
    </x:row>
    <x:row r="742">
      <x:c r="A742" s="22" t="str">
        <x:f>"02"</x:f>
        <x:v>02</x:v>
      </x:c>
      <x:c r="B742" s="22" t="str">
        <x:f>"E4"</x:f>
        <x:v>E4</x:v>
      </x:c>
      <x:c r="C742" s="22" t="str">
        <x:f>"0x02E4"</x:f>
        <x:v>0x02E4</x:v>
      </x:c>
      <x:c r="D742" s="21" t="str">
        <x:v>&lt;SPEAKER&gt;「お おれはよー・・・ こ 鉱山の
中で と とんでもないものを
見ちまったんだ&lt;WAIT&gt;&lt;SPEAKER&gt;「な なかまが うおお・・・</x:v>
      </x:c>
      <x:c r="E742" s="19" t="str">
        <x:v>&lt;SPEAKER&gt;I-I saw something
horrible inside Deathvalley Mine.&lt;WAIT&gt;&lt;SPEAKER&gt;O-our friends... Ugh...</x:v>
      </x:c>
      <x:c r="F742" s="20" t="str"/>
      <x:c r="G742" s="20" t="str"/>
      <x:c r="H742" s="23" t="str">
        <x:v>SPEAKER NEWLINE WAIT SPEAKER END</x:v>
      </x:c>
      <x:c r="I742" s="23" t="str">
        <x:v>EA:BED4</x:v>
      </x:c>
      <x:c r="J742" s="23" t="str">
        <x:v>CC 49 2D 49 01 73 61 77 01 73 6F 6D 65 74 68 69 6E 67 C8 68 6F 72 72 69 62 6C 65 01 69 6E 73 69 64 65 01 44 65 61 74 68 76 61 6C 6C 65 79 01 4D 69 6E 65 2E C5 CC 4F 2D 6F 75 72 01 66 72 69 65 6E 64 73 2E 2E 2E 01 55 67 68 2E 2E 2E C0</x:v>
      </x:c>
      <x:c r="K742" s="23" t="str">
        <x:v>1CC 014 001 014 039 029 035 078 081 081 081 001 019 001 10B 10C 028 1C8 0A1 084 022 001 023 001 023 03D 084 022 032 024 011 032 028 03C 1C8 090 020 02E 03E 01F 03D 084 01F 1C5 1CC 024 001 024 015 02E 084 015 001 012 014 014 081 081 081 1C0</x:v>
      </x:c>
    </x:row>
    <x:row r="743">
      <x:c r="A743" s="22" t="str">
        <x:f>"02"</x:f>
        <x:v>02</x:v>
      </x:c>
      <x:c r="B743" s="22" t="str">
        <x:f>"E5"</x:f>
        <x:v>E5</x:v>
      </x:c>
      <x:c r="C743" s="22" t="str">
        <x:f>"0x02E5"</x:f>
        <x:v>0x02E5</x:v>
      </x:c>
      <x:c r="D743" s="21" t="str">
        <x:v>&lt;SPEAKER&gt;「や やっぱり いえねえ・・
誰も しんようできねえ!</x:v>
      </x:c>
      <x:c r="E743" s="19" t="str">
        <x:v>&lt;SPEAKER&gt;I-I cannot say it after
all... I cannot trust anyone!</x:v>
      </x:c>
      <x:c r="F743" s="20" t="str"/>
      <x:c r="G743" s="20" t="str"/>
      <x:c r="H743" s="23" t="str">
        <x:v>SPEAKER NEWLINE END</x:v>
      </x:c>
      <x:c r="I743" s="23" t="str">
        <x:v>EA:BF22</x:v>
      </x:c>
      <x:c r="J743" s="23" t="str">
        <x:v>CC 49 2D 49 01 63 61 6E 6E 6F 74 01 73 61 79 01 69 74 01 61 66 74 65 72 C8 61 6C 6C 2E 2E 2E 01 49 01 63 61 6E 6E 6F 74 01 74 72 75 73 74 01 61 6E 79 6F 6E 65 21 C0</x:v>
      </x:c>
      <x:c r="K743" s="23" t="str">
        <x:v>1CC 033 001 033 03E 083 029 037 001 011 013 027 013 081 081 1C8 0FA 032 001 01B 03D 035 012 084 022 016 027 013 07A 1C0</x:v>
      </x:c>
    </x:row>
    <x:row r="744">
      <x:c r="A744" s="22" t="str">
        <x:f>"02"</x:f>
        <x:v>02</x:v>
      </x:c>
      <x:c r="B744" s="22" t="str">
        <x:f>"E6"</x:f>
        <x:v>E6</x:v>
      </x:c>
      <x:c r="C744" s="22" t="str">
        <x:f>"0x02E6"</x:f>
        <x:v>0x02E6</x:v>
      </x:c>
      <x:c r="D744" s="21" t="str">
        <x:v>&lt;SPEAKER&gt;「おれは シャバでも さかばの
マスターを やってたんだ&lt;WAIT&gt;&lt;SPEAKER&gt;「お嬢さんには うーん・・・
ロリフル パンチという
カクテルが にあいかな&lt;WAIT&gt;&lt;SPEAKER&gt;「ナタ・デ・モモ入りだよ</x:v>
      </x:c>
      <x:c r="E744" s="19" t="str">
        <x:v>&lt;SPEAKER&gt;Back on the
outside, I ran a bar.&lt;WAIT&gt;&lt;SPEAKER&gt;For you, miss...
Hmm... A cocktail called a
Loliful Punch would suit you.&lt;WAIT&gt;&lt;SPEAKER&gt;It has nata-de-momo in it.</x:v>
      </x:c>
      <x:c r="F744" s="20" t="str"/>
      <x:c r="G744" s="20" t="str"/>
      <x:c r="H744" s="23" t="str">
        <x:v>SPEAKER NEWLINE WAIT SPEAKER NEWLINE NEWLINE WAIT SPEAKER END</x:v>
      </x:c>
      <x:c r="I744" s="23" t="str">
        <x:v>EA:BF59</x:v>
      </x:c>
      <x:c r="J744" s="23" t="str">
        <x:v>CC 42 61 63 6B 01 6F 6E 01 74 68 65 C8 6F 75 74 73 69 64 65 2C 01 49 01 72 61 6E 01 61 01 62 61 72 2E C5 CC 46 6F 72 01 79 6F 75 2C 01 6D 69 73 73 2E 2E 2E C8 48 6D 6D 2E 2E 2E 01 41 01 63 6F 63 6B 74 61 69 6C 01 63 61 6C 6C 65 64 01 61 C8 4C 6F 6C 69 66 75 6C 01 50 75 6E 63 68 01 77 6F 75 6C 64 01 73 75 69 74 01 79 6F 75 2E C5 CC 49 74 01 68 61 73 01 6E 61 74 61 2D 64 65 2D 6D 6F 6D 6F 01 69 6E 01 69 74 2E C0</x:v>
      </x:c>
      <x:c r="K744" s="23" t="str">
        <x:v>1CC 014 039 029 001 04D 071 084 05B 084 022 032 001 01A 015 084 029 028 1C8 060 04E 051 078 03C 001 033 03E 022 01F 03D 084 01F 1C5 1CC 014 0D8 01A 03D 025 029 001 012 078 03D 081 081 081 1C8 06C 069 05D 06A 001 083 05B 06F 052 023 011 012 1C8 047 049 054 06A 084 015 001 025 010 011 015 024 1C5 1CC 056 051 081 084 054 081 064 064 08E 037 084 01F 035 1C0</x:v>
      </x:c>
    </x:row>
    <x:row r="745">
      <x:c r="A745" s="22" t="str">
        <x:f>"02"</x:f>
        <x:v>02</x:v>
      </x:c>
      <x:c r="B745" s="22" t="str">
        <x:f>"E7"</x:f>
        <x:v>E7</x:v>
      </x:c>
      <x:c r="C745" s="22" t="str">
        <x:f>"0x02E7"</x:f>
        <x:v>0x02E7</x:v>
      </x:c>
      <x:c r="D745" s="21" t="str">
        <x:v>&lt;SPEAKER&gt;「ないしょだけどよ おれは
あの ジャンボ ベビーバロンが
だいっきれえ なんだよ&lt;WAIT&gt;&lt;SPEAKER&gt;「なんだかんだ たいぐうは
よくしてくれるんだけどよ&lt;WAIT&gt;&lt;SPEAKER&gt;「いまいち しんようが
できねえんだよ ういー</x:v>
      </x:c>
      <x:c r="E745" s="19" t="str">
        <x:v>&lt;SPEAKER&gt;Keep this quiet, but I
hate that jumbo Baby Baron.&lt;WAIT&gt;&lt;SPEAKER&gt;Sure, they treat us
pretty well, all things considered.&lt;WAIT&gt;&lt;SPEAKER&gt;But I just
cannot trust him. Hic.</x:v>
      </x:c>
      <x:c r="F745" s="20" t="str"/>
      <x:c r="G745" s="20" t="str"/>
      <x:c r="H745" s="23" t="str">
        <x:v>SPEAKER NEWLINE WAIT SPEAKER NEWLINE WAIT SPEAKER NEWLINE END</x:v>
      </x:c>
      <x:c r="I745" s="23" t="str">
        <x:v>EA:BFE3</x:v>
      </x:c>
      <x:c r="J745" s="23" t="str">
        <x:v>CC 4B 65 65 70 01 74 68 69 73 01 71 75 69 65 74 2C 01 62 75 74 01 49 C8 68 61 74 65 01 74 68 61 74 01 6A 75 6D 62 6F 01 42 61 62 79 01 42 61 72 6F 6E 2E C5 CC 53 75 72 65 2C 01 74 68 65 79 01 74 72 65 61 74 01 75 73 C8 70 72 65 74 74 79 01 77 65 6C 6C 2C 01 61 6C 6C 01 74 68 69 6E 67 73 01 63 6F 6E 73 69 64 65 72 65 64 2E C5 CC 42 75 74 01 49 01 6A 75 73 74 C8 63 61 6E 6E 6F 74 01 74 72 75 73 74 01 68 69 6D 2E 01 48 69 63 2E C0</x:v>
      </x:c>
      <x:c r="K745" s="23" t="str">
        <x:v>1CC 024 011 01B 041 084 01F 018 084 023 035 001 014 039 029 1C8 010 028 001 084 04D 071 06F 084 05F 001 084 05E 084 05C 078 084 05B 06C 06F 084 015 1C8 084 01F 011 03E 016 039 013 001 024 03D 084 01F 035 1C5 1CC 024 03D 084 01F 015 03D 084 01F 001 01F 011 084 017 012 029 1C8 035 017 01B 022 017 039 038 03D 084 01F 018 084 023 035 1C5 1CC 011 02E 011 020 001 01B 03D 035 012 084 015 1C8 084 022 016 027 013 03D 084 01F 035 001 012 011 078 1C0</x:v>
      </x:c>
    </x:row>
    <x:row r="746">
      <x:c r="A746" s="22" t="str">
        <x:f>"02"</x:f>
        <x:v>02</x:v>
      </x:c>
      <x:c r="B746" s="22" t="str">
        <x:f>"E8"</x:f>
        <x:v>E8</x:v>
      </x:c>
      <x:c r="C746" s="22" t="str">
        <x:f>"0x02E8"</x:f>
        <x:v>0x02E8</x:v>
      </x:c>
      <x:c r="D746" s="21" t="str">
        <x:v>&lt;CLEAR&gt;
へんじがない
にんぎょうのようだ</x:v>
      </x:c>
      <x:c r="E746" s="19" t="str">
        <x:v>&lt;CLEAR&gt;No response. It
seems to be a doll.</x:v>
      </x:c>
      <x:c r="F746" s="20" t="str"/>
      <x:c r="G746" s="20" t="str"/>
      <x:c r="H746" s="23" t="str">
        <x:v>CLEAR NEWLINE END</x:v>
      </x:c>
      <x:c r="I746" s="23" t="str">
        <x:v>EA:C073</x:v>
      </x:c>
      <x:c r="J746" s="23" t="str">
        <x:v>D0 4E 6F 01 72 65 73 70 6F 6E 73 65 2E 01 49 74 C8 73 65 65 6D 73 01 74 6F 01 62 65 01 61 01 64 6F 6C 6C 2E C0</x:v>
      </x:c>
      <x:c r="K746" s="23" t="str">
        <x:v>1D0 02C 03D 084 01B 084 015 024 011 1C8 025 03D 084 016 041 012 028 035 012 084 01F 1C0</x:v>
      </x:c>
    </x:row>
    <x:row r="747">
      <x:c r="A747" s="22" t="str">
        <x:f>"02"</x:f>
        <x:v>02</x:v>
      </x:c>
      <x:c r="B747" s="22" t="str">
        <x:f>"E9"</x:f>
        <x:v>E9</x:v>
      </x:c>
      <x:c r="C747" s="22" t="str">
        <x:f>"0x02E9"</x:f>
        <x:v>0x02E9</x:v>
      </x:c>
      <x:c r="D747" s="21" t="str">
        <x:v>&lt;SPEAKER&gt;「その子は さかばの
アイドル にんぎょうの
リルちゃんって いうんだ</x:v>
      </x:c>
      <x:c r="E747" s="19" t="str">
        <x:v>&lt;SPEAKER&gt;That is Lil, the
tavern's mascot doll.</x:v>
      </x:c>
      <x:c r="F747" s="20" t="str"/>
      <x:c r="G747" s="20" t="str"/>
      <x:c r="H747" s="23" t="str">
        <x:v>SPEAKER NEWLINE END</x:v>
      </x:c>
      <x:c r="I747" s="23" t="str">
        <x:v>EA:C098</x:v>
      </x:c>
      <x:c r="J747" s="23" t="str">
        <x:v>CC 54 68 61 74 01 69 73 01 4C 69 6C 2C 01 74 68 65 C8 74 61 76 65 72 6E 27 73 01 6D 61 73 63 6F 74 01 64 6F 6C 6C 2E C0</x:v>
      </x:c>
      <x:c r="K747" s="23" t="str">
        <x:v>1CC 01E 028 0D2 029 001 01A 015 084 029 028 1C8 042 043 084 055 06A 001 025 03D 084 016 041 012 028 1C8 069 06A 020 03F 03D 03E 022 001 011 012 03D 084 01F 1C0</x:v>
      </x:c>
    </x:row>
    <x:row r="748">
      <x:c r="A748" s="22" t="str">
        <x:f>"02"</x:f>
        <x:v>02</x:v>
      </x:c>
      <x:c r="B748" s="22" t="str">
        <x:f>"EA"</x:f>
        <x:v>EA</x:v>
      </x:c>
      <x:c r="C748" s="22" t="str">
        <x:f>"0x02EA"</x:f>
        <x:v>0x02EA</x:v>
      </x:c>
      <x:c r="D748" s="21" t="str">
        <x:v>&lt;SPEAKER&gt;「おれたち 鉱山へ さぎょうに
行くまえには かならず
リルちゃんに チューしていくんだ&lt;WAIT&gt;&lt;SPEAKER&gt;「まあ さぎょう あんぜんの
おまじない みたいな もんよ</x:v>
      </x:c>
      <x:c r="E748" s="19" t="str">
        <x:v>&lt;SPEAKER&gt;Before we go
work in the mine, we
always give Lil a kiss.&lt;WAIT&gt;&lt;SPEAKER&gt;It is sort of a
good-luck charm for a
safe day on the job.</x:v>
      </x:c>
      <x:c r="F748" s="20" t="str"/>
      <x:c r="G748" s="20" t="str"/>
      <x:c r="H748" s="23" t="str">
        <x:v>SPEAKER NEWLINE NEWLINE WAIT SPEAKER NEWLINE NEWLINE END</x:v>
      </x:c>
      <x:c r="I748" s="23" t="str">
        <x:v>EA:C0C0</x:v>
      </x:c>
      <x:c r="J748" s="23" t="str">
        <x:v>CC 42 65 66 6F 72 65 01 77 65 01 67 6F C8 77 6F 72 6B 01 69 6E 01 74 68 65 01 6D 69 6E 65 2C 01 77 65 C8 61 6C 77 61 79 73 01 67 69 76 65 01 4C 69 6C 01 61 01 6B 69 73 73 2E C5 CC 49 74 01 69 73 01 73 6F 72 74 01 6F 66 01 61 C8 67 6F 6F 64 2D 6C 75 63 6B 01 63 68 61 72 6D 01 66 6F 72 01 61 C8 73 61 66 65 01 64 61 79 01 6F 6E 01 74 68 65 01 6A 6F 62 2E C0</x:v>
      </x:c>
      <x:c r="K748" s="23" t="str">
        <x:v>1CC 014 039 01F 020 001 10B 10C 02C 001 01A 084 016 041 012 025 1C8 08D 017 02E 013 025 029 001 015 024 036 084 01C 1C8 069 06A 020 03F 03D 025 001 052 072 078 01B 022 011 017 03D 084 01F 1C5 1CC 02E 010 001 01A 084 016 041 012 001 010 03D 084 01D 03D 028 1C8 014 02E 084 01B 024 011 001 02F 01F 011 024 001 032 03D 035 1C0</x:v>
      </x:c>
    </x:row>
    <x:row r="749">
      <x:c r="A749" s="22" t="str">
        <x:f>"02"</x:f>
        <x:v>02</x:v>
      </x:c>
      <x:c r="B749" s="22" t="str">
        <x:f>"EB"</x:f>
        <x:v>EB</x:v>
      </x:c>
      <x:c r="C749" s="22" t="str">
        <x:f>"0x02EB"</x:f>
        <x:v>0x02EB</x:v>
      </x:c>
      <x:c r="D749" s="21" t="str">
        <x:v>&lt;SPEAKER&gt;「くわー! さぎょうの あとの
さけは うまいなー グピグピ&lt;WAIT&gt;&lt;SPEAKER&gt;「そうそう なんか 鉱山の
下の ほうで 何かが
みつかった とか いってたな&lt;WAIT&gt;&lt;SPEAKER&gt;「くわしいことは よく
わからんけどな グピグピ</x:v>
      </x:c>
      <x:c r="E749" s="19" t="str">
        <x:v>&lt;SPEAKER&gt;Ahh! Booze after a day's
work is the best! Glug, glug.&lt;WAIT&gt;&lt;SPEAKER&gt;Oh, right. They said they
found something down in the
lower part of Deathvalley Mine.&lt;WAIT&gt;&lt;SPEAKER&gt;I do not
know the details. Glug.</x:v>
      </x:c>
      <x:c r="F749" s="20" t="str"/>
      <x:c r="G749" s="20" t="str"/>
      <x:c r="H749" s="23" t="str">
        <x:v>SPEAKER NEWLINE WAIT SPEAKER NEWLINE NEWLINE WAIT SPEAKER NEWLINE END</x:v>
      </x:c>
      <x:c r="I749" s="23" t="str">
        <x:v>EA:C137</x:v>
      </x:c>
      <x:c r="J749" s="23" t="str">
        <x:v>CC 41 68 68 21 01 42 6F 6F 7A 65 01 61 66 74 65 72 01 61 01 64 61 79 27 73 C8 77 6F 72 6B 01 69 73 01 74 68 65 01 62 65 73 74 21 01 47 6C 75 67 2C 01 67 6C 75 67 2E C5 CC 4F 68 2C 01 72 69 67 68 74 2E 01 54 68 65 79 01 73 61 69 64 01 74 68 65 79 C8 66 6F 75 6E 64 01 73 6F 6D 65 74 68 69 6E 67 01 64 6F 77 6E 01 69 6E 01 74 68 65 C8 6C 6F 77 65 72 01 70 61 72 74 01 6F 66 01 44 65 61 74 68 76 61 6C 6C 65 79 01 4D 69 6E 65 2E C5 CC 49 01 64 6F 01 6E 6F 74 C8 6B 6E 6F 77 01 74 68 65 01 64 65 74 61 69 6C 73 2E 01 47 6C 75 67 2E C0</x:v>
      </x:c>
      <x:c r="K749" s="23" t="str">
        <x:v>1CC 017 03B 078 07A 001 01A 084 016 041 012 028 001 010 023 028 1C8 01A 018 029 001 012 02E 011 024 078 001 084 049 083 05C 084 049 083 05C 1C5 1CC 01E 012 01E 012 001 024 03D 015 001 10B 10C 028 1C8 0B8 028 001 02D 012 084 022 001 093 015 084 015 1C8 02F 021 015 03E 01F 001 023 015 001 011 03E 022 01F 024 1C5 1CC 017 03B 01B 011 019 023 029 001 035 017 1C8 03B 015 036 03D 018 084 023 024 001 084 049 083 05C 084 049 083 05C 1C0</x:v>
      </x:c>
    </x:row>
    <x:row r="750">
      <x:c r="A750" s="22" t="str">
        <x:f>"02"</x:f>
        <x:v>02</x:v>
      </x:c>
      <x:c r="B750" s="22" t="str">
        <x:f>"EC"</x:f>
        <x:v>EC</x:v>
      </x:c>
      <x:c r="C750" s="22" t="str">
        <x:f>"0x02EC"</x:f>
        <x:v>0x02EC</x:v>
      </x:c>
      <x:c r="D750" s="21" t="str">
        <x:v>&lt;SPEAKER&gt;「さかばの マスターってのは
何が おこっても つねに
れいせいでいないとね!</x:v>
      </x:c>
      <x:c r="E750" s="19" t="str">
        <x:v>&lt;SPEAKER&gt;A bartender must stay
calm no matter what happens!</x:v>
      </x:c>
      <x:c r="F750" s="20" t="str"/>
      <x:c r="G750" s="20" t="str"/>
      <x:c r="H750" s="23" t="str">
        <x:v>SPEAKER NEWLINE END</x:v>
      </x:c>
      <x:c r="I750" s="23" t="str">
        <x:v>EA:C1E8</x:v>
      </x:c>
      <x:c r="J750" s="23" t="str">
        <x:v>CC 41 01 62 61 72 74 65 6E 64 65 72 01 6D 75 73 74 01 73 74 61 79 C8 63 61 6C 6D 01 6E 6F 01 6D 61 74 74 65 72 01 77 68 61 74 01 68 61 70 70 65 6E 73 21 C0</x:v>
      </x:c>
      <x:c r="K750" s="23" t="str">
        <x:v>1CC 01A 015 084 029 028 001 060 04E 051 078 03E 022 028 029 1C8 093 084 015 001 014 019 03E 022 032 001 021 027 025 1C8 039 011 01D 011 084 022 011 024 011 023 027 07A 1C0</x:v>
      </x:c>
    </x:row>
    <x:row r="751">
      <x:c r="A751" s="22" t="str">
        <x:f>"02"</x:f>
        <x:v>02</x:v>
      </x:c>
      <x:c r="B751" s="22" t="str">
        <x:f>"ED"</x:f>
        <x:v>ED</x:v>
      </x:c>
      <x:c r="C751" s="22" t="str">
        <x:f>"0x02ED"</x:f>
        <x:v>0x02ED</x:v>
      </x:c>
      <x:c r="D751" s="21" t="str">
        <x:v>&lt;SPEAKER&gt;「な! な! やっぱり
おれの いったとおりだろ!&lt;WAIT&gt;&lt;SPEAKER&gt;「あの ジャンボベビーのやつ!&lt;WAIT&gt;&lt;SPEAKER&gt;「きっと 世界中の
人間を かんづめにして
食べる つもりだぞ!</x:v>
      </x:c>
      <x:c r="E751" s="19" t="str">
        <x:v>&lt;SPEAKER&gt;See?! See?! I told you so!&lt;WAIT&gt;&lt;SPEAKER&gt;That jumbo baby bastard!&lt;WAIT&gt;&lt;SPEAKER&gt;I bet he plans to
can up every human in
the world and eat them!</x:v>
      </x:c>
      <x:c r="F751" s="20" t="str"/>
      <x:c r="G751" s="20" t="str"/>
      <x:c r="H751" s="23" t="str">
        <x:v>SPEAKER WAIT SPEAKER WAIT SPEAKER NEWLINE NEWLINE END</x:v>
      </x:c>
      <x:c r="I751" s="23" t="str">
        <x:v>EA:C21C</x:v>
      </x:c>
      <x:c r="J751" s="23" t="str">
        <x:v>CC 53 65 65 3F 21 01 53 65 65 3F 21 01 49 01 74 6F 6C 64 01 79 6F 75 01 73 6F 21 C5 CC 54 68 61 74 01 6A 75 6D 62 6F 01 62 61 62 79 01 62 61 73 74 61 72 64 21 C5 CC 49 01 62 65 74 01 68 65 01 70 6C 61 6E 73 01 74 6F C8 63 61 6E 01 75 70 01 65 76 65 72 79 01 68 75 6D 61 6E 01 69 6E C8 74 68 65 01 77 6F 72 6C 64 01 61 6E 64 01 65 61 74 01 74 68 65 6D 21 C0</x:v>
      </x:c>
      <x:c r="K751" s="23" t="str">
        <x:v>1CC 024 07A 001 024 07A 001 033 03E 083 029 037 1C8 014 039 028 001 011 03E 01F 023 014 037 084 01F 03A 07A 1C5 1CC 010 028 001 084 04D 071 06F 084 05F 084 05E 084 05C 078 028 033 021 07A 1C5 1CC 016 03E 023 001 0A9 103 0A1 028 1C8 091 0E3 03C 001 015 03D 084 021 031 025 01B 022 1C8 0E4 084 02C 038 001 021 032 037 084 01F 084 01E 07A 1C0</x:v>
      </x:c>
    </x:row>
    <x:row r="752">
      <x:c r="A752" s="22" t="str">
        <x:f>"02"</x:f>
        <x:v>02</x:v>
      </x:c>
      <x:c r="B752" s="22" t="str">
        <x:f>"EE"</x:f>
        <x:v>EE</x:v>
      </x:c>
      <x:c r="C752" s="22" t="str">
        <x:f>"0x02EE"</x:f>
        <x:v>0x02EE</x:v>
      </x:c>
      <x:c r="D752" s="21" t="str">
        <x:v>&lt;SPEAKER&gt;「くそー! どさくさに
まぎれて リルちゃんが
ぬすまれてしまった!&lt;WAIT&gt;&lt;SPEAKER&gt;「ジェイビーも にくたらしいけど
リルちゃんを ぬすんだやつは
100倍 にくたらしいぞ!&lt;WAIT&gt;&lt;SPEAKER&gt;「おれの リルちゃんを
かえせよー かえせよー!</x:v>
      </x:c>
      <x:c r="E752" s="19" t="str">
        <x:v>&lt;SPEAKER&gt;Damn it! In all the
confusion, someone stole Lil!&lt;WAIT&gt;&lt;SPEAKER&gt;J.B. makes me mad,
but whoever stole Lil makes
me a hundred times madder!&lt;WAIT&gt;&lt;SPEAKER&gt;Give me back
my Lil! Give her back!</x:v>
      </x:c>
      <x:c r="F752" s="20" t="str"/>
      <x:c r="G752" s="20" t="str"/>
      <x:c r="H752" s="23" t="str">
        <x:v>SPEAKER NEWLINE WAIT SPEAKER NEWLINE NEWLINE WAIT SPEAKER NEWLINE END</x:v>
      </x:c>
      <x:c r="I752" s="23" t="str">
        <x:v>EA:C293</x:v>
      </x:c>
      <x:c r="J752" s="23" t="str">
        <x:v>CC 44 61 6D 6E 01 69 74 21 01 49 6E 01 61 6C 6C 01 74 68 65 C8 63 6F 6E 66 75 73 69 6F 6E 2C 01 73 6F 6D 65 6F 6E 65 01 73 74 6F 6C 65 01 4C 69 6C 21 C5 CC 4A 2E 42 2E 01 6D 61 6B 65 73 01 6D 65 01 6D 61 64 2C C8 62 75 74 01 77 68 6F 65 76 65 72 01 73 74 6F 6C 65 01 4C 69 6C 01 6D 61 6B 65 73 C8 6D 65 01 61 01 68 75 6E 64 72 65 64 01 74 69 6D 65 73 01 6D 61 64 64 65 72 21 C5 CC 47 69 76 65 01 6D 65 01 62 61 63 6B C8 6D 79 01 4C 69 6C 21 01 47 69 76 65 01 68 65 72 01 62 61 63 6B 21 C0</x:v>
      </x:c>
      <x:c r="K752" s="23" t="str">
        <x:v>1CC 017 01E 078 07A 001 084 023 01A 017 01A 025 1C8 02E 084 016 039 022 001 069 06A 020 03F 03D 084 015 1C8 026 01C 02E 039 022 01B 02E 03E 01F 07A 1C5 1CC 084 04D 076 043 084 05C 078 032 001 025 017 01F 036 01B 011 018 084 023 1C8 069 06A 020 03F 03D 03C 001 026 01C 03D 084 01F 033 021 029 1C8 003 002 002 17F 001 025 017 01F 036 01B 011 084 01E 07A 1C5 1CC 014 039 028 001 069 06A 020 03F 03D 03C 1C8 015 013 01D 035 078 001 015 013 01D 035 078 07A 1C0</x:v>
      </x:c>
    </x:row>
    <x:row r="753">
      <x:c r="A753" s="22" t="str">
        <x:f>"02"</x:f>
        <x:v>02</x:v>
      </x:c>
      <x:c r="B753" s="22" t="str">
        <x:f>"EF"</x:f>
        <x:v>EF</x:v>
      </x:c>
      <x:c r="C753" s="22" t="str">
        <x:f>"0x02EF"</x:f>
        <x:v>0x02EF</x:v>
      </x:c>
      <x:c r="D753" s="21" t="str">
        <x:v>&lt;SPEAKER&gt;「うわっ! それは おれの
リルちゃん! うわーい!</x:v>
      </x:c>
      <x:c r="E753" s="19" t="str">
        <x:v>&lt;SPEAKER&gt;Whoa! That
is my Lil! Yaaay!</x:v>
      </x:c>
      <x:c r="F753" s="20" t="str"/>
      <x:c r="G753" s="20" t="str"/>
      <x:c r="H753" s="23" t="str">
        <x:v>SPEAKER NEWLINE END</x:v>
      </x:c>
      <x:c r="I753" s="23" t="str">
        <x:v>EA:C336</x:v>
      </x:c>
      <x:c r="J753" s="23" t="str">
        <x:v>CC 57 68 6F 61 21 01 54 68 61 74 C8 69 73 01 6D 79 01 4C 69 6C 21 01 59 61 61 61 79 21 C0</x:v>
      </x:c>
      <x:c r="K753" s="23" t="str">
        <x:v>1CC 012 03B 03E 07A 001 01E 039 029 001 014 039 028 1C8 069 06A 020 03F 03D 07A 001 012 03B 078 011 07A 1C0</x:v>
      </x:c>
    </x:row>
    <x:row r="754">
      <x:c r="A754" s="22" t="str">
        <x:f>"02"</x:f>
        <x:v>02</x:v>
      </x:c>
      <x:c r="B754" s="22" t="str">
        <x:f>"F0"</x:f>
        <x:v>F0</x:v>
      </x:c>
      <x:c r="C754" s="22" t="str">
        <x:f>"0x02F0"</x:f>
        <x:v>0x02F0</x:v>
      </x:c>
      <x:c r="D754" s="21" t="str">
        <x:v>&lt;CLEAR&gt;
おっさんは リルちゃんを
だきしめて よろこんでいる</x:v>
      </x:c>
      <x:c r="E754" s="19" t="str">
        <x:v>&lt;CLEAR&gt;The man hugs Lil
tightly, overjoyed.</x:v>
      </x:c>
      <x:c r="F754" s="20" t="str"/>
      <x:c r="G754" s="20" t="str"/>
      <x:c r="H754" s="23" t="str">
        <x:v>CLEAR NEWLINE END</x:v>
      </x:c>
      <x:c r="I754" s="23" t="str">
        <x:v>EA:C354</x:v>
      </x:c>
      <x:c r="J754" s="23" t="str">
        <x:v>D0 54 68 65 01 6D 61 6E 01 68 75 67 73 01 4C 69 6C C8 74 69 67 68 74 6C 79 2C 01 6F 76 65 72 6A 6F 79 65 64 2E C0</x:v>
      </x:c>
      <x:c r="K754" s="23" t="str">
        <x:v>1D0 014 03E 01A 03D 029 001 069 06A 020 03F 03D 03C 1C8 084 01F 016 01B 031 022 001 035 03A 019 03D 084 022 011 038 1C0</x:v>
      </x:c>
    </x:row>
    <x:row r="755">
      <x:c r="A755" s="22" t="str">
        <x:f>"02"</x:f>
        <x:v>02</x:v>
      </x:c>
      <x:c r="B755" s="22" t="str">
        <x:f>"F1"</x:f>
        <x:v>F1</x:v>
      </x:c>
      <x:c r="C755" s="22" t="str">
        <x:f>"0x02F1"</x:f>
        <x:v>0x02F1</x:v>
      </x:c>
      <x:c r="D755" s="21" t="str">
        <x:v>&lt;SPEAKER&gt;「いやー! どうも ありがとう
カジノで もらった物だけど
これを うけとってくれよ!</x:v>
      </x:c>
      <x:c r="E755" s="19" t="str">
        <x:v>&lt;SPEAKER&gt;Thank you so much!
I got this at the casino,
but I want you to have it!</x:v>
      </x:c>
      <x:c r="F755" s="20" t="str"/>
      <x:c r="G755" s="20" t="str"/>
      <x:c r="H755" s="23" t="str">
        <x:v>SPEAKER NEWLINE NEWLINE END</x:v>
      </x:c>
      <x:c r="I755" s="23" t="str">
        <x:v>EA:C37A</x:v>
      </x:c>
      <x:c r="J755" s="23" t="str">
        <x:v>CC 54 68 61 6E 6B 01 79 6F 75 01 73 6F 01 6D 75 63 68 21 C8 49 01 67 6F 74 01 74 68 69 73 01 61 74 01 74 68 65 01 63 61 73 69 6E 6F 2C C8 62 75 74 01 49 01 77 61 6E 74 01 79 6F 75 01 74 6F 01 68 61 76 65 01 69 74 21 C0</x:v>
      </x:c>
      <x:c r="K755" s="23" t="str">
        <x:v>1CC 011 033 078 07A 001 084 023 012 032 001 010 037 084 015 023 012 1C8 047 084 04D 05A 084 022 001 032 036 03E 01F 08B 084 01F 018 084 023 1C8 019 039 03C 001 012 018 023 03E 022 017 039 035 07A 1C0</x:v>
      </x:c>
    </x:row>
    <x:row r="756">
      <x:c r="A756" s="22" t="str">
        <x:f>"02"</x:f>
        <x:v>02</x:v>
      </x:c>
      <x:c r="B756" s="22" t="str">
        <x:f>"F2"</x:f>
        <x:v>F2</x:v>
      </x:c>
      <x:c r="C756" s="22" t="str">
        <x:f>"0x02F2"</x:f>
        <x:v>0x02F2</x:v>
      </x:c>
      <x:c r="D756" s="21" t="str">
        <x:v>&lt;SPEAKER&gt;「ためしに はめてみるかい?</x:v>
      </x:c>
      <x:c r="E756" s="19" t="str">
        <x:v>&lt;SPEAKER&gt;Want to
try putting it on?</x:v>
      </x:c>
      <x:c r="F756" s="20" t="str"/>
      <x:c r="G756" s="20" t="str"/>
      <x:c r="H756" s="23" t="str">
        <x:v>SPEAKER NEWLINE END</x:v>
      </x:c>
      <x:c r="I756" s="23" t="str">
        <x:v>EA:C3C3</x:v>
      </x:c>
      <x:c r="J756" s="23" t="str">
        <x:v>CC 57 61 6E 74 01 74 6F C8 74 72 79 01 70 75 74 74 69 6E 67 01 69 74 01 6F 6E 3F C0</x:v>
      </x:c>
      <x:c r="K756" s="23" t="str">
        <x:v>1CC 01F 031 01B 025 001 029 031 022 02F 038 015 011 079 1C0</x:v>
      </x:c>
    </x:row>
    <x:row r="757">
      <x:c r="A757" s="22" t="str">
        <x:f>"02"</x:f>
        <x:v>02</x:v>
      </x:c>
      <x:c r="B757" s="22" t="str">
        <x:f>"F3"</x:f>
        <x:v>F3</x:v>
      </x:c>
      <x:c r="C757" s="22" t="str">
        <x:f>"0x02F3"</x:f>
        <x:v>0x02F3</x:v>
      </x:c>
      <x:c r="D757" s="21" t="str">
        <x:v>&lt;SPEAKER&gt;「おれは もう リルちゃんを
はなさないぞ! ねぐらに
持ってかえって かくしておこう!</x:v>
      </x:c>
      <x:c r="E757" s="19" t="str">
        <x:v>&lt;SPEAKER&gt;I will never let Lil go
again! I will take her back
to my room and hide her!</x:v>
      </x:c>
      <x:c r="F757" s="20" t="str"/>
      <x:c r="G757" s="20" t="str"/>
      <x:c r="H757" s="23" t="str">
        <x:v>SPEAKER NEWLINE NEWLINE END</x:v>
      </x:c>
      <x:c r="I757" s="23" t="str">
        <x:v>EA:C3DF</x:v>
      </x:c>
      <x:c r="J757" s="23" t="str">
        <x:v>CC 49 01 77 69 6C 6C 01 6E 65 76 65 72 01 6C 65 74 01 4C 69 6C 01 67 6F C8 61 67 61 69 6E 21 01 49 01 77 69 6C 6C 01 74 61 6B 65 01 68 65 72 01 62 61 63 6B C8 74 6F 01 6D 79 01 72 6F 6F 6D 01 61 6E 64 01 68 69 64 65 01 68 65 72 21 C0</x:v>
      </x:c>
      <x:c r="K757" s="23" t="str">
        <x:v>1CC 014 039 029 001 032 012 001 069 06A 020 03F 03D 03C 1C8 029 024 01A 024 011 084 01E 07A 001 027 084 017 036 025 1C8 0D3 03E 022 015 013 03E 022 001 015 017 01B 022 014 019 012 07A 1C0</x:v>
      </x:c>
    </x:row>
    <x:row r="758">
      <x:c r="A758" s="22" t="str">
        <x:f>"02"</x:f>
        <x:v>02</x:v>
      </x:c>
      <x:c r="B758" s="22" t="str">
        <x:f>"F4"</x:f>
        <x:v>F4</x:v>
      </x:c>
      <x:c r="C758" s="22" t="str">
        <x:f>"0x02F4"</x:f>
        <x:v>0x02F4</x:v>
      </x:c>
      <x:c r="D758" s="21" t="str">
        <x:v>&lt;SPEAKER&gt;「グピグピ グピグピ
あんな でかい 魔物に
かてるわけ ないよ グピ&lt;WAIT&gt;&lt;SPEAKER&gt;「どうせ 食われちまうなら
そのまえに 思うぞんぶん
のむぞ! グピグピグピグピ!</x:v>
      </x:c>
      <x:c r="E758" s="19" t="str">
        <x:v>&lt;SPEAKER&gt;Glug, glug... There
is no way we can beat
a monster that huge.&lt;WAIT&gt;&lt;SPEAKER&gt;If I am going to be
eaten anyway, I will drink all
I want first! Glug, glug, glug!</x:v>
      </x:c>
      <x:c r="F758" s="20" t="str"/>
      <x:c r="G758" s="20" t="str"/>
      <x:c r="H758" s="23" t="str">
        <x:v>SPEAKER NEWLINE NEWLINE WAIT SPEAKER NEWLINE NEWLINE END</x:v>
      </x:c>
      <x:c r="I758" s="23" t="str">
        <x:v>EA:C42D</x:v>
      </x:c>
      <x:c r="J758" s="23" t="str">
        <x:v>CC 47 6C 75 67 2C 01 67 6C 75 67 2E 2E 2E 01 54 68 65 72 65 C8 69 73 01 6E 6F 01 77 61 79 01 77 65 01 63 61 6E 01 62 65 61 74 C8 61 01 6D 6F 6E 73 74 65 72 01 74 68 61 74 01 68 75 67 65 2E C5 CC 49 66 01 49 01 61 6D 01 67 6F 69 6E 67 01 74 6F 01 62 65 C8 65 61 74 65 6E 01 61 6E 79 77 61 79 2C 01 49 01 77 69 6C 6C 01 64 72 69 6E 6B 01 61 6C 6C C8 49 01 77 61 6E 74 01 66 69 72 73 74 21 01 47 6C 75 67 2C 01 67 6C 75 67 2C 01 67 6C 75 67 21 C0</x:v>
      </x:c>
      <x:c r="K758" s="23" t="str">
        <x:v>1CC 084 049 083 05C 084 049 083 05C 001 084 049 083 05C 084 049 083 05C 1C8 010 03D 024 001 084 022 015 011 001 09A 08B 025 1C8 015 022 038 03B 018 001 024 011 035 001 084 049 083 05C 1C5 1CC 084 023 012 01D 001 0E4 03B 039 020 02E 012 024 036 1C8 01E 028 02E 013 025 001 10F 012 084 01E 03D 084 02B 03D 1C8 028 030 084 01E 07A 001 084 049 083 05C 084 049 083 05C 084 049 083 05C 084 049 083 05C 07A 1C0</x:v>
      </x:c>
    </x:row>
    <x:row r="759">
      <x:c r="A759" s="22" t="str">
        <x:f>"02"</x:f>
        <x:v>02</x:v>
      </x:c>
      <x:c r="B759" s="22" t="str">
        <x:f>"F5"</x:f>
        <x:v>F5</x:v>
      </x:c>
      <x:c r="C759" s="22" t="str">
        <x:f>"0x02F5"</x:f>
        <x:v>0x02F5</x:v>
      </x:c>
      <x:c r="D759" s="21" t="str">
        <x:v>&lt;SPEAKER&gt;「へっへっへっ ここの 商品は
ぜんぶ デスバレー鉱山で
発掘 したものなんだ&lt;WAIT&gt;&lt;SPEAKER&gt;「モンスターどもは いらない
みたいだから なかまうちで
売り買いしてるのさ</x:v>
      </x:c>
      <x:c r="E759" s="19" t="str">
        <x:v>&lt;SPEAKER&gt;Heh heh! Everything
in this shop was excavated
from Deathvalley Mine.&lt;WAIT&gt;&lt;SPEAKER&gt;The monsters do not
seem to want it, so we buy
and sell it among ourselves.</x:v>
      </x:c>
      <x:c r="F759" s="20" t="str"/>
      <x:c r="G759" s="20" t="str"/>
      <x:c r="H759" s="23" t="str">
        <x:v>SPEAKER NEWLINE NEWLINE WAIT SPEAKER NEWLINE NEWLINE END</x:v>
      </x:c>
      <x:c r="I759" s="23" t="str">
        <x:v>EA:C4C1</x:v>
      </x:c>
      <x:c r="J759" s="23" t="str">
        <x:v>CC 48 65 68 01 68 65 68 21 01 45 76 65 72 79 74 68 69 6E 67 C8 69 6E 01 74 68 69 73 01 73 68 6F 70 01 77 61 73 01 65 78 63 61 76 61 74 65 64 C8 66 72 6F 6D 01 44 65 61 74 68 76 61 6C 6C 65 79 01 4D 69 6E 65 2E C5 CC 54 68 65 01 6D 6F 6E 73 74 65 72 73 01 64 6F 01 6E 6F 74 C8 73 65 65 6D 01 74 6F 01 77 61 6E 74 01 69 74 2C 01 73 6F 01 77 65 01 62 75 79 C8 61 6E 64 01 73 65 6C 6C 01 69 74 01 61 6D 6F 6E 67 01 6F 75 72 73 65 6C 76 65 73 2E C0</x:v>
      </x:c>
      <x:c r="K759" s="23" t="str">
        <x:v>1CC 02C 03E 02C 03E 02C 03E 001 019 019 028 001 109 12B 029 1C8 084 01D 03D 084 02B 001 084 054 04E 084 05B 06B 078 10B 10C 084 022 1C8 0C8 11C 001 01B 01F 032 028 024 03D 084 01F 1C5 1CC 064 06F 04E 051 078 084 023 032 029 001 011 036 024 011 1C8 02F 01F 011 084 01F 015 036 001 024 015 02E 012 020 084 022 1C8 0A2 037 0A8 011 01B 022 038 028 01A 1C0</x:v>
      </x:c>
    </x:row>
    <x:row r="760">
      <x:c r="A760" s="22" t="str">
        <x:f>"02"</x:f>
        <x:v>02</x:v>
      </x:c>
      <x:c r="B760" s="22" t="str">
        <x:f>"F6"</x:f>
        <x:v>F6</x:v>
      </x:c>
      <x:c r="C760" s="22" t="str">
        <x:f>"0x02F6"</x:f>
        <x:v>0x02F6</x:v>
      </x:c>
      <x:c r="D760" s="21" t="str">
        <x:v>&lt;SPEAKER&gt;「レディさん! おれたち
ひっしで 武器を
発掘しますから&lt;WAIT&gt;&lt;SPEAKER&gt;「なんとか ジェイビーを
ぶちのめして くだせえ!</x:v>
      </x:c>
      <x:c r="E760" s="19" t="str">
        <x:v>&lt;SPEAKER&gt;Lady! We will dig up
weapons as fast as we can.&lt;WAIT&gt;&lt;SPEAKER&gt;Please, somehow,
take down J.B.!</x:v>
      </x:c>
      <x:c r="F760" s="20" t="str"/>
      <x:c r="G760" s="20" t="str"/>
      <x:c r="H760" s="23" t="str">
        <x:v>SPEAKER NEWLINE WAIT SPEAKER NEWLINE END</x:v>
      </x:c>
      <x:c r="I760" s="23" t="str">
        <x:v>EA:C555</x:v>
      </x:c>
      <x:c r="J760" s="23" t="str">
        <x:v>CC 4C 61 64 79 21 01 57 65 01 77 69 6C 6C 01 64 69 67 01 75 70 C8 77 65 61 70 6F 6E 73 01 61 73 01 66 61 73 74 01 61 73 01 77 65 01 63 61 6E 2E C5 CC 50 6C 65 61 73 65 2C 01 73 6F 6D 65 68 6F 77 2C C8 74 61 6B 65 01 64 6F 77 6E 01 4A 2E 42 2E 21 C0</x:v>
      </x:c>
      <x:c r="K760" s="23" t="str">
        <x:v>1CC 06B 084 054 075 01A 03D 07A 001 014 039 01F 020 1C8 02A 03E 01B 084 022 001 0CB 12A 03C 1C8 0C8 11C 01B 02E 01C 015 036 1C5 1CC 024 03D 023 015 001 084 04D 076 043 084 05C 078 03C 1C8 084 02B 020 028 031 01B 022 001 017 084 01F 01D 013 07A 1C0</x:v>
      </x:c>
    </x:row>
    <x:row r="761">
      <x:c r="A761" s="22" t="str">
        <x:f>"02"</x:f>
        <x:v>02</x:v>
      </x:c>
      <x:c r="B761" s="22" t="str">
        <x:f>"F7"</x:f>
        <x:v>F7</x:v>
      </x:c>
      <x:c r="C761" s="22" t="str">
        <x:f>"0x02F7"</x:f>
        <x:v>0x02F7</x:v>
      </x:c>
      <x:c r="D761" s="21" t="str">
        <x:v>&lt;SPEAKER&gt;「武器を 探していたら
くろい まるいたまを
みつけたんだよ&lt;WAIT&gt;&lt;SPEAKER&gt;「でも さわると 手に
くろい物が ついちゃったから
やすくしとくよ</x:v>
      </x:c>
      <x:c r="E761" s="19" t="str">
        <x:v>&lt;SPEAKER&gt;While looking for weapons,
I found a round black ball.&lt;WAIT&gt;&lt;SPEAKER&gt;Black stuff rubs off
on your hands when you touch
it, so I will sell it cheap.</x:v>
      </x:c>
      <x:c r="F761" s="20" t="str"/>
      <x:c r="G761" s="20" t="str"/>
      <x:c r="H761" s="23" t="str">
        <x:v>SPEAKER NEWLINE WAIT SPEAKER NEWLINE NEWLINE END</x:v>
      </x:c>
      <x:c r="I761" s="23" t="str">
        <x:v>EA:C5A8</x:v>
      </x:c>
      <x:c r="J761" s="23" t="str">
        <x:v>CC 57 68 69 6C 65 01 6C 6F 6F 6B 69 6E 67 01 66 6F 72 01 77 65 61 70 6F 6E 73 2C C8 49 01 66 6F 75 6E 64 01 61 01 72 6F 75 6E 64 01 62 6C 61 63 6B 01 62 61 6C 6C 2E C5 CC 42 6C 61 63 6B 01 73 74 75 66 66 01 72 75 62 73 01 6F 66 66 C8 6F 6E 01 79 6F 75 72 01 68 61 6E 64 73 01 77 68 65 6E 01 79 6F 75 01 74 6F 75 63 68 C8 69 74 2C 01 73 6F 01 49 01 77 69 6C 6C 01 73 65 6C 6C 01 69 74 01 63 68 65 61 70 2E C0</x:v>
      </x:c>
      <x:c r="K761" s="23" t="str">
        <x:v>1CC 0CB 12A 03C 001 184 01B 022 011 01F 036 1C8 017 03A 011 001 02E 038 011 01F 02E 03C 1C8 02F 021 018 01F 03D 084 01F 035 1C5 1CC 084 022 032 001 01A 03B 038 023 001 177 025 1C8 017 03A 011 08B 084 015 001 021 011 020 03F 03E 01F 015 036 1C8 033 01C 017 01B 023 017 035 1C0</x:v>
      </x:c>
    </x:row>
    <x:row r="762">
      <x:c r="A762" s="22" t="str">
        <x:f>"02"</x:f>
        <x:v>02</x:v>
      </x:c>
      <x:c r="B762" s="22" t="str">
        <x:f>"F8"</x:f>
        <x:v>F8</x:v>
      </x:c>
      <x:c r="C762" s="22" t="str">
        <x:f>"0x02F8"</x:f>
        <x:v>0x02F8</x:v>
      </x:c>
      <x:c r="D762" s="21" t="str">
        <x:v>&lt;SPEAKER&gt;「へい いらっしゃい! ここは
ギャラリー クルーナだ</x:v>
      </x:c>
      <x:c r="E762" s="19" t="str">
        <x:v>&lt;SPEAKER&gt;Welcome! This
is Gallery Kruna.</x:v>
      </x:c>
      <x:c r="F762" s="20" t="str"/>
      <x:c r="G762" s="20" t="str"/>
      <x:c r="H762" s="23" t="str">
        <x:v>SPEAKER NEWLINE END</x:v>
      </x:c>
      <x:c r="I762" s="23" t="str">
        <x:v>EA:C630</x:v>
      </x:c>
      <x:c r="J762" s="23" t="str">
        <x:v>CC 57 65 6C 63 6F 6D 65 21 01 54 68 69 73 C8 69 73 01 47 61 6C 6C 65 72 79 01 4B 72 75 6E 61 2E C0</x:v>
      </x:c>
      <x:c r="K762" s="23" t="str">
        <x:v>1CC 02C 011 001 011 036 03E 01B 03F 011 07A 001 019 019 029 1C8 084 048 071 068 069 078 001 049 06A 078 056 084 01F 1C0</x:v>
      </x:c>
    </x:row>
    <x:row r="763">
      <x:c r="A763" s="22" t="str">
        <x:f>"02"</x:f>
        <x:v>02</x:v>
      </x:c>
      <x:c r="B763" s="22" t="str">
        <x:f>"F9"</x:f>
        <x:v>F9</x:v>
      </x:c>
      <x:c r="C763" s="22" t="str">
        <x:f>"0x02F9"</x:f>
        <x:v>0x02F9</x:v>
      </x:c>
      <x:c r="D763" s="21" t="str">
        <x:v>&lt;SPEAKER&gt;「へい いらっしゃい! ここは
ギャラリー クルーナ2だ</x:v>
      </x:c>
      <x:c r="E763" s="19" t="str">
        <x:v>&lt;SPEAKER&gt;Welcome! This
is Gallery Kruna 2.</x:v>
      </x:c>
      <x:c r="F763" s="20" t="str"/>
      <x:c r="G763" s="20" t="str"/>
      <x:c r="H763" s="23" t="str">
        <x:v>SPEAKER NEWLINE END</x:v>
      </x:c>
      <x:c r="I763" s="23" t="str">
        <x:v>EA:C651</x:v>
      </x:c>
      <x:c r="J763" s="23" t="str">
        <x:v>CC 57 65 6C 63 6F 6D 65 21 01 54 68 69 73 C8 69 73 01 47 61 6C 6C 65 72 79 01 4B 72 75 6E 61 01 32 2E C0</x:v>
      </x:c>
      <x:c r="K763" s="23" t="str">
        <x:v>1CC 02C 011 001 011 036 03E 01B 03F 011 07A 001 019 019 029 1C8 084 048 071 068 069 078 001 049 06A 078 056 004 084 01F 1C0</x:v>
      </x:c>
    </x:row>
    <x:row r="764">
      <x:c r="A764" s="22" t="str">
        <x:f>"02"</x:f>
        <x:v>02</x:v>
      </x:c>
      <x:c r="B764" s="22" t="str">
        <x:f>"FA"</x:f>
        <x:v>FA</x:v>
      </x:c>
      <x:c r="C764" s="22" t="str">
        <x:f>"0x02FA"</x:f>
        <x:v>0x02FA</x:v>
      </x:c>
      <x:c r="D764" s="21" t="str">
        <x:v>&lt;SPEAKER&gt;「でも まだ 品物がなくてね・・・
へへへ 発掘 がんばらなきゃ・・・</x:v>
      </x:c>
      <x:c r="E764" s="19" t="str">
        <x:v>&lt;SPEAKER&gt;We do not have
any stock yet... Heh heh.
Better keep excavating...</x:v>
      </x:c>
      <x:c r="F764" s="20" t="str"/>
      <x:c r="G764" s="20" t="str"/>
      <x:c r="H764" s="23" t="str">
        <x:v>SPEAKER NEWLINE NEWLINE END</x:v>
      </x:c>
      <x:c r="I764" s="23" t="str">
        <x:v>EA:C674</x:v>
      </x:c>
      <x:c r="J764" s="23" t="str">
        <x:v>CC 57 65 01 64 6F 01 6E 6F 74 01 68 61 76 65 C8 61 6E 79 01 73 74 6F 63 6B 01 79 65 74 2E 2E 2E 01 48 65 68 01 68 65 68 2E C8 42 65 74 74 65 72 01 6B 65 65 70 01 65 78 63 61 76 61 74 69 6E 67 2E 2E 2E C0</x:v>
      </x:c>
      <x:c r="K764" s="23" t="str">
        <x:v>1CC 084 022 032 001 02E 084 01F 001 12B 08B 084 015 024 017 022 027 081 081 081 1C8 02C 02C 02C 001 0C8 11C 001 084 015 03D 084 029 036 024 016 03F 081 081 081 1C0</x:v>
      </x:c>
    </x:row>
    <x:row r="765">
      <x:c r="A765" s="22" t="str">
        <x:f>"02"</x:f>
        <x:v>02</x:v>
      </x:c>
      <x:c r="B765" s="22" t="str">
        <x:f>"FB"</x:f>
        <x:v>FB</x:v>
      </x:c>
      <x:c r="C765" s="22" t="str">
        <x:f>"0x02FB"</x:f>
        <x:v>0x02FB</x:v>
      </x:c>
      <x:c r="D765" s="21" t="str">
        <x:v>&lt;SPEAKER&gt;「ようこそ! ここは
カジノだ!&lt;WAIT&gt;&lt;SPEAKER&gt;「ここでは コインしか
使えないから キャッシャーで
金を コインに かえてくれ!</x:v>
      </x:c>
      <x:c r="E765" s="19" t="str">
        <x:v>&lt;SPEAKER&gt;Welcome to the casino!&lt;WAIT&gt;&lt;SPEAKER&gt;Only coins work here,
so exchange your money
for coins at the cashier.</x:v>
      </x:c>
      <x:c r="F765" s="20" t="str"/>
      <x:c r="G765" s="20" t="str"/>
      <x:c r="H765" s="23" t="str">
        <x:v>SPEAKER WAIT SPEAKER NEWLINE NEWLINE END</x:v>
      </x:c>
      <x:c r="I765" s="23" t="str">
        <x:v>EA:C6B8</x:v>
      </x:c>
      <x:c r="J765" s="23" t="str">
        <x:v>CC 57 65 6C 63 6F 6D 65 01 74 6F 01 74 68 65 01 63 61 73 69 6E 6F 21 C5 CC 4F 6E 6C 79 01 63 6F 69 6E 73 01 77 6F 72 6B 01 68 65 72 65 2C C8 73 6F 01 65 78 63 68 61 6E 67 65 01 79 6F 75 72 01 6D 6F 6E 65 79 C8 66 6F 72 01 63 6F 69 6E 73 01 61 74 01 74 68 65 01 63 61 73 68 69 65 72 2E C0</x:v>
      </x:c>
      <x:c r="K765" s="23" t="str">
        <x:v>1CC 035 012 019 01E 07A 001 019 019 029 1C8 047 084 04D 05A 084 01F 07A 1C5 1CC 019 019 084 022 029 001 04B 043 06F 01B 015 1C8 123 013 024 011 015 036 001 048 071 070 04D 071 078 084 022 1C8 094 03C 001 04B 043 06F 025 001 015 013 022 017 039 07A 1C0</x:v>
      </x:c>
    </x:row>
    <x:row r="766">
      <x:c r="A766" s="22" t="str">
        <x:f>"02"</x:f>
        <x:v>02</x:v>
      </x:c>
      <x:c r="B766" s="22" t="str">
        <x:f>"FC"</x:f>
        <x:v>FC</x:v>
      </x:c>
      <x:c r="C766" s="22" t="str">
        <x:f>"0x02FC"</x:f>
        <x:v>0x02FC</x:v>
      </x:c>
      <x:c r="D766" s="21" t="str">
        <x:v>&lt;SPEAKER&gt;「コインが たまれば
ゴージャスな しなものと
交換できますぜ!</x:v>
      </x:c>
      <x:c r="E766" s="19" t="str">
        <x:v>&lt;SPEAKER&gt;Save up enough
coins and you can trade
them for luxurious prizes!</x:v>
      </x:c>
      <x:c r="F766" s="20" t="str"/>
      <x:c r="G766" s="20" t="str"/>
      <x:c r="H766" s="23" t="str">
        <x:v>SPEAKER NEWLINE NEWLINE END</x:v>
      </x:c>
      <x:c r="I766" s="23" t="str">
        <x:v>EA:C718</x:v>
      </x:c>
      <x:c r="J766" s="23" t="str">
        <x:v>CC 53 61 76 65 01 75 70 01 65 6E 6F 75 67 68 C8 63 6F 69 6E 73 01 61 6E 64 01 79 6F 75 01 63 61 6E 01 74 72 61 64 65 C8 74 68 65 6D 01 66 6F 72 01 6C 75 78 75 72 69 6F 75 73 01 70 72 69 7A 65 73 21 C0</x:v>
      </x:c>
      <x:c r="K766" s="23" t="str">
        <x:v>1CC 04B 043 06F 084 015 001 01F 02E 039 084 029 1C8 084 04B 078 084 04D 071 04E 024 001 01B 024 032 028 023 1C8 114 116 084 022 016 02E 01C 084 01D 07A 1C0</x:v>
      </x:c>
    </x:row>
    <x:row r="767">
      <x:c r="A767" s="22" t="str">
        <x:f>"02"</x:f>
        <x:v>02</x:v>
      </x:c>
      <x:c r="B767" s="22" t="str">
        <x:f>"FD"</x:f>
        <x:v>FD</x:v>
      </x:c>
      <x:c r="C767" s="22" t="str">
        <x:f>"0x02FD"</x:f>
        <x:v>0x02FD</x:v>
      </x:c>
      <x:c r="D767" s="21" t="str">
        <x:v>&lt;SPEAKER&gt;「ここにいると なんだか
かんづめにされる こわさも
わすれちまうんだなあ</x:v>
      </x:c>
      <x:c r="E767" s="19" t="str">
        <x:v>&lt;SPEAKER&gt;Being here almost
makes me forget how
scary it is to be canned.</x:v>
      </x:c>
      <x:c r="F767" s="20" t="str"/>
      <x:c r="G767" s="20" t="str"/>
      <x:c r="H767" s="23" t="str">
        <x:v>SPEAKER NEWLINE NEWLINE END</x:v>
      </x:c>
      <x:c r="I767" s="23" t="str">
        <x:v>EA:C75B</x:v>
      </x:c>
      <x:c r="J767" s="23" t="str">
        <x:v>CC 42 65 69 6E 67 01 68 65 72 65 01 61 6C 6D 6F 73 74 C8 6D 61 6B 65 73 01 6D 65 01 66 6F 72 67 65 74 01 68 6F 77 C8 73 63 61 72 79 01 69 74 01 69 73 01 74 6F 01 62 65 01 63 61 6E 6E 65 64 2E C0</x:v>
      </x:c>
      <x:c r="K767" s="23" t="str">
        <x:v>1CC 019 019 025 011 038 023 001 024 03D 084 01F 015 1C8 015 03D 084 021 031 025 01A 039 038 001 019 03B 01A 032 1C8 03B 01C 039 020 02E 012 03D 084 01F 024 010 1C0</x:v>
      </x:c>
    </x:row>
    <x:row r="768">
      <x:c r="A768" s="22" t="str">
        <x:f>"02"</x:f>
        <x:v>02</x:v>
      </x:c>
      <x:c r="B768" s="22" t="str">
        <x:f>"FE"</x:f>
        <x:v>FE</x:v>
      </x:c>
      <x:c r="C768" s="22" t="str">
        <x:f>"0x02FE"</x:f>
        <x:v>0x02FE</x:v>
      </x:c>
      <x:c r="D768" s="21" t="str">
        <x:v>&lt;SPEAKER&gt;「スロットの中には
目おしできる物と
できない物があるよ&lt;WAIT&gt;&lt;SPEAKER&gt;「でも かくりつは
変わらないから すきなほうを
えらんで やるといいよ</x:v>
      </x:c>
      <x:c r="E768" s="19" t="str">
        <x:v>&lt;SPEAKER&gt;Some slot machines
let you time your
stops, and some do not.&lt;WAIT&gt;&lt;SPEAKER&gt;The odds are the
same either way, so just
play whichever you prefer.</x:v>
      </x:c>
      <x:c r="F768" s="20" t="str"/>
      <x:c r="G768" s="20" t="str"/>
      <x:c r="H768" s="23" t="str">
        <x:v>SPEAKER NEWLINE NEWLINE WAIT SPEAKER NEWLINE NEWLINE END</x:v>
      </x:c>
      <x:c r="I768" s="23" t="str">
        <x:v>EA:C79C</x:v>
      </x:c>
      <x:c r="J768" s="23" t="str">
        <x:v>CC 53 6F 6D 65 01 73 6C 6F 74 01 6D 61 63 68 69 6E 65 73 C8 6C 65 74 01 79 6F 75 01 74 69 6D 65 01 79 6F 75 72 C8 73 74 6F 70 73 2C 01 61 6E 64 01 73 6F 6D 65 01 64 6F 01 6E 6F 74 2E C5 CC 54 68 65 01 6F 64 64 73 01 61 72 65 01 74 68 65 C8 73 61 6D 65 01 65 69 74 68 65 72 01 77 61 79 2C 01 73 6F 01 6A 75 73 74 C8 70 6C 61 79 01 77 68 69 63 68 65 76 65 72 01 79 6F 75 01 70 72 65 66 65 72 2E C0</x:v>
      </x:c>
      <x:c r="K768" s="23" t="str">
        <x:v>1CC 04E 06C 070 055 028 0A1 025 029 1C8 0B6 014 01B 084 022 016 038 08B 023 1C8 084 022 016 024 011 08B 084 015 010 038 035 1C5 1CC 084 022 032 001 015 017 037 021 029 1C8 178 03B 036 024 011 015 036 001 01C 016 024 02D 012 03C 1C8 013 036 03D 084 022 001 033 038 023 011 011 035 1C0</x:v>
      </x:c>
    </x:row>
    <x:row r="769">
      <x:c r="A769" s="22" t="str">
        <x:f>"02"</x:f>
        <x:v>02</x:v>
      </x:c>
      <x:c r="B769" s="22" t="str">
        <x:f>"FF"</x:f>
        <x:v>FF</x:v>
      </x:c>
      <x:c r="C769" s="22" t="str">
        <x:f>"0x02FF"</x:f>
        <x:v>0x02FF</x:v>
      </x:c>
      <x:c r="D769" s="21" t="str">
        <x:v>&lt;SPEAKER&gt;「かいてんしてる リールを
よーく 見るんだ! とにかく
見て 見て 見まくるんだ!&lt;WAIT&gt;&lt;SPEAKER&gt;「そうすれば いずれ リールの
絵が 見えるようになるぞ!</x:v>
      </x:c>
      <x:c r="E769" s="19" t="str">
        <x:v>&lt;SPEAKER&gt;Watch the spinning
reels closely! Just watch
and watch and watch!&lt;WAIT&gt;&lt;SPEAKER&gt;Eventually, you will start
seeing the pictures on the reels!</x:v>
      </x:c>
      <x:c r="F769" s="20" t="str"/>
      <x:c r="G769" s="20" t="str"/>
      <x:c r="H769" s="23" t="str">
        <x:v>SPEAKER NEWLINE NEWLINE WAIT SPEAKER NEWLINE END</x:v>
      </x:c>
      <x:c r="I769" s="23" t="str">
        <x:v>EA:C820</x:v>
      </x:c>
      <x:c r="J769" s="23" t="str">
        <x:v>CC 57 61 74 63 68 01 74 68 65 01 73 70 69 6E 6E 69 6E 67 C8 72 65 65 6C 73 01 63 6C 6F 73 65 6C 79 21 01 4A 75 73 74 01 77 61 74 63 68 C8 61 6E 64 01 77 61 74 63 68 01 61 6E 64 01 77 61 74 63 68 21 C5 CC 45 76 65 6E 74 75 61 6C 6C 79 2C 01 79 6F 75 01 77 69 6C 6C 01 73 74 61 72 74 C8 73 65 65 69 6E 67 01 74 68 65 01 70 69 63 74 75 72 65 73 01 6F 6E 01 74 68 65 01 72 65 65 6C 73 21 C0</x:v>
      </x:c>
      <x:c r="K769" s="23" t="str">
        <x:v>1CC 015 011 022 03D 01B 022 038 001 069 078 06A 03C 1C8 035 078 017 001 090 038 03D 084 01F 07A 001 023 025 015 017 1C8 090 022 001 090 022 001 090 02E 017 038 03D 084 01F 07A 1C5 1CC 01E 012 01C 039 084 029 001 011 084 01C 039 001 069 078 06A 028 1C8 191 084 015 001 090 013 038 035 012 025 024 038 084 01E 07A 1C0</x:v>
      </x:c>
    </x:row>
    <x:row r="770">
      <x:c r="A770" s="22" t="str">
        <x:f>"03"</x:f>
        <x:v>03</x:v>
      </x:c>
      <x:c r="B770" s="22" t="str">
        <x:f>"00"</x:f>
        <x:v>00</x:v>
      </x:c>
      <x:c r="C770" s="22" t="str">
        <x:f>"0x0300"</x:f>
        <x:v>0x0300</x:v>
      </x:c>
      <x:c r="D770" s="21" t="str">
        <x:v>&lt;SPEAKER&gt;「おれは なかまから 巨匠と
よばれるほど スロットは
とくいなんだ!&lt;WAIT&gt;&lt;SPEAKER&gt;「けどよー きょうは ちょっと
ちょうしが わるいぜ!</x:v>
      </x:c>
      <x:c r="E770" s="19" t="str">
        <x:v>&lt;SPEAKER&gt;My friends call
me the Master because
I am so good at slots!&lt;WAIT&gt;&lt;SPEAKER&gt;But I am a little
off my game today!</x:v>
      </x:c>
      <x:c r="F770" s="20" t="str"/>
      <x:c r="G770" s="20" t="str"/>
      <x:c r="H770" s="23" t="str">
        <x:v>SPEAKER NEWLINE NEWLINE WAIT SPEAKER NEWLINE END</x:v>
      </x:c>
      <x:c r="I770" s="23" t="str">
        <x:v>EA:C8A1</x:v>
      </x:c>
      <x:c r="J770" s="23" t="str">
        <x:v>CC 4D 79 01 66 72 69 65 6E 64 73 01 63 61 6C 6C C8 6D 65 01 74 68 65 01 4D 61 73 74 65 72 01 62 65 63 61 75 73 65 C8 49 01 61 6D 01 73 6F 01 67 6F 6F 64 01 61 74 01 73 6C 6F 74 73 21 C5 CC 42 75 74 01 49 01 61 6D 01 61 01 6C 69 74 74 6C 65 C8 6F 66 66 01 6D 79 01 67 61 6D 65 01 74 6F 64 61 79 21 C0</x:v>
      </x:c>
      <x:c r="K770" s="23" t="str">
        <x:v>1CC 014 039 029 001 024 015 02E 015 036 001 0CC 19A 023 1C8 035 084 029 039 038 02D 084 023 001 04E 06C 070 055 029 1C8 023 017 011 024 03D 084 01F 07A 1C5 1CC 018 084 023 035 078 001 016 041 012 029 001 020 041 03E 023 1C8 020 041 012 01B 084 015 001 03B 038 011 084 01D 07A 1C0</x:v>
      </x:c>
    </x:row>
    <x:row r="771">
      <x:c r="A771" s="22" t="str">
        <x:f>"03"</x:f>
        <x:v>03</x:v>
      </x:c>
      <x:c r="B771" s="22" t="str">
        <x:f>"01"</x:f>
        <x:v>01</x:v>
      </x:c>
      <x:c r="C771" s="22" t="str">
        <x:f>"0x0301"</x:f>
        <x:v>0x0301</x:v>
      </x:c>
      <x:c r="D771" s="21" t="str">
        <x:v>&lt;SPEAKER&gt;「うおー! 来た来た!
れんちゃん はいったでー!</x:v>
      </x:c>
      <x:c r="E771" s="19" t="str">
        <x:v>&lt;SPEAKER&gt;Whoa! Here it comes!
I am on a winning streak!</x:v>
      </x:c>
      <x:c r="F771" s="20" t="str"/>
      <x:c r="G771" s="20" t="str"/>
      <x:c r="H771" s="23" t="str">
        <x:v>SPEAKER NEWLINE END</x:v>
      </x:c>
      <x:c r="I771" s="23" t="str">
        <x:v>EA:C905</x:v>
      </x:c>
      <x:c r="J771" s="23" t="str">
        <x:v>CC 57 68 6F 61 21 01 48 65 72 65 01 69 74 01 63 6F 6D 65 73 21 C8 49 01 61 6D 01 6F 6E 01 61 01 77 69 6E 6E 69 6E 67 01 73 74 72 65 61 6B 21 C0</x:v>
      </x:c>
      <x:c r="K771" s="23" t="str">
        <x:v>1CC 012 014 078 07A 001 097 01F 097 01F 07A 1C8 039 03D 020 03F 03D 001 029 011 03E 01F 084 022 078 07A 1C0</x:v>
      </x:c>
    </x:row>
    <x:row r="772">
      <x:c r="A772" s="22" t="str">
        <x:f>"03"</x:f>
        <x:v>03</x:v>
      </x:c>
      <x:c r="B772" s="22" t="str">
        <x:f>"02"</x:f>
        <x:v>02</x:v>
      </x:c>
      <x:c r="C772" s="22" t="str">
        <x:f>"0x0302"</x:f>
        <x:v>0x0302</x:v>
      </x:c>
      <x:c r="D772" s="21" t="str">
        <x:v>&lt;SPEAKER&gt;「ケ セラ セラー!
なるように なるぜー!&lt;WAIT&gt;&lt;SPEAKER&gt;「たとえー 魔物がー
せめて来てもー おれはー&lt;WAIT&gt;&lt;SPEAKER&gt;「ばくちをー やりつづけますー!</x:v>
      </x:c>
      <x:c r="E772" s="19" t="str">
        <x:v>&lt;SPEAKER&gt;Que sera, sera!
Whatever will be, will be!&lt;WAIT&gt;&lt;SPEAKER&gt;Even if monsters
come charging in...&lt;WAIT&gt;&lt;SPEAKER&gt;I will keep gambling!</x:v>
      </x:c>
      <x:c r="F772" s="20" t="str"/>
      <x:c r="G772" s="20" t="str"/>
      <x:c r="H772" s="23" t="str">
        <x:v>SPEAKER NEWLINE WAIT SPEAKER NEWLINE WAIT SPEAKER END</x:v>
      </x:c>
      <x:c r="I772" s="23" t="str">
        <x:v>EA:C935</x:v>
      </x:c>
      <x:c r="J772" s="23" t="str">
        <x:v>CC 51 75 65 01 73 65 72 61 2C 01 73 65 72 61 21 C8 57 68 61 74 65 76 65 72 01 77 69 6C 6C 01 62 65 2C 01 77 69 6C 6C 01 62 65 21 C5 CC 45 76 65 6E 01 69 66 01 6D 6F 6E 73 74 65 72 73 C8 63 6F 6D 65 01 63 68 61 72 67 69 6E 67 01 69 6E 2E 2E 2E C5 CC 49 01 77 69 6C 6C 01 6B 65 65 70 01 67 61 6D 62 6C 69 6E 67 21 C0</x:v>
      </x:c>
      <x:c r="K772" s="23" t="str">
        <x:v>1CC 04A 001 04F 068 001 04F 068 078 07A 1C8 024 038 035 012 025 001 024 038 084 01D 078 07A 1C5 1CC 01F 023 013 078 001 09A 08B 084 015 078 1C8 01D 031 022 097 022 032 078 001 014 039 029 078 1C5 1CC 084 029 017 020 03C 078 001 033 037 021 084 021 018 02E 01C 078 07A 1C0</x:v>
      </x:c>
    </x:row>
    <x:row r="773">
      <x:c r="A773" s="22" t="str">
        <x:f>"03"</x:f>
        <x:v>03</x:v>
      </x:c>
      <x:c r="B773" s="22" t="str">
        <x:f>"03"</x:f>
        <x:v>03</x:v>
      </x:c>
      <x:c r="C773" s="22" t="str">
        <x:f>"0x0303"</x:f>
        <x:v>0x0303</x:v>
      </x:c>
      <x:c r="D773" s="21" t="str">
        <x:v>&lt;SPEAKER&gt;「リバータウンにいる
情報屋の ボブを
知っているか?</x:v>
      </x:c>
      <x:c r="E773" s="19" t="str">
        <x:v>&lt;SPEAKER&gt;Do you know Bob, the
information broker in Rivertown?</x:v>
      </x:c>
      <x:c r="F773" s="20" t="str"/>
      <x:c r="G773" s="20" t="str"/>
      <x:c r="H773" s="23" t="str">
        <x:v>SPEAKER NEWLINE END</x:v>
      </x:c>
      <x:c r="I773" s="23" t="str">
        <x:v>EA:C99E</x:v>
      </x:c>
      <x:c r="J773" s="23" t="str">
        <x:v>CC 44 6F 01 79 6F 75 01 6B 6E 6F 77 01 42 6F 62 2C 01 74 68 65 C8 69 6E 66 6F 72 6D 61 74 69 6F 6E 01 62 72 6F 6B 65 72 01 69 6E 01 52 69 76 65 72 74 6F 77 6E 3F C0</x:v>
      </x:c>
      <x:c r="K773" s="23" t="str">
        <x:v>1CC 069 084 05B 078 051 044 06F 025 011 038 1C8 0AD 0AE 0B3 028 001 084 05F 084 05D 03C 1C8 15C 03E 022 011 038 015 079 1C0</x:v>
      </x:c>
    </x:row>
    <x:row r="774">
      <x:c r="A774" s="22" t="str">
        <x:f>"03"</x:f>
        <x:v>03</x:v>
      </x:c>
      <x:c r="B774" s="22" t="str">
        <x:f>"04"</x:f>
        <x:v>04</x:v>
      </x:c>
      <x:c r="C774" s="22" t="str">
        <x:f>"0x0304"</x:f>
        <x:v>0x0304</x:v>
      </x:c>
      <x:c r="D774" s="21" t="str">
        <x:v>&lt;SPEAKER&gt;「そうか おたがい
こまった時は ボブだのみってわけか
役にたつ男だよ! あいつは!</x:v>
      </x:c>
      <x:c r="E774" s="19" t="str">
        <x:v>&lt;SPEAKER&gt;I see. So when either
of us is stuck, we turn
to Bob. He is dependable!</x:v>
      </x:c>
      <x:c r="F774" s="20" t="str"/>
      <x:c r="G774" s="20" t="str"/>
      <x:c r="H774" s="23" t="str">
        <x:v>SPEAKER NEWLINE NEWLINE END</x:v>
      </x:c>
      <x:c r="I774" s="23" t="str">
        <x:v>EA:C9D5</x:v>
      </x:c>
      <x:c r="J774" s="23" t="str">
        <x:v>CC 49 01 73 65 65 2E 01 53 6F 01 77 68 65 6E 01 65 69 74 68 65 72 C8 6F 66 01 75 73 01 69 73 01 73 74 75 63 6B 2C 01 77 65 01 74 75 72 6E C8 74 6F 01 42 6F 62 2E 01 48 65 01 69 73 01 64 65 70 65 6E 64 61 62 6C 65 21 C0</x:v>
      </x:c>
      <x:c r="K774" s="23" t="str">
        <x:v>1CC 01E 012 015 001 014 01F 084 015 011 1C8 019 02E 03E 01F 164 029 001 084 05F 084 05D 084 01F 028 02F 03E 022 03B 018 015 1C8 15E 025 01F 021 190 084 01F 035 07A 001 010 011 021 029 07A 1C0</x:v>
      </x:c>
    </x:row>
    <x:row r="775">
      <x:c r="A775" s="22" t="str">
        <x:f>"03"</x:f>
        <x:v>03</x:v>
      </x:c>
      <x:c r="B775" s="22" t="str">
        <x:f>"05"</x:f>
        <x:v>05</x:v>
      </x:c>
      <x:c r="C775" s="22" t="str">
        <x:f>"0x0305"</x:f>
        <x:v>0x0305</x:v>
      </x:c>
      <x:c r="D775" s="21" t="str">
        <x:v>&lt;SPEAKER&gt;「こまった時の ボブだのみ
と いってな&lt;WAIT&gt;&lt;SPEAKER&gt;「いろいろと オレたちに
じょげんとか してくれる
やつなんだよ&lt;WAIT&gt;&lt;SPEAKER&gt;「いちど 会っといた方がいいよ</x:v>
      </x:c>
      <x:c r="E775" s="19" t="str">
        <x:v>&lt;SPEAKER&gt;They say, "When
in trouble, ask Bob."&lt;WAIT&gt;&lt;SPEAKER&gt;He gives us
all kinds of advice.&lt;WAIT&gt;&lt;SPEAKER&gt;You should
meet him at least once.</x:v>
      </x:c>
      <x:c r="F775" s="20" t="str"/>
      <x:c r="G775" s="20" t="str"/>
      <x:c r="H775" s="23" t="str">
        <x:v>SPEAKER NEWLINE WAIT SPEAKER NEWLINE WAIT SPEAKER NEWLINE END</x:v>
      </x:c>
      <x:c r="I775" s="23" t="str">
        <x:v>EA:CA1E</x:v>
      </x:c>
      <x:c r="J775" s="23" t="str">
        <x:v>CC 54 68 65 79 01 73 61 79 2C 01 22 57 68 65 6E C8 69 6E 01 74 72 6F 75 62 6C 65 2C 01 61 73 6B 01 42 6F 62 2E 22 C5 CC 48 65 01 67 69 76 65 73 01 75 73 C8 61 6C 6C 01 6B 69 6E 64 73 01 6F 66 01 61 64 76 69 63 65 2E C5 CC 59 6F 75 01 73 68 6F 75 6C 64 C8 6D 65 65 74 01 68 69 6D 01 61 74 01 6C 65 61 73 74 01 6F 6E 63 65 2E C0</x:v>
      </x:c>
      <x:c r="K775" s="23" t="str">
        <x:v>1CC 019 02E 03E 01F 164 028 001 084 05F 084 05D 084 01F 028 02F 1C8 023 001 011 03E 022 024 1C5 1CC 011 03A 011 03A 023 001 046 06B 01F 020 025 1C8 084 01B 041 084 018 03D 023 015 001 01B 022 017 039 038 1C8 033 021 024 03D 084 01F 035 1C5 1CC 011 020 084 023 001 11E 03E 023 011 01F 0B9 084 015 011 011 035 1C0</x:v>
      </x:c>
    </x:row>
    <x:row r="776">
      <x:c r="A776" s="22" t="str">
        <x:f>"03"</x:f>
        <x:v>03</x:v>
      </x:c>
      <x:c r="B776" s="22" t="str">
        <x:f>"06"</x:f>
        <x:v>06</x:v>
      </x:c>
      <x:c r="C776" s="22" t="str">
        <x:f>"0x0306"</x:f>
        <x:v>0x0306</x:v>
      </x:c>
      <x:c r="D776" s="21" t="str">
        <x:v>&lt;SPEAKER&gt;「カプリ キャッチャーの
しょうひんは ときどき
いれかえてるからね&lt;WAIT&gt;&lt;SPEAKER&gt;「たまに ものすごい
ゴージャスな しょうひんを
いれることも あるんだ</x:v>
      </x:c>
      <x:c r="E776" s="19" t="str">
        <x:v>&lt;SPEAKER&gt;We change the
prizes in the Capri Catcher
from time to time.&lt;WAIT&gt;&lt;SPEAKER&gt;Sometimes we put
in something really luxurious!</x:v>
      </x:c>
      <x:c r="F776" s="20" t="str"/>
      <x:c r="G776" s="20" t="str"/>
      <x:c r="H776" s="23" t="str">
        <x:v>SPEAKER NEWLINE NEWLINE WAIT SPEAKER NEWLINE END</x:v>
      </x:c>
      <x:c r="I776" s="23" t="str">
        <x:v>EA:CA8B</x:v>
      </x:c>
      <x:c r="J776" s="23" t="str">
        <x:v>CC 57 65 01 63 68 61 6E 67 65 01 74 68 65 C8 70 72 69 7A 65 73 01 69 6E 01 74 68 65 01 43 61 70 72 69 01 43 61 74 63 68 65 72 C8 66 72 6F 6D 01 74 69 6D 65 01 74 6F 01 74 69 6D 65 2E C5 CC 53 6F 6D 65 74 69 6D 65 73 01 77 65 01 70 75 74 C8 69 6E 01 73 6F 6D 65 74 68 69 6E 67 01 72 65 61 6C 6C 79 01 6C 75 78 75 72 69 6F 75 73 21 C0</x:v>
      </x:c>
      <x:c r="K776" s="23" t="str">
        <x:v>1CC 047 083 05D 069 001 048 071 070 052 071 078 028 1C8 01B 041 012 02A 03D 029 001 023 016 084 023 016 1C8 011 039 015 013 022 038 015 036 027 1C5 1CC 01F 02E 025 001 032 028 01C 084 019 011 1C8 084 04B 078 084 04D 071 04E 024 001 01B 041 012 02A 03D 03C 1C8 011 039 038 019 023 032 001 010 038 03D 084 01F 1C0</x:v>
      </x:c>
    </x:row>
    <x:row r="777">
      <x:c r="A777" s="22" t="str">
        <x:f>"03"</x:f>
        <x:v>03</x:v>
      </x:c>
      <x:c r="B777" s="22" t="str">
        <x:f>"07"</x:f>
        <x:v>07</x:v>
      </x:c>
      <x:c r="C777" s="22" t="str">
        <x:f>"0x0307"</x:f>
        <x:v>0x0307</x:v>
      </x:c>
      <x:c r="D777" s="21" t="str">
        <x:v>&lt;SPEAKER&gt;「これは カプリキャッチャー&lt;WAIT&gt;&lt;SPEAKER&gt;「ケースの中の しょうひんを
きかいの うでを 使って
うまく キャッチできれば・・・&lt;WAIT&gt;&lt;SPEAKER&gt;「しょうひんは あんたのもの!</x:v>
      </x:c>
      <x:c r="E777" s="19" t="str">
        <x:v>&lt;SPEAKER&gt;This is the Capri Catcher.&lt;WAIT&gt;&lt;SPEAKER&gt;Use the machine's
arm to grab a prize
inside the case and...&lt;WAIT&gt;&lt;SPEAKER&gt;If you catch
it, it is yours!</x:v>
      </x:c>
      <x:c r="F777" s="20" t="str"/>
      <x:c r="G777" s="20" t="str"/>
      <x:c r="H777" s="23" t="str">
        <x:v>SPEAKER WAIT SPEAKER NEWLINE NEWLINE WAIT SPEAKER NEWLINE END</x:v>
      </x:c>
      <x:c r="I777" s="23" t="str">
        <x:v>EA:CAFA</x:v>
      </x:c>
      <x:c r="J777" s="23" t="str">
        <x:v>CC 54 68 69 73 01 69 73 01 74 68 65 01 43 61 70 72 69 01 43 61 74 63 68 65 72 2E C5 CC 55 73 65 01 74 68 65 01 6D 61 63 68 69 6E 65 27 73 C8 61 72 6D 01 74 6F 01 67 72 61 62 01 61 01 70 72 69 7A 65 C8 69 6E 73 69 64 65 01 74 68 65 01 63 61 73 65 01 61 6E 64 2E 2E 2E C5 CC 49 66 01 79 6F 75 01 63 61 74 63 68 C8 69 74 2C 01 69 74 01 69 73 01 79 6F 75 72 73 21 C0</x:v>
      </x:c>
      <x:c r="K777" s="23" t="str">
        <x:v>1CC 019 039 029 001 047 083 05D 069 048 071 070 052 071 078 1C5 1CC 04A 078 04E 028 0A1 028 001 01B 041 012 02A 03D 03C 1C8 016 015 011 028 001 012 084 022 03C 001 123 03E 022 1C8 012 02E 017 001 048 071 070 052 084 022 016 039 084 029 081 081 081 1C5 1CC 01B 041 012 02A 03D 029 001 010 03D 01F 028 032 028 07A 1C0</x:v>
      </x:c>
    </x:row>
    <x:row r="778">
      <x:c r="A778" s="22" t="str">
        <x:f>"03"</x:f>
        <x:v>03</x:v>
      </x:c>
      <x:c r="B778" s="22" t="str">
        <x:f>"08"</x:f>
        <x:v>08</x:v>
      </x:c>
      <x:c r="C778" s="22" t="str">
        <x:f>"0x0308"</x:f>
        <x:v>0x0308</x:v>
      </x:c>
      <x:c r="D778" s="21" t="str">
        <x:v>&lt;SPEAKER&gt;「カプリキャッチャーの
せつめいを きくかい?</x:v>
      </x:c>
      <x:c r="E778" s="19" t="str">
        <x:v>&lt;SPEAKER&gt;Want an explanation
of the Capri Catcher?</x:v>
      </x:c>
      <x:c r="F778" s="20" t="str"/>
      <x:c r="G778" s="20" t="str"/>
      <x:c r="H778" s="23" t="str">
        <x:v>SPEAKER NEWLINE END</x:v>
      </x:c>
      <x:c r="I778" s="23" t="str">
        <x:v>EA:CB73</x:v>
      </x:c>
      <x:c r="J778" s="23" t="str">
        <x:v>CC 57 61 6E 74 01 61 6E 01 65 78 70 6C 61 6E 61 74 69 6F 6E C8 6F 66 01 74 68 65 01 43 61 70 72 69 01 43 61 74 63 68 65 72 3F C0</x:v>
      </x:c>
      <x:c r="K778" s="23" t="str">
        <x:v>1CC 047 083 05D 069 048 071 070 052 071 078 028 1C8 01D 021 031 011 03C 001 016 017 015 011 079 1C0</x:v>
      </x:c>
    </x:row>
    <x:row r="779">
      <x:c r="A779" s="22" t="str">
        <x:f>"03"</x:f>
        <x:v>03</x:v>
      </x:c>
      <x:c r="B779" s="22" t="str">
        <x:f>"09"</x:f>
        <x:v>09</x:v>
      </x:c>
      <x:c r="C779" s="22" t="str">
        <x:f>"0x0309"</x:f>
        <x:v>0x0309</x:v>
      </x:c>
      <x:c r="D779" s="21" t="str">
        <x:v>&lt;SPEAKER&gt;「きかいの うでの うごきは
まず みどりボタンで ↗
つぎに あかボタンで ↖&lt;WAIT&gt;&lt;SPEAKER&gt;「ボタンを はなせば うでは
その いちの ま下の物を
つかむって わけさ</x:v>
      </x:c>
      <x:c r="E779" s="19" t="str">
        <x:v>&lt;SPEAKER&gt;Move the arm diagonally
right with the green button first,
then diagonally left with the red.&lt;WAIT&gt;&lt;SPEAKER&gt;Release the button
and the arm grabs whatever
is directly below it.</x:v>
      </x:c>
      <x:c r="F779" s="20" t="str"/>
      <x:c r="G779" s="20" t="str"/>
      <x:c r="H779" s="23" t="str">
        <x:v>SPEAKER NEWLINE NEWLINE WAIT SPEAKER NEWLINE NEWLINE END</x:v>
      </x:c>
      <x:c r="I779" s="23" t="str">
        <x:v>EA:CB9E</x:v>
      </x:c>
      <x:c r="J779" s="23" t="str">
        <x:v>CC 4D 6F 76 65 01 74 68 65 01 61 72 6D 01 64 69 61 67 6F 6E 61 6C 6C 79 C8 72 69 67 68 74 01 77 69 74 68 01 74 68 65 01 67 72 65 65 6E 01 62 75 74 74 6F 6E 01 66 69 72 73 74 2C C8 74 68 65 6E 01 64 69 61 67 6F 6E 61 6C 6C 79 01 6C 65 66 74 01 77 69 74 68 01 74 68 65 01 72 65 64 2E C5 CC 52 65 6C 65 61 73 65 01 74 68 65 01 62 75 74 74 6F 6E C8 61 6E 64 01 74 68 65 01 61 72 6D 01 67 72 61 62 73 01 77 68 61 74 65 76 65 72 C8 69 73 01 64 69 72 65 63 74 6C 79 01 62 65 6C 6F 77 01 69 74 2E C0</x:v>
      </x:c>
      <x:c r="K779" s="23" t="str">
        <x:v>1CC 016 015 011 028 001 012 084 022 028 001 012 084 019 016 029 1C8 02E 084 01C 001 02F 084 023 037 084 05F 051 06F 084 022 001 1A3 1C8 021 084 016 025 001 010 015 084 05F 051 06F 084 022 001 1A1 1C5 1CC 084 05F 051 06F 03C 001 029 024 01D 084 029 001 012 084 022 029 1C8 01E 028 001 011 020 028 001 02E 0B8 028 08B 03C 1C8 021 015 030 03E 022 001 03B 018 01A 1C0</x:v>
      </x:c>
    </x:row>
    <x:row r="780">
      <x:c r="A780" s="22" t="str">
        <x:f>"03"</x:f>
        <x:v>03</x:v>
      </x:c>
      <x:c r="B780" s="22" t="str">
        <x:f>"0A"</x:f>
        <x:v>0A</x:v>
      </x:c>
      <x:c r="C780" s="22" t="str">
        <x:f>"0x030A"</x:f>
        <x:v>0x030A</x:v>
      </x:c>
      <x:c r="D780" s="21" t="str">
        <x:v>&lt;SPEAKER&gt;「お 来たな?
それじゃ しょうひんを わたすぜ!</x:v>
      </x:c>
      <x:c r="E780" s="19" t="str">
        <x:v>&lt;SPEAKER&gt;Oh, you came
back! Here is your prize!</x:v>
      </x:c>
      <x:c r="F780" s="20" t="str"/>
      <x:c r="G780" s="20" t="str"/>
      <x:c r="H780" s="23" t="str">
        <x:v>SPEAKER NEWLINE END</x:v>
      </x:c>
      <x:c r="I780" s="23" t="str">
        <x:v>EA:CC42</x:v>
      </x:c>
      <x:c r="J780" s="23" t="str">
        <x:v>CC 4F 68 2C 01 79 6F 75 01 63 61 6D 65 C8 62 61 63 6B 21 01 48 65 72 65 01 69 73 01 79 6F 75 72 01 70 72 69 7A 65 21 C0</x:v>
      </x:c>
      <x:c r="K780" s="23" t="str">
        <x:v>1CC 014 001 097 01F 024 079 1C8 01E 039 084 01B 03F 001 01B 041 012 02A 03D 03C 001 03B 01F 01C 084 01D 07A 1C0</x:v>
      </x:c>
    </x:row>
    <x:row r="781">
      <x:c r="A781" s="22" t="str">
        <x:f>"03"</x:f>
        <x:v>03</x:v>
      </x:c>
      <x:c r="B781" s="22" t="str">
        <x:f>"0B"</x:f>
        <x:v>0B</x:v>
      </x:c>
      <x:c r="C781" s="22" t="str">
        <x:f>"0x030B"</x:f>
        <x:v>0x030B</x:v>
      </x:c>
      <x:c r="D781" s="21" t="str">
        <x:v>&lt;SPEAKER&gt;「なんだ まだ
にもつが いっぱいじゃねーか!</x:v>
      </x:c>
      <x:c r="E781" s="19" t="str">
        <x:v>&lt;SPEAKER&gt;Your baggage is still full!</x:v>
      </x:c>
      <x:c r="F781" s="20" t="str"/>
      <x:c r="G781" s="20" t="str"/>
      <x:c r="H781" s="23" t="str">
        <x:v>SPEAKER END</x:v>
      </x:c>
      <x:c r="I781" s="23" t="str">
        <x:v>EA:CC6A</x:v>
      </x:c>
      <x:c r="J781" s="23" t="str">
        <x:v>CC 59 6F 75 72 01 62 61 67 67 61 67 65 01 69 73 01 73 74 69 6C 6C 01 66 75 6C 6C 21 C0</x:v>
      </x:c>
      <x:c r="K781" s="23" t="str">
        <x:v>1CC 024 03D 084 01F 001 02E 084 01F 1C8 025 032 021 084 015 001 011 03E 083 029 011 084 01B 03F 027 078 015 07A 1C0</x:v>
      </x:c>
    </x:row>
    <x:row r="782">
      <x:c r="A782" s="22" t="str">
        <x:f>"03"</x:f>
        <x:v>03</x:v>
      </x:c>
      <x:c r="B782" s="22" t="str">
        <x:f>"0C"</x:f>
        <x:v>0C</x:v>
      </x:c>
      <x:c r="C782" s="22" t="str">
        <x:f>"0x030C"</x:f>
        <x:v>0x030C</x:v>
      </x:c>
      <x:c r="D782" s="21" t="str">
        <x:v>&lt;CLEAR&gt;
カプリキャッチャーは
1回 コイン2枚です
あそびますか?</x:v>
      </x:c>
      <x:c r="E782" s="19" t="str">
        <x:v>&lt;CLEAR&gt;The Capri Catcher costs
2 coins per play. Play?</x:v>
      </x:c>
      <x:c r="F782" s="20" t="str"/>
      <x:c r="G782" s="20" t="str"/>
      <x:c r="H782" s="23" t="str">
        <x:v>CLEAR NEWLINE END</x:v>
      </x:c>
      <x:c r="I782" s="23" t="str">
        <x:v>EA:CC87</x:v>
      </x:c>
      <x:c r="J782" s="23" t="str">
        <x:v>D0 54 68 65 01 43 61 70 72 69 01 43 61 74 63 68 65 72 01 63 6F 73 74 73 C8 32 01 63 6F 69 6E 73 01 70 65 72 01 70 6C 61 79 2E 01 50 6C 61 79 3F C0</x:v>
      </x:c>
      <x:c r="K782" s="23" t="str">
        <x:v>1D0 047 083 05D 069 048 071 070 052 071 078 029 1C8 003 169 001 04B 043 06F 004 115 084 022 01C 1C8 010 01E 084 02A 02E 01C 015 079 1C0</x:v>
      </x:c>
    </x:row>
    <x:row r="783">
      <x:c r="A783" s="22" t="str">
        <x:f>"03"</x:f>
        <x:v>03</x:v>
      </x:c>
      <x:c r="B783" s="22" t="str">
        <x:f>"0D"</x:f>
        <x:v>0D</x:v>
      </x:c>
      <x:c r="C783" s="22" t="str">
        <x:f>"0x030D"</x:f>
        <x:v>0x030D</x:v>
      </x:c>
      <x:c r="D783" s="21" t="str">
        <x:v>&lt;CLEAR&gt;
カプリキャッチャーは
1回 コイン2枚です
でも コインが ありませんね・・・</x:v>
      </x:c>
      <x:c r="E783" s="19" t="str">
        <x:v>&lt;CLEAR&gt;The Capri Catcher costs 2 coins
per play, but you have no coins.</x:v>
      </x:c>
      <x:c r="F783" s="20" t="str"/>
      <x:c r="G783" s="20" t="str"/>
      <x:c r="H783" s="23" t="str">
        <x:v>CLEAR NEWLINE END</x:v>
      </x:c>
      <x:c r="I783" s="23" t="str">
        <x:v>EA:CCB8</x:v>
      </x:c>
      <x:c r="J783" s="23" t="str">
        <x:v>D0 54 68 65 01 43 61 70 72 69 01 43 61 74 63 68 65 72 01 63 6F 73 74 73 01 32 01 63 6F 69 6E 73 C8 70 65 72 01 70 6C 61 79 2C 01 62 75 74 01 79 6F 75 01 68 61 76 65 01 6E 6F 01 63 6F 69 6E 73 2E C0</x:v>
      </x:c>
      <x:c r="K783" s="23" t="str">
        <x:v>1D0 047 083 05D 069 048 071 070 052 071 078 029 1C8 003 169 001 04B 043 06F 004 115 084 022 01C 1C8 084 022 032 001 04B 043 06F 084 015 001 010 037 02E 01D 03D 027 081 081 081 1C0</x:v>
      </x:c>
    </x:row>
    <x:row r="784">
      <x:c r="A784" s="22" t="str">
        <x:f>"03"</x:f>
        <x:v>03</x:v>
      </x:c>
      <x:c r="B784" s="22" t="str">
        <x:f>"0E"</x:f>
        <x:v>0E</x:v>
      </x:c>
      <x:c r="C784" s="22" t="str">
        <x:f>"0x030E"</x:f>
        <x:v>0x030E</x:v>
      </x:c>
      <x:c r="D784" s="21" t="str">
        <x:v>&lt;CLEAR&gt;
カプリキャッチャーは
1回 コイン2枚です
でも コインが たりませんね・・・</x:v>
      </x:c>
      <x:c r="E784" s="19" t="str">
        <x:v>&lt;CLEAR&gt;The Capri Catcher costs
2 coins per play, but
you do not have enough.</x:v>
      </x:c>
      <x:c r="F784" s="20" t="str"/>
      <x:c r="G784" s="20" t="str"/>
      <x:c r="H784" s="23" t="str">
        <x:v>CLEAR NEWLINE NEWLINE END</x:v>
      </x:c>
      <x:c r="I784" s="23" t="str">
        <x:v>EA:CCFA</x:v>
      </x:c>
      <x:c r="J784" s="23" t="str">
        <x:v>D0 54 68 65 01 43 61 70 72 69 01 43 61 74 63 68 65 72 01 63 6F 73 74 73 C8 32 01 63 6F 69 6E 73 01 70 65 72 01 70 6C 61 79 2C 01 62 75 74 C8 79 6F 75 01 64 6F 01 6E 6F 74 01 68 61 76 65 01 65 6E 6F 75 67 68 2E C0</x:v>
      </x:c>
      <x:c r="K784" s="23" t="str">
        <x:v>1D0 047 083 05D 069 048 071 070 052 071 078 029 1C8 003 169 001 04B 043 06F 004 115 084 022 01C 1C8 084 022 032 001 04B 043 06F 084 015 001 01F 037 02E 01D 03D 027 081 081 081 1C0</x:v>
      </x:c>
    </x:row>
    <x:row r="785">
      <x:c r="A785" s="22" t="str">
        <x:f>"03"</x:f>
        <x:v>03</x:v>
      </x:c>
      <x:c r="B785" s="22" t="str">
        <x:f>"0F"</x:f>
        <x:v>0F</x:v>
      </x:c>
      <x:c r="C785" s="22" t="str">
        <x:f>"0x030F"</x:f>
        <x:v>0x030F</x:v>
      </x:c>
      <x:c r="D785" s="21" t="str">
        <x:v>&lt;CLEAR&gt;
カプリキャッチャーから
&lt;INSERT_A&gt;が でてきた</x:v>
      </x:c>
      <x:c r="E785" s="19" t="str">
        <x:v>&lt;CLEAR&gt;&lt;INSERT_A&gt; came
out of the Capri Catcher!</x:v>
      </x:c>
      <x:c r="F785" s="20" t="str"/>
      <x:c r="G785" s="20" t="str"/>
      <x:c r="H785" s="23" t="str">
        <x:v>CLEAR INSERT_A NEWLINE END</x:v>
      </x:c>
      <x:c r="I785" s="23" t="str">
        <x:v>EA:CD41</x:v>
      </x:c>
      <x:c r="J785" s="23" t="str">
        <x:v>D0 C4 01 63 61 6D 65 C8 6F 75 74 01 6F 66 01 74 68 65 01 43 61 70 72 69 01 43 61 74 63 68 65 72 21 C0</x:v>
      </x:c>
      <x:c r="K785" s="23" t="str">
        <x:v>1D0 047 083 05D 069 048 071 070 052 071 078 015 036 1C8 1C4 084 015 001 084 022 022 016 01F 1C0</x:v>
      </x:c>
    </x:row>
    <x:row r="786">
      <x:c r="A786" s="22" t="str">
        <x:f>"03"</x:f>
        <x:v>03</x:v>
      </x:c>
      <x:c r="B786" s="22" t="str">
        <x:f>"10"</x:f>
        <x:v>10</x:v>
      </x:c>
      <x:c r="C786" s="22" t="str">
        <x:f>"0x0310"</x:f>
        <x:v>0x0310</x:v>
      </x:c>
      <x:c r="D786" s="21" t="str">
        <x:v>&lt;SPEAKER&gt;「おやっ お嬢ちゃん
おこまりのようだね? それじゃあ
しょうひんは おれが あずかるよ</x:v>
      </x:c>
      <x:c r="E786" s="19" t="str">
        <x:v>&lt;SPEAKER&gt;Oh, little lady,
you seem stuck. I will
hold the prize for you.</x:v>
      </x:c>
      <x:c r="F786" s="20" t="str"/>
      <x:c r="G786" s="20" t="str"/>
      <x:c r="H786" s="23" t="str">
        <x:v>SPEAKER NEWLINE NEWLINE END</x:v>
      </x:c>
      <x:c r="I786" s="23" t="str">
        <x:v>EA:CD63</x:v>
      </x:c>
      <x:c r="J786" s="23" t="str">
        <x:v>CC 4F 68 2C 01 6C 69 74 74 6C 65 01 6C 61 64 79 2C C8 79 6F 75 01 73 65 65 6D 01 73 74 75 63 6B 2E 01 49 01 77 69 6C 6C C8 68 6F 6C 64 01 74 68 65 01 70 72 69 7A 65 01 66 6F 72 01 79 6F 75 2E C0</x:v>
      </x:c>
      <x:c r="K786" s="23" t="str">
        <x:v>1CC 014 033 03E 001 014 0D8 020 03F 03D 1C8 014 019 02E 037 028 035 012 084 01F 027 079 001 01E 039 084 01B 03F 010 1C8 01B 041 012 02A 03D 029 001 014 039 084 015 001 010 084 01C 015 038 035 1C0</x:v>
      </x:c>
    </x:row>
    <x:row r="787">
      <x:c r="A787" s="22" t="str">
        <x:f>"03"</x:f>
        <x:v>03</x:v>
      </x:c>
      <x:c r="B787" s="22" t="str">
        <x:f>"11"</x:f>
        <x:v>11</x:v>
      </x:c>
      <x:c r="C787" s="22" t="str">
        <x:f>"0x0311"</x:f>
        <x:v>0x0311</x:v>
      </x:c>
      <x:c r="D787" s="21" t="str">
        <x:v>&lt;SPEAKER&gt;「にもつを なんとかして
とりに来てくれよ! はやく来ないと
おれがいただいちまうぞ!</x:v>
      </x:c>
      <x:c r="E787" s="19" t="str">
        <x:v>&lt;SPEAKER&gt;Make room in your
baggage and come get it! Hurry,
or I might keep it for myself!</x:v>
      </x:c>
      <x:c r="F787" s="20" t="str"/>
      <x:c r="G787" s="20" t="str"/>
      <x:c r="H787" s="23" t="str">
        <x:v>SPEAKER NEWLINE NEWLINE END</x:v>
      </x:c>
      <x:c r="I787" s="23" t="str">
        <x:v>EA:CDA4</x:v>
      </x:c>
      <x:c r="J787" s="23" t="str">
        <x:v>CC 4D 61 6B 65 01 72 6F 6F 6D 01 69 6E 01 79 6F 75 72 C8 62 61 67 67 61 67 65 01 61 6E 64 01 63 6F 6D 65 01 67 65 74 01 69 74 21 01 48 75 72 72 79 2C C8 6F 72 01 49 01 6D 69 67 68 74 01 6B 65 65 70 01 69 74 01 66 6F 72 01 6D 79 73 65 6C 66 21 C0</x:v>
      </x:c>
      <x:c r="K787" s="23" t="str">
        <x:v>1CC 025 032 021 03C 001 024 03D 023 015 01B 022 1C8 023 037 025 097 022 017 039 035 07A 001 029 033 017 097 024 011 023 1C8 014 039 084 015 011 01F 084 01F 011 020 02E 012 084 01E 07A 1C0</x:v>
      </x:c>
    </x:row>
    <x:row r="788">
      <x:c r="A788" s="22" t="str">
        <x:f>"03"</x:f>
        <x:v>03</x:v>
      </x:c>
      <x:c r="B788" s="22" t="str">
        <x:f>"12"</x:f>
        <x:v>12</x:v>
      </x:c>
      <x:c r="C788" s="22" t="str">
        <x:f>"0x0312"</x:f>
        <x:v>0x0312</x:v>
      </x:c>
      <x:c r="D788" s="21" t="str">
        <x:v>&lt;CLEAR&gt;
ざんねんでした</x:v>
      </x:c>
      <x:c r="E788" s="19" t="str">
        <x:v>&lt;CLEAR&gt;Too bad!</x:v>
      </x:c>
      <x:c r="F788" s="20" t="str"/>
      <x:c r="G788" s="20" t="str"/>
      <x:c r="H788" s="23" t="str">
        <x:v>CLEAR END</x:v>
      </x:c>
      <x:c r="I788" s="23" t="str">
        <x:v>EA:CDF6</x:v>
      </x:c>
      <x:c r="J788" s="23" t="str">
        <x:v>D0 54 6F 6F 01 62 61 64 21 C0</x:v>
      </x:c>
      <x:c r="K788" s="23" t="str">
        <x:v>1D0 084 01A 03D 027 03D 084 022 01B 01F 1C0</x:v>
      </x:c>
    </x:row>
    <x:row r="789">
      <x:c r="A789" s="22" t="str">
        <x:f>"03"</x:f>
        <x:v>03</x:v>
      </x:c>
      <x:c r="B789" s="22" t="str">
        <x:f>"13"</x:f>
        <x:v>13</x:v>
      </x:c>
      <x:c r="C789" s="22" t="str">
        <x:f>"0x0313"</x:f>
        <x:v>0x0313</x:v>
      </x:c>
      <x:c r="D789" s="21" t="str">
        <x:v>&lt;CLEAR&gt;
もういちど あそびますか?</x:v>
      </x:c>
      <x:c r="E789" s="19" t="str">
        <x:v>&lt;CLEAR&gt;Play again?</x:v>
      </x:c>
      <x:c r="F789" s="20" t="str"/>
      <x:c r="G789" s="20" t="str"/>
      <x:c r="H789" s="23" t="str">
        <x:v>CLEAR END</x:v>
      </x:c>
      <x:c r="I789" s="23" t="str">
        <x:v>EA:CE00</x:v>
      </x:c>
      <x:c r="J789" s="23" t="str">
        <x:v>D0 50 6C 61 79 01 61 67 61 69 6E 3F C0</x:v>
      </x:c>
      <x:c r="K789" s="23" t="str">
        <x:v>1D0 032 012 011 020 084 023 001 010 01E 084 02A 02E 01C 015 079 1C0</x:v>
      </x:c>
    </x:row>
    <x:row r="790">
      <x:c r="A790" s="22" t="str">
        <x:f>"03"</x:f>
        <x:v>03</x:v>
      </x:c>
      <x:c r="B790" s="22" t="str">
        <x:f>"14"</x:f>
        <x:v>14</x:v>
      </x:c>
      <x:c r="C790" s="22" t="str">
        <x:f>"0x0314"</x:f>
        <x:v>0x0314</x:v>
      </x:c>
      <x:c r="D790" s="21" t="str">
        <x:v>&lt;CLEAR&gt;
スロットマシンがあります
あそびますか?</x:v>
      </x:c>
      <x:c r="E790" s="19" t="str">
        <x:v>&lt;CLEAR&gt;There is a slot machine. Play?</x:v>
      </x:c>
      <x:c r="F790" s="20" t="str"/>
      <x:c r="G790" s="20" t="str"/>
      <x:c r="H790" s="23" t="str">
        <x:v>CLEAR END</x:v>
      </x:c>
      <x:c r="I790" s="23" t="str">
        <x:v>EA:CE0D</x:v>
      </x:c>
      <x:c r="J790" s="23" t="str">
        <x:v>D0 54 68 65 72 65 01 69 73 01 61 01 73 6C 6F 74 01 6D 61 63 68 69 6E 65 2E 01 50 6C 61 79 3F C0</x:v>
      </x:c>
      <x:c r="K790" s="23" t="str">
        <x:v>1D0 04E 06C 070 055 060 04D 06F 084 015 010 037 02E 01C 1C8 010 01E 084 02A 02E 01C 015 079 1C0</x:v>
      </x:c>
    </x:row>
    <x:row r="791">
      <x:c r="A791" s="22" t="str">
        <x:f>"03"</x:f>
        <x:v>03</x:v>
      </x:c>
      <x:c r="B791" s="22" t="str">
        <x:f>"15"</x:f>
        <x:v>15</x:v>
      </x:c>
      <x:c r="C791" s="22" t="str">
        <x:f>"0x0315"</x:f>
        <x:v>0x0315</x:v>
      </x:c>
      <x:c r="D791" s="21" t="str">
        <x:v>&lt;CLEAR&gt;
スロットマシンがあります
でも コインが ありませんね・・・</x:v>
      </x:c>
      <x:c r="E791" s="19" t="str">
        <x:v>&lt;CLEAR&gt;There is a slot machine,
but you have no coins.</x:v>
      </x:c>
      <x:c r="F791" s="20" t="str"/>
      <x:c r="G791" s="20" t="str"/>
      <x:c r="H791" s="23" t="str">
        <x:v>CLEAR NEWLINE END</x:v>
      </x:c>
      <x:c r="I791" s="23" t="str">
        <x:v>EA:CE2D</x:v>
      </x:c>
      <x:c r="J791" s="23" t="str">
        <x:v>D0 54 68 65 72 65 01 69 73 01 61 01 73 6C 6F 74 01 6D 61 63 68 69 6E 65 2C C8 62 75 74 01 79 6F 75 01 68 61 76 65 01 6E 6F 01 63 6F 69 6E 73 2E C0</x:v>
      </x:c>
      <x:c r="K791" s="23" t="str">
        <x:v>1D0 04E 06C 070 055 060 04D 06F 084 015 010 037 02E 01C 1C8 084 022 032 001 04B 043 06F 084 015 001 010 037 02E 01D 03D 027 081 081 081 1C0</x:v>
      </x:c>
    </x:row>
    <x:row r="792">
      <x:c r="A792" s="22" t="str">
        <x:f>"03"</x:f>
        <x:v>03</x:v>
      </x:c>
      <x:c r="B792" s="22" t="str">
        <x:f>"16"</x:f>
        <x:v>16</x:v>
      </x:c>
      <x:c r="C792" s="22" t="str">
        <x:f>"0x0316"</x:f>
        <x:v>0x0316</x:v>
      </x:c>
      <x:c r="D792" s="21" t="str">
        <x:v>&lt;SPEAKER&gt;「なんで みんな こんな物に
むちゅうに なるんでしょうねえ・・・
さっぱり わかりませんよ・・・</x:v>
      </x:c>
      <x:c r="E792" s="19" t="str">
        <x:v>&lt;SPEAKER&gt;Why does everyone get
so obsessed with these things?
I just do not understand it...</x:v>
      </x:c>
      <x:c r="F792" s="20" t="str"/>
      <x:c r="G792" s="20" t="str"/>
      <x:c r="H792" s="23" t="str">
        <x:v>SPEAKER NEWLINE NEWLINE END</x:v>
      </x:c>
      <x:c r="I792" s="23" t="str">
        <x:v>EA:CE5E</x:v>
      </x:c>
      <x:c r="J792" s="23" t="str">
        <x:v>CC 57 68 79 01 64 6F 65 73 01 65 76 65 72 79 6F 6E 65 01 67 65 74 C8 73 6F 01 6F 62 73 65 73 73 65 64 01 77 69 74 68 01 74 68 65 73 65 01 74 68 69 6E 67 73 3F C8 49 01 6A 75 73 74 01 64 6F 01 6E 6F 74 01 75 6E 64 65 72 73 74 61 6E 64 01 69 74 2E 2E 2E C0</x:v>
      </x:c>
      <x:c r="K792" s="23" t="str">
        <x:v>1CC 024 03D 084 022 001 02F 03D 024 001 019 03D 024 08B 025 1C8 030 020 040 012 025 001 024 038 03D 084 022 01B 041 012 027 013 081 081 081 1C8 01A 03E 083 029 037 001 03B 015 037 02E 01D 03D 035 081 081 081 1C0</x:v>
      </x:c>
    </x:row>
    <x:row r="793">
      <x:c r="A793" s="22" t="str">
        <x:f>"03"</x:f>
        <x:v>03</x:v>
      </x:c>
      <x:c r="B793" s="22" t="str">
        <x:f>"17"</x:f>
        <x:v>17</x:v>
      </x:c>
      <x:c r="C793" s="22" t="str">
        <x:f>"0x0317"</x:f>
        <x:v>0x0317</x:v>
      </x:c>
      <x:c r="D793" s="21" t="str">
        <x:v>&lt;SPEAKER&gt;「お お嬢さま!
話しかけないでくだされ!
いま だいじな所ですじゃ!</x:v>
      </x:c>
      <x:c r="E793" s="19" t="str">
        <x:v>&lt;SPEAKER&gt;L-Lady! Please do not talk
to me! This is a critical moment!</x:v>
      </x:c>
      <x:c r="F793" s="20" t="str"/>
      <x:c r="G793" s="20" t="str"/>
      <x:c r="H793" s="23" t="str">
        <x:v>SPEAKER NEWLINE END</x:v>
      </x:c>
      <x:c r="I793" s="23" t="str">
        <x:v>EA:CEB3</x:v>
      </x:c>
      <x:c r="J793" s="23" t="str">
        <x:v>CC 4C 2D 4C 61 64 79 21 01 50 6C 65 61 73 65 01 64 6F 01 6E 6F 74 01 74 61 6C 6B C8 74 6F 01 6D 65 21 01 54 68 69 73 01 69 73 01 61 01 63 72 69 74 69 63 61 6C 01 6D 6F 6D 65 6E 74 21 C0</x:v>
      </x:c>
      <x:c r="K793" s="23" t="str">
        <x:v>1CC 014 001 014 0D8 01A 02E 07A 1C8 0A0 01B 015 018 024 011 084 022 017 084 01F 01A 039 07A 1C8 011 02E 001 084 01F 011 084 01B 024 12F 084 022 01C 084 01B 03F 07A 1C0</x:v>
      </x:c>
    </x:row>
    <x:row r="794">
      <x:c r="A794" s="22" t="str">
        <x:f>"03"</x:f>
        <x:v>03</x:v>
      </x:c>
      <x:c r="B794" s="22" t="str">
        <x:f>"18"</x:f>
        <x:v>18</x:v>
      </x:c>
      <x:c r="C794" s="22" t="str">
        <x:f>"0x0318"</x:f>
        <x:v>0x0318</x:v>
      </x:c>
      <x:c r="D794" s="21" t="str">
        <x:v>&lt;SPEAKER&gt;「観光名所 デスランド鉱山の
ペナントは センスがよくて
人気ばつぐんだよ!&lt;WAIT&gt;&lt;SPEAKER&gt;「買ってくのは おっさんや
囚人ばっかだけどな!
お嬢ちゃんは 何か用かい?</x:v>
      </x:c>
      <x:c r="E794" s="19" t="str">
        <x:v>&lt;SPEAKER&gt;The Deathvalley
Mine pennant is stylish
and extremely popular!&lt;WAIT&gt;&lt;SPEAKER&gt;Though only old
men and prisoners ever buy
one. Need something, kid?</x:v>
      </x:c>
      <x:c r="F794" s="20" t="str"/>
      <x:c r="G794" s="20" t="str"/>
      <x:c r="H794" s="23" t="str">
        <x:v>SPEAKER NEWLINE NEWLINE WAIT SPEAKER NEWLINE NEWLINE END</x:v>
      </x:c>
      <x:c r="I794" s="23" t="str">
        <x:v>EA:CEF1</x:v>
      </x:c>
      <x:c r="J794" s="23" t="str">
        <x:v>CC 54 68 65 01 44 65 61 74 68 76 61 6C 6C 65 79 C8 4D 69 6E 65 01 70 65 6E 6E 61 6E 74 01 69 73 01 73 74 79 6C 69 73 68 C8 61 6E 64 01 65 78 74 72 65 6D 65 6C 79 01 70 6F 70 75 6C 61 72 21 C5 CC 54 68 6F 75 67 68 01 6F 6E 6C 79 01 6F 6C 64 C8 6D 65 6E 01 61 6E 64 01 70 72 69 73 6F 6E 65 72 73 01 65 76 65 72 01 62 75 79 C8 6F 6E 65 2E 01 4E 65 65 64 01 73 6F 6D 65 74 68 69 6E 67 2C 01 6B 69 64 3F C0</x:v>
      </x:c>
      <x:c r="K794" s="23" t="str">
        <x:v>1CC 149 14A 0CD 12F 001 084 054 04E 068 06F 084 055 10B 10C 028 1C8 083 05E 056 06F 055 029 001 04F 06F 04E 084 015 035 017 022 1C8 091 099 084 029 021 084 017 03D 084 01F 035 07A 1C5 1CC 0A8 03E 022 017 028 029 001 014 03E 01A 03D 033 1C8 113 091 084 029 03E 015 084 01F 018 084 023 024 07A 1C8 014 0D8 020 03F 03D 029 001 093 015 112 015 011 079 1C0</x:v>
      </x:c>
    </x:row>
    <x:row r="795">
      <x:c r="A795" s="22" t="str">
        <x:f>"03"</x:f>
        <x:v>03</x:v>
      </x:c>
      <x:c r="B795" s="22" t="str">
        <x:f>"19"</x:f>
        <x:v>19</x:v>
      </x:c>
      <x:c r="C795" s="22" t="str">
        <x:f>"0x0319"</x:f>
        <x:v>0x0319</x:v>
      </x:c>
      <x:c r="D795" s="21" t="str">
        <x:v>&lt;CLEAR&gt;
ペナントが はってある</x:v>
      </x:c>
      <x:c r="E795" s="19" t="str">
        <x:v>&lt;CLEAR&gt;A pennant is hanging here.</x:v>
      </x:c>
      <x:c r="F795" s="20" t="str"/>
      <x:c r="G795" s="20" t="str"/>
      <x:c r="H795" s="23" t="str">
        <x:v>CLEAR END</x:v>
      </x:c>
      <x:c r="I795" s="23" t="str">
        <x:v>EA:CF77</x:v>
      </x:c>
      <x:c r="J795" s="23" t="str">
        <x:v>D0 41 01 70 65 6E 6E 61 6E 74 01 69 73 01 68 61 6E 67 69 6E 67 01 68 65 72 65 2E C0</x:v>
      </x:c>
      <x:c r="K795" s="23" t="str">
        <x:v>1D0 083 05E 056 06F 055 084 015 001 029 03E 022 010 038 1C0</x:v>
      </x:c>
    </x:row>
    <x:row r="796">
      <x:c r="A796" s="22" t="str">
        <x:f>"03"</x:f>
        <x:v>03</x:v>
      </x:c>
      <x:c r="B796" s="22" t="str">
        <x:f>"1A"</x:f>
        <x:v>1A</x:v>
      </x:c>
      <x:c r="C796" s="22" t="str">
        <x:f>"0x031A"</x:f>
        <x:v>0x031A</x:v>
      </x:c>
      <x:c r="D796" s="21" t="str">
        <x:v>&lt;SPEAKER&gt;「なんだ まだ さぎょうは
おわってない はずだぞ!
早く 鉱山に もどれ!</x:v>
      </x:c>
      <x:c r="E796" s="19" t="str">
        <x:v>&lt;SPEAKER&gt;Your work is
not finished yet! Get
back to Deathvalley Mine!</x:v>
      </x:c>
      <x:c r="F796" s="20" t="str"/>
      <x:c r="G796" s="20" t="str"/>
      <x:c r="H796" s="23" t="str">
        <x:v>SPEAKER NEWLINE NEWLINE END</x:v>
      </x:c>
      <x:c r="I796" s="23" t="str">
        <x:v>EA:CF93</x:v>
      </x:c>
      <x:c r="J796" s="23" t="str">
        <x:v>CC 59 6F 75 72 01 77 6F 72 6B 01 69 73 C8 6E 6F 74 01 66 69 6E 69 73 68 65 64 01 79 65 74 21 01 47 65 74 C8 62 61 63 6B 01 74 6F 01 44 65 61 74 68 76 61 6C 6C 65 79 01 4D 69 6E 65 21 C0</x:v>
      </x:c>
      <x:c r="K796" s="23" t="str">
        <x:v>1CC 024 03D 084 01F 001 02E 084 01F 001 01A 084 016 041 012 029 1C8 014 03B 03E 022 024 011 001 029 084 01C 084 01F 084 01E 07A 1C8 144 017 001 10B 10C 025 001 032 084 023 039 07A 1C0</x:v>
      </x:c>
    </x:row>
    <x:row r="797">
      <x:c r="A797" s="22" t="str">
        <x:f>"03"</x:f>
        <x:v>03</x:v>
      </x:c>
      <x:c r="B797" s="22" t="str">
        <x:f>"1B"</x:f>
        <x:v>1B</x:v>
      </x:c>
      <x:c r="C797" s="22" t="str">
        <x:f>"0x031B"</x:f>
        <x:v>0x031B</x:v>
      </x:c>
      <x:c r="D797" s="21" t="str">
        <x:v>&lt;SPEAKER&gt;「お! しんいりだな!
しっかり はたらけよ!</x:v>
      </x:c>
      <x:c r="E797" s="19" t="str">
        <x:v>&lt;SPEAKER&gt;Oh, a
newcomer! Work hard!</x:v>
      </x:c>
      <x:c r="F797" s="20" t="str"/>
      <x:c r="G797" s="20" t="str"/>
      <x:c r="H797" s="23" t="str">
        <x:v>SPEAKER NEWLINE END</x:v>
      </x:c>
      <x:c r="I797" s="23" t="str">
        <x:v>EA:CFD1</x:v>
      </x:c>
      <x:c r="J797" s="23" t="str">
        <x:v>CC 4F 68 2C 01 61 C8 6E 65 77 63 6F 6D 65 72 21 01 57 6F 72 6B 01 68 61 72 64 21 C0</x:v>
      </x:c>
      <x:c r="K797" s="23" t="str">
        <x:v>1CC 014 07A 001 01B 03D 011 037 084 01F 024 07A 1C8 01B 03E 015 037 001 029 01F 036 018 035 07A 1C0</x:v>
      </x:c>
    </x:row>
    <x:row r="798">
      <x:c r="A798" s="22" t="str">
        <x:f>"03"</x:f>
        <x:v>03</x:v>
      </x:c>
      <x:c r="B798" s="22" t="str">
        <x:f>"1C"</x:f>
        <x:v>1C</x:v>
      </x:c>
      <x:c r="C798" s="22" t="str">
        <x:f>"0x031C"</x:f>
        <x:v>0x031C</x:v>
      </x:c>
      <x:c r="D798" s="21" t="str">
        <x:v>&lt;SPEAKER&gt;「なんだ おまえ きっぷを
持ってないな! わるいが
通すわけには いかんな</x:v>
      </x:c>
      <x:c r="E798" s="19" t="str">
        <x:v>&lt;SPEAKER&gt;You do not have
a ticket. Sorry, but I
cannot let you through.</x:v>
      </x:c>
      <x:c r="F798" s="20" t="str"/>
      <x:c r="G798" s="20" t="str"/>
      <x:c r="H798" s="23" t="str">
        <x:v>SPEAKER NEWLINE NEWLINE END</x:v>
      </x:c>
      <x:c r="I798" s="23" t="str">
        <x:v>EA:CFED</x:v>
      </x:c>
      <x:c r="J798" s="23" t="str">
        <x:v>CC 59 6F 75 01 64 6F 01 6E 6F 74 01 68 61 76 65 C8 61 01 74 69 63 6B 65 74 2E 01 53 6F 72 72 79 2C 01 62 75 74 01 49 C8 63 61 6E 6E 6F 74 01 6C 65 74 01 79 6F 75 01 74 68 72 6F 75 67 68 2E C0</x:v>
      </x:c>
      <x:c r="K798" s="23" t="str">
        <x:v>1CC 024 03D 084 01F 001 014 02E 013 001 016 03E 083 02B 03C 1C8 0D3 03E 022 024 011 024 07A 001 03B 038 011 084 015 1C8 12E 01C 03B 018 025 029 001 011 015 03D 024 1C0</x:v>
      </x:c>
    </x:row>
    <x:row r="799">
      <x:c r="A799" s="22" t="str">
        <x:f>"03"</x:f>
        <x:v>03</x:v>
      </x:c>
      <x:c r="B799" s="22" t="str">
        <x:f>"1D"</x:f>
        <x:v>1D</x:v>
      </x:c>
      <x:c r="C799" s="22" t="str">
        <x:f>"0x031D"</x:f>
        <x:v>0x031D</x:v>
      </x:c>
      <x:c r="D799" s="21" t="str">
        <x:v>&lt;SPEAKER&gt;「がんばって はたらけば
カジノの券が もらえるからな!</x:v>
      </x:c>
      <x:c r="E799" s="19" t="str">
        <x:v>&lt;SPEAKER&gt;Work hard and you
can earn a casino ticket!</x:v>
      </x:c>
      <x:c r="F799" s="20" t="str"/>
      <x:c r="G799" s="20" t="str"/>
      <x:c r="H799" s="23" t="str">
        <x:v>SPEAKER NEWLINE END</x:v>
      </x:c>
      <x:c r="I799" s="23" t="str">
        <x:v>EA:D02D</x:v>
      </x:c>
      <x:c r="J799" s="23" t="str">
        <x:v>CC 57 6F 72 6B 01 68 61 72 64 01 61 6E 64 01 79 6F 75 C8 63 61 6E 01 65 61 72 6E 01 61 01 63 61 73 69 6E 6F 01 74 69 63 6B 65 74 21 C0</x:v>
      </x:c>
      <x:c r="K799" s="23" t="str">
        <x:v>1CC 084 015 03D 084 029 03E 022 001 029 01F 036 018 084 029 1C8 047 084 04D 05A 028 0E1 084 015 001 032 036 013 038 015 036 024 07A 1C0</x:v>
      </x:c>
    </x:row>
    <x:row r="800">
      <x:c r="A800" s="22" t="str">
        <x:f>"03"</x:f>
        <x:v>03</x:v>
      </x:c>
      <x:c r="B800" s="22" t="str">
        <x:f>"1E"</x:f>
        <x:v>1E</x:v>
      </x:c>
      <x:c r="C800" s="22" t="str">
        <x:f>"0x031E"</x:f>
        <x:v>0x031E</x:v>
      </x:c>
      <x:c r="D800" s="21" t="str">
        <x:v>&lt;SPEAKER&gt;「さぎょうを さぼったら
いたいめにあうぞ!
早く 鉱山に もどれ!</x:v>
      </x:c>
      <x:c r="E800" s="19" t="str">
        <x:v>&lt;SPEAKER&gt;Slack off and
you will regret it! Get
back to Deathvalley Mine!</x:v>
      </x:c>
      <x:c r="F800" s="20" t="str"/>
      <x:c r="G800" s="20" t="str"/>
      <x:c r="H800" s="23" t="str">
        <x:v>SPEAKER NEWLINE NEWLINE END</x:v>
      </x:c>
      <x:c r="I800" s="23" t="str">
        <x:v>EA:D05A</x:v>
      </x:c>
      <x:c r="J800" s="23" t="str">
        <x:v>CC 53 6C 61 63 6B 01 6F 66 66 01 61 6E 64 C8 79 6F 75 01 77 69 6C 6C 01 72 65 67 72 65 74 01 69 74 21 01 47 65 74 C8 62 61 63 6B 01 74 6F 01 44 65 61 74 68 76 61 6C 6C 65 79 01 4D 69 6E 65 21 C0</x:v>
      </x:c>
      <x:c r="K800" s="23" t="str">
        <x:v>1CC 01A 084 016 041 012 03C 001 01A 084 02D 03E 01F 036 1C8 011 01F 011 031 025 010 012 084 01E 07A 1C8 144 017 001 10B 10C 025 001 032 084 023 039 07A 1C0</x:v>
      </x:c>
    </x:row>
    <x:row r="801">
      <x:c r="A801" s="22" t="str">
        <x:f>"03"</x:f>
        <x:v>03</x:v>
      </x:c>
      <x:c r="B801" s="22" t="str">
        <x:f>"1F"</x:f>
        <x:v>1F</x:v>
      </x:c>
      <x:c r="C801" s="22" t="str">
        <x:f>"0x031F"</x:f>
        <x:v>0x031F</x:v>
      </x:c>
      <x:c r="D801" s="21" t="str">
        <x:v>&lt;SPEAKER&gt;「しんいりだな! ちゃんと
ヘブリじいさんに
あいさつに いったか?</x:v>
      </x:c>
      <x:c r="E801" s="19" t="str">
        <x:v>&lt;SPEAKER&gt;You are new,
right? Did you introduce
yourself to old Hebri?</x:v>
      </x:c>
      <x:c r="F801" s="20" t="str"/>
      <x:c r="G801" s="20" t="str"/>
      <x:c r="H801" s="23" t="str">
        <x:v>SPEAKER NEWLINE NEWLINE END</x:v>
      </x:c>
      <x:c r="I801" s="23" t="str">
        <x:v>EA:D09B</x:v>
      </x:c>
      <x:c r="J801" s="23" t="str">
        <x:v>CC 59 6F 75 01 61 72 65 01 6E 65 77 2C C8 72 69 67 68 74 3F 01 44 69 64 01 79 6F 75 01 69 6E 74 72 6F 64 75 63 65 C8 79 6F 75 72 73 65 6C 66 01 74 6F 01 6F 6C 64 01 48 65 62 72 69 3F C0</x:v>
      </x:c>
      <x:c r="K801" s="23" t="str">
        <x:v>1CC 01B 03D 011 037 084 01F 024 07A 001 020 03F 03D 023 1C8 05E 084 05D 069 084 01B 011 01A 03D 025 1C8 010 011 01A 021 025 001 011 03E 01F 015 079 1C0</x:v>
      </x:c>
    </x:row>
    <x:row r="802">
      <x:c r="A802" s="22" t="str">
        <x:f>"03"</x:f>
        <x:v>03</x:v>
      </x:c>
      <x:c r="B802" s="22" t="str">
        <x:f>"20"</x:f>
        <x:v>20</x:v>
      </x:c>
      <x:c r="C802" s="22" t="str">
        <x:f>"0x0320"</x:f>
        <x:v>0x0320</x:v>
      </x:c>
      <x:c r="D802" s="21" t="str">
        <x:v>&lt;SPEAKER&gt;「へへへ ごくろうさん
きょうも 一日
あんぜんになっ! げへへへ</x:v>
      </x:c>
      <x:c r="E802" s="19" t="str">
        <x:v>&lt;SPEAKER&gt;Heh heh, good work. Stay
safe out there today! Geh-heh-heh!</x:v>
      </x:c>
      <x:c r="F802" s="20" t="str"/>
      <x:c r="G802" s="20" t="str"/>
      <x:c r="H802" s="23" t="str">
        <x:v>SPEAKER NEWLINE END</x:v>
      </x:c>
      <x:c r="I802" s="23" t="str">
        <x:v>EA:D0D9</x:v>
      </x:c>
      <x:c r="J802" s="23" t="str">
        <x:v>CC 48 65 68 01 68 65 68 2C 01 67 6F 6F 64 01 77 6F 72 6B 2E 01 53 74 61 79 C8 73 61 66 65 01 6F 75 74 01 74 68 65 72 65 01 74 6F 64 61 79 21 01 47 65 68 2D 68 65 68 2D 68 65 68 21 C0</x:v>
      </x:c>
      <x:c r="K802" s="23" t="str">
        <x:v>1CC 02C 02C 02C 001 084 019 017 03A 012 01A 03D 1C8 016 041 012 032 001 0AF 120 1C8 010 03D 084 01D 03D 025 024 03E 07A 001 084 018 02C 02C 02C 1C0</x:v>
      </x:c>
    </x:row>
    <x:row r="803">
      <x:c r="A803" s="22" t="str">
        <x:f>"03"</x:f>
        <x:v>03</x:v>
      </x:c>
      <x:c r="B803" s="22" t="str">
        <x:f>"21"</x:f>
        <x:v>21</x:v>
      </x:c>
      <x:c r="C803" s="22" t="str">
        <x:f>"0x0321"</x:f>
        <x:v>0x0321</x:v>
      </x:c>
      <x:c r="D803" s="21" t="str">
        <x:v>&lt;SPEAKER&gt;「まってたぜ こむすめよ!&lt;WAIT&gt;&lt;SPEAKER&gt;「よくも 地下水道で おれの
おとうとを やっつけてくれたな!&lt;WAIT&gt;&lt;SPEAKER&gt;「おとうとの かたき! うがーっ!</x:v>
      </x:c>
      <x:c r="E803" s="19" t="str">
        <x:v>&lt;SPEAKER&gt;I have been
waiting, little girl!&lt;WAIT&gt;&lt;SPEAKER&gt;How dare you
beat my little brother in
the underground waterway!&lt;WAIT&gt;&lt;SPEAKER&gt;This is for
my brother! GRAAH!</x:v>
      </x:c>
      <x:c r="F803" s="20" t="str"/>
      <x:c r="G803" s="20" t="str"/>
      <x:c r="H803" s="23" t="str">
        <x:v>SPEAKER NEWLINE WAIT SPEAKER NEWLINE NEWLINE WAIT SPEAKER NEWLINE END</x:v>
      </x:c>
      <x:c r="I803" s="23" t="str">
        <x:v>EA:D116</x:v>
      </x:c>
      <x:c r="J803" s="23" t="str">
        <x:v>CC 49 01 68 61 76 65 01 62 65 65 6E C8 77 61 69 74 69 6E 67 2C 01 6C 69 74 74 6C 65 01 67 69 72 6C 21 C5 CC 48 6F 77 01 64 61 72 65 01 79 6F 75 C8 62 65 61 74 01 6D 79 01 6C 69 74 74 6C 65 01 62 72 6F 74 68 65 72 01 69 6E C8 74 68 65 01 75 6E 64 65 72 67 72 6F 75 6E 64 01 77 61 74 65 72 77 61 79 21 C5 CC 54 68 69 73 01 69 73 01 66 6F 72 C8 6D 79 01 62 72 6F 74 68 65 72 21 01 47 52 41 41 48 21 C0</x:v>
      </x:c>
      <x:c r="K803" s="23" t="str">
        <x:v>1CC 02E 03E 022 01F 084 01D 001 019 030 01C 031 035 07A 1C5 1CC 035 017 032 001 0D5 0B8 0B2 0C7 084 022 001 014 039 028 1C8 014 023 012 023 03C 001 033 03E 021 018 022 017 039 01F 024 07A 1C5 1CC 014 023 012 023 028 001 015 01F 016 07A 001 012 084 015 078 03E 07A 1C0</x:v>
      </x:c>
    </x:row>
    <x:row r="804">
      <x:c r="A804" s="22" t="str">
        <x:f>"03"</x:f>
        <x:v>03</x:v>
      </x:c>
      <x:c r="B804" s="22" t="str">
        <x:f>"22"</x:f>
        <x:v>22</x:v>
      </x:c>
      <x:c r="C804" s="22" t="str">
        <x:f>"0x0322"</x:f>
        <x:v>0x0322</x:v>
      </x:c>
      <x:c r="D804" s="21" t="str">
        <x:v>&lt;SPEAKER&gt;「おまえら しんじんだなっ</x:v>
      </x:c>
      <x:c r="E804" s="19" t="str">
        <x:v>&lt;SPEAKER&gt;You must
be the new workers.</x:v>
      </x:c>
      <x:c r="F804" s="20" t="str"/>
      <x:c r="G804" s="20" t="str"/>
      <x:c r="H804" s="23" t="str">
        <x:v>SPEAKER NEWLINE END</x:v>
      </x:c>
      <x:c r="I804" s="23" t="str">
        <x:v>EA:D19B</x:v>
      </x:c>
      <x:c r="J804" s="23" t="str">
        <x:v>CC 59 6F 75 01 6D 75 73 74 C8 62 65 01 74 68 65 01 6E 65 77 01 77 6F 72 6B 65 72 73 2E C0</x:v>
      </x:c>
      <x:c r="K804" s="23" t="str">
        <x:v>1CC 014 02E 013 036 001 01B 03D 084 01B 03D 084 01F 024 03E 1C0</x:v>
      </x:c>
    </x:row>
    <x:row r="805">
      <x:c r="A805" s="22" t="str">
        <x:f>"03"</x:f>
        <x:v>03</x:v>
      </x:c>
      <x:c r="B805" s="22" t="str">
        <x:f>"23"</x:f>
        <x:v>23</x:v>
      </x:c>
      <x:c r="C805" s="22" t="str">
        <x:f>"0x0323"</x:f>
        <x:v>0x0323</x:v>
      </x:c>
      <x:c r="D805" s="21" t="str">
        <x:v>&lt;SPEAKER&gt;「そこの かべに トロッコの
うんてんの やりかたが
かいてあるから よーく読めっ</x:v>
      </x:c>
      <x:c r="E805" s="19" t="str">
        <x:v>&lt;SPEAKER&gt;The wall over there
explains how to drive a
mine cart. Read it carefully!</x:v>
      </x:c>
      <x:c r="F805" s="20" t="str"/>
      <x:c r="G805" s="20" t="str"/>
      <x:c r="H805" s="23" t="str">
        <x:v>SPEAKER NEWLINE NEWLINE END</x:v>
      </x:c>
      <x:c r="I805" s="23" t="str">
        <x:v>EA:D1B9</x:v>
      </x:c>
      <x:c r="J805" s="23" t="str">
        <x:v>CC 54 68 65 01 77 61 6C 6C 01 6F 76 65 72 01 74 68 65 72 65 C8 65 78 70 6C 61 69 6E 73 01 68 6F 77 01 74 6F 01 64 72 69 76 65 01 61 C8 6D 69 6E 65 01 63 61 72 74 2E 01 52 65 61 64 01 69 74 01 63 61 72 65 66 75 6C 6C 79 21 C0</x:v>
      </x:c>
      <x:c r="K805" s="23" t="str">
        <x:v>1CC 01E 019 028 001 015 084 02C 025 001 055 06C 070 04B 028 1C8 012 03D 022 03D 028 001 033 037 015 01F 084 015 1C8 015 011 022 010 038 015 036 001 035 078 017 118 031 03E 1C0</x:v>
      </x:c>
    </x:row>
    <x:row r="806">
      <x:c r="A806" s="22" t="str">
        <x:f>"03"</x:f>
        <x:v>03</x:v>
      </x:c>
      <x:c r="B806" s="22" t="str">
        <x:f>"24"</x:f>
        <x:v>24</x:v>
      </x:c>
      <x:c r="C806" s="22" t="str">
        <x:f>"0x0324"</x:f>
        <x:v>0x0324</x:v>
      </x:c>
      <x:c r="D806" s="21" t="str">
        <x:v>&lt;CLEAR&gt;
さぎょう員の みなさんへ&lt;WAIT&gt;
&lt;CLEAR&gt;
トロッコに のると
じどうてきに かそくされます&lt;WAIT&gt;
&lt;CLEAR&gt;
ブレーキは てもとの
きいろい Bボタンを
おすと かかります&lt;WAIT&gt;
&lt;CLEAR&gt;
ただし ブレーキをおし続けると
ブレーキが かねつして
しばらく きかなくなります&lt;WAIT&gt;
&lt;CLEAR&gt;
方向てんかん するときは
まがりたい 方向へ
十字ボタンを おしてください&lt;WAIT&gt;
&lt;CLEAR&gt;
ただし 方向てんかんが
できない せんろも あります</x:v>
      </x:c>
      <x:c r="E806" s="19" t="str">
        <x:v>&lt;CLEAR&gt;NOTICE TO ALL WORKERS&lt;WAIT&gt;&lt;CLEAR&gt;The mine cart accelerates
automatically when you board it.&lt;WAIT&gt;&lt;CLEAR&gt;Press the yellow B button
to apply the brake.&lt;WAIT&gt;&lt;CLEAR&gt;Holding the brake too
long will overheat it,
disabling it for a while.&lt;WAIT&gt;&lt;CLEAR&gt;At a junction, press
the D-pad toward the
direction you want to go.&lt;WAIT&gt;&lt;CLEAR&gt;Some tracks do not allow
you to change direction.</x:v>
      </x:c>
      <x:c r="F806" s="20" t="str"/>
      <x:c r="G806" s="20" t="str"/>
      <x:c r="H806" s="23" t="str">
        <x:v>CLEAR WAIT CLEAR NEWLINE WAIT CLEAR NEWLINE WAIT CLEAR NEWLINE NEWLINE WAIT CLEAR NEWLINE NEWLINE WAIT CLEAR NEWLINE END</x:v>
      </x:c>
      <x:c r="I806" s="23" t="str">
        <x:v>EA:D204</x:v>
      </x:c>
      <x:c r="J806" s="23" t="str">
        <x:v>D0 4E 4F 54 49 43 45 01 54 4F 01 41 4C 4C 01 57 4F 52 4B 45 52 53 C5 D0 54 68 65 01 6D 69 6E 65 01 63 61 72 74 01 61 63 63 65 6C 65 72 61 74 65 73 C8 61 75 74 6F 6D 61 74 69 63 61 6C 6C 79 01 77 68 65 6E 01 79 6F 75 01 62 6F 61 72 64 01 69 74 2E C5 D0 50 72 65 73 73 01 74 68 65 01 79 65 6C 6C 6F 77 01 42 01 62 75 74 74 6F 6E C8 74 6F 01 61 70 70 6C 79 01 74 68 65 01 62 72 61 6B 65 2E C5 D0 48 6F 6C 64 69 6E 67 01 74 68 65 01 62 72 61 6B 65 01 74 6F 6F C8 6C 6F 6E 67 01 77 69 6C 6C 01 6F 76 65 72 68 65 61 74 01 69 74 2C C8 64 69 73 61 62 6C 69 6E 67 01 69 74 01 66 6F 72 01 61 01 77 68 69 6C 65 2E C5 D0 41 74 01 61 01 6A 75 6E 63 74 69 6F 6E 2C 01 70 72 65 73 73 C8 74 68 65 01 44 2D 70 61 64 01 74 6F 77 61 72 64 01 74 68 65 C8 64 69 72 65 63 74 69 6F 6E 01 79 6F 75 01 77 61 6E 74 01 74 6F 01 67 6F 2E C5 D0 53 6F 6D 65 01 74 72 61 63 6B 73 01 64 6F 01 6E 6F 74 01 61 6C 6C 6F 77 C8 79 6F 75 01 74 6F 01 63 68 61 6E 67 65 01 64 69 72 65 63 74 69 6F 6E 2E C0</x:v>
      </x:c>
      <x:c r="K806" s="23" t="str">
        <x:v>1D0 01A 084 016 041 012 1B3 028 001 02F 024 01A 03D 02C 1C5 1D0 055 06C 070 04B 025 001 028 038 023 1C8 084 01B 084 023 012 022 016 025 001 015 01E 017 01A 039 02E 01C 1C5 1D0 084 05D 06B 078 048 029 001 022 032 023 028 1C8 016 011 03A 011 001 16F 084 05F 051 06F 03C 1C8 014 01C 023 001 015 015 037 02E 01C 1C5 1D0 01F 084 01F 01B 001 084 05D 06B 078 048 03C 014 01B 0F9 018 038 023 1C8 084 05D 06B 078 048 084 015 001 015 027 021 01B 022 1C8 01B 084 029 036 017 001 016 015 024 017 024 037 02E 01C 1C5 1D0 0B9 1AB 022 03D 015 03D 001 01C 038 023 016 029 1C8 02E 084 015 037 01F 011 001 0B9 1AB 02C 1C8 130 153 084 05F 051 06F 03C 001 014 01B 022 017 084 01F 01A 011 1C5 1D0 01F 084 01F 01B 001 0B9 1AB 022 03D 015 03D 084 015 1C8 084 022 016 024 011 001 01D 03D 03A 032 001 010 037 02E 01C 1C0</x:v>
      </x:c>
    </x:row>
    <x:row r="807">
      <x:c r="A807" s="22" t="str">
        <x:f>"03"</x:f>
        <x:v>03</x:v>
      </x:c>
      <x:c r="B807" s="22" t="str">
        <x:f>"25"</x:f>
        <x:v>25</x:v>
      </x:c>
      <x:c r="C807" s="22" t="str">
        <x:f>"0x0325"</x:f>
        <x:v>0x0325</x:v>
      </x:c>
      <x:c r="D807" s="21" t="str">
        <x:v>&lt;SPEAKER&gt;「おう 地下神殿で
モンスターどもが 集まってたぜ!&lt;WAIT&gt;&lt;SPEAKER&gt;「なんだか どんちゃんさわぎを
はじめるみたいだよ&lt;WAIT&gt;&lt;SPEAKER&gt;「オレも 行こうかなあ</x:v>
      </x:c>
      <x:c r="E807" s="19" t="str">
        <x:v>&lt;SPEAKER&gt;The monsters
were gathering at the
underground temple!&lt;WAIT&gt;&lt;SPEAKER&gt;Sounds like they
are about to throw
some kind of huge party.&lt;WAIT&gt;&lt;SPEAKER&gt;Maybe I will go too.</x:v>
      </x:c>
      <x:c r="F807" s="20" t="str"/>
      <x:c r="G807" s="20" t="str"/>
      <x:c r="H807" s="23" t="str">
        <x:v>SPEAKER NEWLINE NEWLINE WAIT SPEAKER NEWLINE NEWLINE WAIT SPEAKER END</x:v>
      </x:c>
      <x:c r="I807" s="23" t="str">
        <x:v>EA:D346</x:v>
      </x:c>
      <x:c r="J807" s="23" t="str">
        <x:v>CC 54 68 65 01 6D 6F 6E 73 74 65 72 73 C8 77 65 72 65 01 67 61 74 68 65 72 69 6E 67 01 61 74 01 74 68 65 C8 75 6E 64 65 72 67 72 6F 75 6E 64 01 74 65 6D 70 6C 65 21 C5 CC 53 6F 75 6E 64 73 01 6C 69 6B 65 01 74 68 65 79 C8 61 72 65 01 61 62 6F 75 74 01 74 6F 01 74 68 72 6F 77 C8 73 6F 6D 65 01 6B 69 6E 64 01 6F 66 01 68 75 67 65 01 70 61 72 74 79 2E C5 CC 4D 61 79 62 65 01 49 01 77 69 6C 6C 01 67 6F 01 74 6F 6F 2E C0</x:v>
      </x:c>
      <x:c r="K807" s="23" t="str">
        <x:v>1CC 014 012 001 0D5 0B8 0DC 175 084 022 1C8 064 06F 04E 051 078 084 023 032 084 015 001 1AC 02E 03E 022 01F 084 01D 07A 1C5 1CC 024 03D 084 01F 015 001 084 023 03D 020 03F 03D 01A 03B 084 016 03C 1C8 029 084 01B 031 038 02F 01F 011 084 01F 035 1C5 1CC 046 06B 032 001 08D 019 012 015 024 010 1C0</x:v>
      </x:c>
    </x:row>
    <x:row r="808">
      <x:c r="A808" s="22" t="str">
        <x:f>"03"</x:f>
        <x:v>03</x:v>
      </x:c>
      <x:c r="B808" s="22" t="str">
        <x:f>"26"</x:f>
        <x:v>26</x:v>
      </x:c>
      <x:c r="C808" s="22" t="str">
        <x:f>"0x0326"</x:f>
        <x:v>0x0326</x:v>
      </x:c>
      <x:c r="D808" s="21" t="str">
        <x:v>&lt;SPEAKER&gt;「この鉱山の さらに北には
モンスターどもの 村があるんだ&lt;WAIT&gt;&lt;SPEAKER&gt;「ふしぎなことに やつらの家には
人間は 入れないんだ&lt;WAIT&gt;&lt;SPEAKER&gt;「きっと とびらに 魔物の
たましいでも やどっているんだな&lt;WAIT&gt;&lt;SPEAKER&gt;「とびら自体が もんばんってわけだ</x:v>
      </x:c>
      <x:c r="E808" s="19" t="str">
        <x:v>&lt;SPEAKER&gt;North of Deathvalley
Mine is a village where
the monsters live.&lt;WAIT&gt;&lt;SPEAKER&gt;Strangely, humans
cannot enter their houses.&lt;WAIT&gt;&lt;SPEAKER&gt;Maybe monster souls
dwell in the doors themselves.&lt;WAIT&gt;&lt;SPEAKER&gt;The door
itself is the guard.</x:v>
      </x:c>
      <x:c r="F808" s="20" t="str"/>
      <x:c r="G808" s="20" t="str"/>
      <x:c r="H808" s="23" t="str">
        <x:v>SPEAKER NEWLINE NEWLINE WAIT SPEAKER NEWLINE WAIT SPEAKER NEWLINE WAIT SPEAKER NEWLINE END</x:v>
      </x:c>
      <x:c r="I808" s="23" t="str">
        <x:v>EA:D3D2</x:v>
      </x:c>
      <x:c r="J808" s="23" t="str">
        <x:v>CC 4E 6F 72 74 68 01 6F 66 01 44 65 61 74 68 76 61 6C 6C 65 79 C8 4D 69 6E 65 01 69 73 01 61 01 76 69 6C 6C 61 67 65 01 77 68 65 72 65 C8 74 68 65 01 6D 6F 6E 73 74 65 72 73 01 6C 69 76 65 2E C5 CC 53 74 72 61 6E 67 65 6C 79 2C 01 68 75 6D 61 6E 73 C8 63 61 6E 6E 6F 74 01 65 6E 74 65 72 01 74 68 65 69 72 01 68 6F 75 73 65 73 2E C5 CC 4D 61 79 62 65 01 6D 6F 6E 73 74 65 72 01 73 6F 75 6C 73 C8 64 77 65 6C 6C 01 69 6E 01 74 68 65 01 64 6F 6F 72 73 01 74 68 65 6D 73 65 6C 76 65 73 2E C5 CC 54 68 65 01 64 6F 6F 72 C8 69 74 73 65 6C 66 01 69 73 01 74 68 65 01 67 75 61 72 64 2E C0</x:v>
      </x:c>
      <x:c r="K808" s="23" t="str">
        <x:v>1CC 019 028 10B 10C 028 001 01A 036 025 09C 025 029 1C8 064 06F 04E 051 078 084 023 032 028 001 1B0 084 015 010 038 03D 084 01F 1C5 1CC 02B 01B 084 016 024 019 023 025 001 033 021 036 028 161 025 029 1C8 091 0E3 029 001 08E 039 024 011 03D 084 01F 1C5 1CC 016 03E 023 001 023 084 02A 036 025 001 09A 08B 028 1C8 01F 02E 01B 011 084 022 032 001 033 084 023 03E 022 011 038 03D 084 01F 024 1C5 1CC 023 084 02A 036 0E2 0F0 084 015 001 032 03D 084 029 03D 03E 022 03B 018 084 01F 1C0</x:v>
      </x:c>
    </x:row>
    <x:row r="809">
      <x:c r="A809" s="22" t="str">
        <x:f>"03"</x:f>
        <x:v>03</x:v>
      </x:c>
      <x:c r="B809" s="22" t="str">
        <x:f>"27"</x:f>
        <x:v>27</x:v>
      </x:c>
      <x:c r="C809" s="22" t="str">
        <x:f>"0x0327"</x:f>
        <x:v>0x0327</x:v>
      </x:c>
      <x:c r="D809" s="21" t="str">
        <x:v>&lt;SPEAKER&gt;「ここは かみんじょ
つかれたときは ねるのが
いちばんさねっ!&lt;WAIT&gt;&lt;SPEAKER&gt;「ちょっくら ねてくかね?</x:v>
      </x:c>
      <x:c r="E809" s="19" t="str">
        <x:v>&lt;SPEAKER&gt;This is the nap
room. When you are
tired, sleep is best!&lt;WAIT&gt;&lt;SPEAKER&gt;Want to
take a quick nap?</x:v>
      </x:c>
      <x:c r="F809" s="20" t="str"/>
      <x:c r="G809" s="20" t="str"/>
      <x:c r="H809" s="23" t="str">
        <x:v>SPEAKER NEWLINE NEWLINE WAIT SPEAKER NEWLINE END</x:v>
      </x:c>
      <x:c r="I809" s="23" t="str">
        <x:v>EA:D494</x:v>
      </x:c>
      <x:c r="J809" s="23" t="str">
        <x:v>CC 54 68 69 73 01 69 73 01 74 68 65 01 6E 61 70 C8 72 6F 6F 6D 2E 01 57 68 65 6E 01 79 6F 75 01 61 72 65 C8 74 69 72 65 64 2C 01 73 6C 65 65 70 01 69 73 01 62 65 73 74 21 C5 CC 57 61 6E 74 01 74 6F C8 74 61 6B 65 01 61 01 71 75 69 63 6B 01 6E 61 70 3F C0</x:v>
      </x:c>
      <x:c r="K809" s="23" t="str">
        <x:v>1CC 019 019 029 001 015 02F 03D 084 01B 041 1C8 021 015 039 01F 023 016 029 001 027 038 028 084 015 1C8 011 020 084 029 03D 01A 027 03E 07A 1C5 1CC 020 041 03E 017 036 001 027 022 017 015 027 079 1C0</x:v>
      </x:c>
    </x:row>
    <x:row r="810">
      <x:c r="A810" s="22" t="str">
        <x:f>"03"</x:f>
        <x:v>03</x:v>
      </x:c>
      <x:c r="B810" s="22" t="str">
        <x:f>"28"</x:f>
        <x:v>28</x:v>
      </x:c>
      <x:c r="C810" s="22" t="str">
        <x:f>"0x0328"</x:f>
        <x:v>0x0328</x:v>
      </x:c>
      <x:c r="D810" s="21" t="str">
        <x:v>&lt;SPEAKER&gt;「つかれは とれたかい?</x:v>
      </x:c>
      <x:c r="E810" s="19" t="str">
        <x:v>&lt;SPEAKER&gt;Feeling rested?</x:v>
      </x:c>
      <x:c r="F810" s="20" t="str"/>
      <x:c r="G810" s="20" t="str"/>
      <x:c r="H810" s="23" t="str">
        <x:v>SPEAKER END</x:v>
      </x:c>
      <x:c r="I810" s="23" t="str">
        <x:v>EA:D4E9</x:v>
      </x:c>
      <x:c r="J810" s="23" t="str">
        <x:v>CC 46 65 65 6C 69 6E 67 01 72 65 73 74 65 64 3F C0</x:v>
      </x:c>
      <x:c r="K810" s="23" t="str">
        <x:v>1CC 021 015 039 029 001 023 039 01F 015 011 079 1C0</x:v>
      </x:c>
    </x:row>
    <x:row r="811">
      <x:c r="A811" s="22" t="str">
        <x:f>"03"</x:f>
        <x:v>03</x:v>
      </x:c>
      <x:c r="B811" s="22" t="str">
        <x:f>"29"</x:f>
        <x:v>29</x:v>
      </x:c>
      <x:c r="C811" s="22" t="str">
        <x:f>"0x0329"</x:f>
        <x:v>0x0329</x:v>
      </x:c>
      <x:c r="D811" s="21" t="str">
        <x:v>&lt;SPEAKER&gt;「ふみんふきゅうは よくないぞ</x:v>
      </x:c>
      <x:c r="E811" s="19" t="str">
        <x:v>&lt;SPEAKER&gt;Going without
sleep is bad for you.</x:v>
      </x:c>
      <x:c r="F811" s="20" t="str"/>
      <x:c r="G811" s="20" t="str"/>
      <x:c r="H811" s="23" t="str">
        <x:v>SPEAKER NEWLINE END</x:v>
      </x:c>
      <x:c r="I811" s="23" t="str">
        <x:v>EA:D4FA</x:v>
      </x:c>
      <x:c r="J811" s="23" t="str">
        <x:v>CC 47 6F 69 6E 67 01 77 69 74 68 6F 75 74 C8 73 6C 65 65 70 01 69 73 01 62 61 64 01 66 6F 72 01 79 6F 75 2E C0</x:v>
      </x:c>
      <x:c r="K811" s="23" t="str">
        <x:v>1CC 02B 02F 03D 02B 016 040 012 029 001 035 017 024 011 084 01E 1C0</x:v>
      </x:c>
    </x:row>
    <x:row r="812">
      <x:c r="A812" s="22" t="str">
        <x:f>"03"</x:f>
        <x:v>03</x:v>
      </x:c>
      <x:c r="B812" s="22" t="str">
        <x:f>"2A"</x:f>
        <x:v>2A</x:v>
      </x:c>
      <x:c r="C812" s="22" t="str">
        <x:f>"0x032A"</x:f>
        <x:v>0x032A</x:v>
      </x:c>
      <x:c r="D812" s="21" t="str">
        <x:v>&lt;SPEAKER&gt;「ひさしぶりだな ねーちゃん!&lt;WAIT&gt;&lt;SPEAKER&gt;「おれだよ! へっ わかんねえとは
まだまだ けいけんぶそくだぜ!</x:v>
      </x:c>
      <x:c r="E812" s="19" t="str">
        <x:v>&lt;SPEAKER&gt;Long time no see, lady!&lt;WAIT&gt;&lt;SPEAKER&gt;It is me! Hah! If
you cannot tell, you still
need more experience!</x:v>
      </x:c>
      <x:c r="F812" s="20" t="str"/>
      <x:c r="G812" s="20" t="str"/>
      <x:c r="H812" s="23" t="str">
        <x:v>SPEAKER WAIT SPEAKER NEWLINE NEWLINE END</x:v>
      </x:c>
      <x:c r="I812" s="23" t="str">
        <x:v>EA:D51F</x:v>
      </x:c>
      <x:c r="J812" s="23" t="str">
        <x:v>CC 4C 6F 6E 67 01 74 69 6D 65 01 6E 6F 01 73 65 65 2C 01 6C 61 64 79 21 C5 CC 49 74 01 69 73 01 6D 65 21 01 48 61 68 21 01 49 66 C8 79 6F 75 01 63 61 6E 6E 6F 74 01 74 65 6C 6C 2C 01 79 6F 75 01 73 74 69 6C 6C C8 6E 65 65 64 01 6D 6F 72 65 01 65 78 70 65 72 69 65 6E 63 65 21 C0</x:v>
      </x:c>
      <x:c r="K812" s="23" t="str">
        <x:v>1CC 02A 01A 01B 084 02B 037 084 01F 024 001 027 078 020 03F 03D 07A 1C5 1CC 014 039 084 01F 035 07A 001 02C 03E 001 03B 015 03D 027 013 023 029 1C8 02E 084 01F 02E 084 01F 001 018 011 018 03D 084 02B 01E 017 084 01F 084 01D 07A 1C0</x:v>
      </x:c>
    </x:row>
    <x:row r="813">
      <x:c r="A813" s="22" t="str">
        <x:f>"03"</x:f>
        <x:v>03</x:v>
      </x:c>
      <x:c r="B813" s="22" t="str">
        <x:f>"2B"</x:f>
        <x:v>2B</x:v>
      </x:c>
      <x:c r="C813" s="22" t="str">
        <x:f>"0x032B"</x:f>
        <x:v>0x032B</x:v>
      </x:c>
      <x:c r="D813" s="21" t="str">
        <x:v>&lt;SPEAKER&gt;「あんとき おまえさんが
おくすりを くれたんで
命びろいを したよ・・・&lt;WAIT&gt;&lt;SPEAKER&gt;「あのあと おれは 町に
もどったんだよ とりあえずな
そしたら みつけちまったんだ!&lt;WAIT&gt;&lt;SPEAKER&gt;「地下水道へ ぬける道をな&lt;WAIT&gt;&lt;SPEAKER&gt;「おいっ! あんたの なかまを
さらった あの ばかでかい
ベビーバロンな ありゃ ワルだぜ!&lt;WAIT&gt;&lt;SPEAKER&gt;「おれは 囚人に ばけて
この 鉱山で お宝を
あさってたんだが まいったよ&lt;WAIT&gt;&lt;SPEAKER&gt;「囚人どもに 何かを
ほらせてんのは いいけどよ&lt;WAIT&gt;&lt;SPEAKER&gt;「使いものに ならなくなった
囚人を なんと かんづめに
してやがるんだ かんづめによ!&lt;WAIT&gt;&lt;SPEAKER&gt;「やつは なにを さがしてんだ?&lt;WAIT&gt;&lt;SPEAKER&gt;「古代の装置の 復活?&lt;WAIT&gt;&lt;SPEAKER&gt;「なんて こったい! あんな
でかくて わるぢえの まわるやつが
これいじょう ふえたら まずいぜ!&lt;WAIT&gt;&lt;SPEAKER&gt;「くーっ! さきの ことは
ともかく あんたは なかまを
たすけるのが さきだな!</x:v>
      </x:c>
      <x:c r="E813" s="19" t="str">
        <x:v>&lt;SPEAKER&gt;That medicine you
gave me saved my life.&lt;WAIT&gt;&lt;SPEAKER&gt;After that I went to
town, and found something!&lt;WAIT&gt;&lt;SPEAKER&gt;A way into the sewer.&lt;WAIT&gt;&lt;SPEAKER&gt;That huge Baby
Baron who took your
friend is bad news!&lt;WAIT&gt;&lt;SPEAKER&gt;I posed as a prisoner
to hunt treasure in this mine,
and learned something ugly.&lt;WAIT&gt;&lt;SPEAKER&gt;Making prisoners
dig is one thing...&lt;WAIT&gt;&lt;SPEAKER&gt;When they can't work,
he seals them in cans! Cans!&lt;WAIT&gt;&lt;SPEAKER&gt;What is he searching for?&lt;WAIT&gt;&lt;SPEAKER&gt;Reviving an ancient device?&lt;WAIT&gt;&lt;SPEAKER&gt;Damn! More huge,
clever monsters like him
would be a disaster!&lt;WAIT&gt;&lt;SPEAKER&gt;Forget that for now.
Rescue your friend first!</x:v>
      </x:c>
      <x:c r="F813" s="20" t="str"/>
      <x:c r="G813" s="20" t="str"/>
      <x:c r="H813" s="23" t="str">
        <x:v>SPEAKER NEWLINE WAIT SPEAKER NEWLINE WAIT SPEAKER WAIT SPEAKER NEWLINE NEWLINE WAIT SPEAKER NEWLINE NEWLINE WAIT SPEAKER NEWLINE WAIT SPEAKER NEWLINE WAIT SPEAKER WAIT SPEAKER WAIT SPEAKER NEWLINE NEWLINE WAIT SPEAKER NEWLINE END</x:v>
      </x:c>
      <x:c r="I813" s="23" t="str">
        <x:v>EA:D57C</x:v>
      </x:c>
      <x:c r="J813" s="23" t="str">
        <x:v>CC 54 68 61 74 01 6D 65 64 69 63 69 6E 65 01 79 6F 75 C8 67 61 76 65 01 6D 65 01 73 61 76 65 64 01 6D 79 01 6C 69 66 65 2E C5 CC 41 66 74 65 72 01 74 68 61 74 01 49 01 77 65 6E 74 01 74 6F C8 74 6F 77 6E 2C 01 61 6E 64 01 66 6F 75 6E 64 01 73 6F 6D 65 74 68 69 6E 67 21 C5 CC 41 01 77 61 79 01 69 6E 74 6F 01 74 68 65 01 73 65 77 65 72 2E C5 CC 54 68 61 74 01 68 75 67 65 01 42 61 62 79 C8 42 61 72 6F 6E 01 77 68 6F 01 74 6F 6F 6B 01 79 6F 75 72 C8 66 72 69 65 6E 64 01 69 73 01 62 61 64 01 6E 65 77 73 21 C5 CC 49 01 70 6F 73 65 64 01 61 73 01 61 01 70 72 69 73 6F 6E 65 72 C8 74 6F 01 68 75 6E 74 01 74 72 65 61 73 75 72 65 01 69 6E 01 74 68 69 73 01 6D 69 6E 65 2C C8 61 6E 64 01 6C 65 61 72 6E 65 64 01 73 6F 6D 65 74 68 69 6E 67 01 75 67 6C 79 2E C5 CC 4D 61 6B 69 6E 67 01 70 72 69 73 6F 6E 65 72 73 C8 64 69 67 01 69 73 01 6F 6E 65 01 74 68 69 6E 67 2E 2E 2E C5 CC 57 68 65 6E 01 74 68 65 79 01 63 61 6E 27 74 01 77 6F 72 6B 2C C8 68 65 01 73 65 61 6C 73 01 74 68 65 6D 01 69 6E 01 63 61 6E 73 21 01 43 61 6E 73 21 C5 CC 57 68 61 74 01 69 73 01 68 65 01 73 65 61 72 63 68 69 6E 67 01 66 6F 72 3F C5 CC 52 65 76 69 76 69 6E 67 01 61 6E 01 61 6E 63 69 65 6E 74 01 64 65 76 69 63 65 3F C5 CC 44 61 6D 6E 21 01 4D 6F 72 65 01 68 75 67 65 2C C8 63 6C 65 76 65 72 01 6D 6F 6E 73 74 65 72 73 01 6C 69 6B 65 01 68 69 6D C8 77 6F 75 6C 64 01 62 65 01 61 01 64 69 73 61 73 74 65 72 21 C5 CC 46 6F 72 67 65 74 01 74 68 61 74 01 66 6F 72 01 6E 6F 77 2E C8 52 65 73 63 75 65 01 79 6F 75 72 01 66 72 69 65 6E 64 01 66 69 72 73 74 21 C0</x:v>
      </x:c>
      <x:c r="K813" s="23" t="str">
        <x:v>1CC 010 03D 023 016 001 014 02E 013 01A 03D 084 015 1C8 014 017 01C 037 03C 001 017 039 01F 03D 084 022 1C8 0EE 084 02A 03A 011 03C 001 01B 01F 035 081 081 081 1C5 1CC 010 028 010 023 001 014 039 029 001 0C9 025 1C8 032 084 023 03E 01F 03D 084 01F 035 001 023 037 010 013 084 01C 024 1C8 01E 01B 01F 036 001 02F 021 018 020 02E 03E 01F 03D 084 01F 07A 1C5 1CC 0D5 0B8 0B2 0C7 02C 001 026 018 038 0C7 03C 024 1C5 1CC 014 011 03E 07A 001 010 03D 01F 028 001 024 015 02E 03C 1C8 01A 036 03E 01F 001 010 028 001 084 029 015 084 022 015 011 1C8 084 05E 084 05C 078 084 05B 06C 06F 024 001 010 037 03F 001 06D 06A 084 01F 084 01D 07A 1C5 1CC 014 039 029 001 113 091 025 001 084 029 018 022 1C8 019 028 001 10B 10C 084 022 001 014 095 03C 1C8 010 01A 03E 022 01F 03D 084 01F 084 015 001 02E 011 03E 01F 035 1C5 1CC 113 091 084 023 032 025 001 093 015 03C 1C8 02D 036 01D 022 03D 028 029 001 011 011 018 084 023 035 1C5 1CC 123 011 032 028 025 001 024 036 024 017 024 03E 01F 1C8 113 091 03C 001 024 03D 023 001 015 03D 084 021 031 025 1C8 01B 022 033 084 015 038 03D 084 01F 001 015 03D 084 021 031 025 035 07A 1C5 1CC 033 021 029 001 024 025 03C 001 01A 084 015 01B 022 03D 084 01F 079 1C5 1CC 096 09F 028 0C2 19F 028 001 18B 0B4 079 1C5 1CC 024 03D 022 001 019 03E 01F 011 07A 001 010 03D 024 1C8 084 022 015 017 022 001 03B 038 084 020 013 028 001 02E 03B 038 033 021 084 015 1C8 019 039 011 084 01B 041 012 001 02B 013 01F 036 001 02E 084 01C 011 084 01D 07A 1C5 1CC 017 078 03E 07A 001 01A 016 028 001 019 023 029 1C8 023 032 015 017 001 010 03D 01F 029 001 024 015 02E 03C 1C8 01F 01C 018 038 028 084 015 001 01A 016 084 01F 024 07A 1C0</x:v>
      </x:c>
    </x:row>
    <x:row r="814">
      <x:c r="A814" s="22" t="str">
        <x:f>"03"</x:f>
        <x:v>03</x:v>
      </x:c>
      <x:c r="B814" s="22" t="str">
        <x:f>"2C"</x:f>
        <x:v>2C</x:v>
      </x:c>
      <x:c r="C814" s="22" t="str">
        <x:f>"0x032C"</x:f>
        <x:v>0x032C</x:v>
      </x:c>
      <x:c r="D814" s="21" t="str">
        <x:v>&lt;SPEAKER&gt;「おくすりの おれい
と いっちゃあ なんだが
これを やるぜい!</x:v>
      </x:c>
      <x:c r="E814" s="19" t="str">
        <x:v>&lt;SPEAKER&gt;Consider this thanks
for the medicine. Take it!</x:v>
      </x:c>
      <x:c r="F814" s="20" t="str"/>
      <x:c r="G814" s="20" t="str"/>
      <x:c r="H814" s="23" t="str">
        <x:v>SPEAKER NEWLINE END</x:v>
      </x:c>
      <x:c r="I814" s="23" t="str">
        <x:v>EA:D77A</x:v>
      </x:c>
      <x:c r="J814" s="23" t="str">
        <x:v>CC 43 6F 6E 73 69 64 65 72 01 74 68 69 73 01 74 68 61 6E 6B 73 C8 66 6F 72 01 74 68 65 01 6D 65 64 69 63 69 6E 65 2E 01 54 61 6B 65 01 69 74 21 C0</x:v>
      </x:c>
      <x:c r="K814" s="23" t="str">
        <x:v>1CC 014 017 01C 037 028 001 014 039 011 1C8 023 001 011 03E 020 03F 010 001 024 03D 084 01F 084 015 1C8 019 039 03C 001 033 038 084 01D 011 07A 1C0</x:v>
      </x:c>
    </x:row>
    <x:row r="815">
      <x:c r="A815" s="22" t="str">
        <x:f>"03"</x:f>
        <x:v>03</x:v>
      </x:c>
      <x:c r="B815" s="22" t="str">
        <x:f>"2D"</x:f>
        <x:v>2D</x:v>
      </x:c>
      <x:c r="C815" s="22" t="str">
        <x:f>"0x032D"</x:f>
        <x:v>0x032D</x:v>
      </x:c>
      <x:c r="D815" s="21" t="str">
        <x:v>&lt;SPEAKER&gt;「装備させてやろうか?</x:v>
      </x:c>
      <x:c r="E815" s="19" t="str">
        <x:v>&lt;SPEAKER&gt;Want me to
equip it for you?</x:v>
      </x:c>
      <x:c r="F815" s="20" t="str"/>
      <x:c r="G815" s="20" t="str"/>
      <x:c r="H815" s="23" t="str">
        <x:v>SPEAKER NEWLINE END</x:v>
      </x:c>
      <x:c r="I815" s="23" t="str">
        <x:v>EA:D7AB</x:v>
      </x:c>
      <x:c r="J815" s="23" t="str">
        <x:v>CC 57 61 6E 74 01 6D 65 01 74 6F C8 65 71 75 69 70 01 69 74 01 66 6F 72 01 79 6F 75 3F C0</x:v>
      </x:c>
      <x:c r="K815" s="23" t="str">
        <x:v>1CC 0C2 0C4 01A 01D 022 033 03A 012 015 079 1C0</x:v>
      </x:c>
    </x:row>
    <x:row r="816">
      <x:c r="A816" s="22" t="str">
        <x:f>"03"</x:f>
        <x:v>03</x:v>
      </x:c>
      <x:c r="B816" s="22" t="str">
        <x:f>"2E"</x:f>
        <x:v>2E</x:v>
      </x:c>
      <x:c r="C816" s="22" t="str">
        <x:f>"0x032E"</x:f>
        <x:v>0x032E</x:v>
      </x:c>
      <x:c r="D816" s="21" t="str">
        <x:v>&lt;SPEAKER&gt;「ねーちゃん あんたなら
あの 化け物の たくらみを
たたきつぶせるぜ!</x:v>
      </x:c>
      <x:c r="E816" s="19" t="str">
        <x:v>&lt;SPEAKER&gt;Lady, you can smash that
monster's whole scheme to pieces!</x:v>
      </x:c>
      <x:c r="F816" s="20" t="str"/>
      <x:c r="G816" s="20" t="str"/>
      <x:c r="H816" s="23" t="str">
        <x:v>SPEAKER NEWLINE END</x:v>
      </x:c>
      <x:c r="I816" s="23" t="str">
        <x:v>EA:D7C9</x:v>
      </x:c>
      <x:c r="J816" s="23" t="str">
        <x:v>CC 4C 61 64 79 2C 01 79 6F 75 01 63 61 6E 01 73 6D 61 73 68 01 74 68 61 74 C8 6D 6F 6E 73 74 65 72 27 73 01 77 68 6F 6C 65 01 73 63 68 65 6D 65 01 74 6F 01 70 69 65 63 65 73 21 C0</x:v>
      </x:c>
      <x:c r="K816" s="23" t="str">
        <x:v>1CC 027 078 020 03F 03D 001 010 03D 01F 024 036 1C8 010 028 001 09E 018 08B 028 001 01F 017 036 02F 03C 1C8 01F 01F 016 021 084 02B 01D 038 084 01D 07A 1C0</x:v>
      </x:c>
    </x:row>
    <x:row r="817">
      <x:c r="A817" s="22" t="str">
        <x:f>"03"</x:f>
        <x:v>03</x:v>
      </x:c>
      <x:c r="B817" s="22" t="str">
        <x:f>"2F"</x:f>
        <x:v>2F</x:v>
      </x:c>
      <x:c r="C817" s="22" t="str">
        <x:f>"0x032F"</x:f>
        <x:v>0x032F</x:v>
      </x:c>
      <x:c r="D817" s="21" t="str">
        <x:v>&lt;SPEAKER&gt;「おっと そりゃ ふつごうだな
にもつを なんとかして またこいよ</x:v>
      </x:c>
      <x:c r="E817" s="19" t="str">
        <x:v>&lt;SPEAKER&gt;That is inconvenient. Make
room in your baggage and return.</x:v>
      </x:c>
      <x:c r="F817" s="20" t="str"/>
      <x:c r="G817" s="20" t="str"/>
      <x:c r="H817" s="23" t="str">
        <x:v>SPEAKER NEWLINE END</x:v>
      </x:c>
      <x:c r="I817" s="23" t="str">
        <x:v>EA:D805</x:v>
      </x:c>
      <x:c r="J817" s="23" t="str">
        <x:v>CC 54 68 61 74 01 69 73 01 69 6E 63 6F 6E 76 65 6E 69 65 6E 74 2E 01 4D 61 6B 65 C8 72 6F 6F 6D 01 69 6E 01 79 6F 75 72 01 62 61 67 67 61 67 65 01 61 6E 64 01 72 65 74 75 72 6E 2E C0</x:v>
      </x:c>
      <x:c r="K817" s="23" t="str">
        <x:v>1CC 014 03E 023 001 01E 037 03F 001 02B 021 084 019 012 084 01F 024 1C8 025 032 021 03C 001 024 03D 023 015 01B 022 001 02E 01F 019 011 035 1C0</x:v>
      </x:c>
    </x:row>
    <x:row r="818">
      <x:c r="A818" s="22" t="str">
        <x:f>"03"</x:f>
        <x:v>03</x:v>
      </x:c>
      <x:c r="B818" s="22" t="str">
        <x:f>"30"</x:f>
        <x:v>30</x:v>
      </x:c>
      <x:c r="C818" s="22" t="str">
        <x:f>"0x0330"</x:f>
        <x:v>0x0330</x:v>
      </x:c>
      <x:c r="D818" s="21" t="str">
        <x:v>&lt;SPEAKER&gt;「ここの ボスの モグきちは
発掘より トロッコの
かいぞうに ねっしんなんだ&lt;WAIT&gt;&lt;SPEAKER&gt;「いま 研究してるのは
ひのたまが とびだす
おそろしい トロッコなんだ</x:v>
      </x:c>
      <x:c r="E818" s="19" t="str">
        <x:v>&lt;SPEAKER&gt;The boss here, Mogukichi,
cares more about modifying
mine carts than digging.&lt;WAIT&gt;&lt;SPEAKER&gt;Right now he
is building a terrifying
cart that shoots fireballs!</x:v>
      </x:c>
      <x:c r="F818" s="20" t="str"/>
      <x:c r="G818" s="20" t="str"/>
      <x:c r="H818" s="23" t="str">
        <x:v>SPEAKER NEWLINE NEWLINE WAIT SPEAKER NEWLINE NEWLINE END</x:v>
      </x:c>
      <x:c r="I818" s="23" t="str">
        <x:v>EA:D842</x:v>
      </x:c>
      <x:c r="J818" s="23" t="str">
        <x:v>CC 54 68 65 01 62 6F 73 73 01 68 65 72 65 2C 01 4D 6F 67 75 6B 69 63 68 69 2C C8 63 61 72 65 73 01 6D 6F 72 65 01 61 62 6F 75 74 01 6D 6F 64 69 66 79 69 6E 67 C8 6D 69 6E 65 01 63 61 72 74 73 01 74 68 61 6E 01 64 69 67 67 69 6E 67 2E C5 CC 52 69 67 68 74 01 6E 6F 77 01 68 65 C8 69 73 01 62 75 69 6C 64 69 6E 67 01 61 01 74 65 72 72 69 66 79 69 6E 67 C8 63 61 72 74 01 74 68 61 74 01 73 68 6F 6F 74 73 01 66 69 72 65 62 61 6C 6C 73 21 C0</x:v>
      </x:c>
      <x:c r="K818" s="23" t="str">
        <x:v>1CC 019 019 028 001 084 05F 04E 028 001 064 084 049 016 020 029 1C8 0C8 11C 035 037 001 055 06C 070 04B 028 1C8 015 011 084 01E 012 025 001 027 03E 01B 03D 024 03D 084 01F 1C5 1CC 011 02E 001 0E5 0E7 01B 022 038 028 029 1C8 02A 028 01F 02E 084 015 001 023 084 02A 084 01F 01C 1C8 014 01E 03A 01B 011 001 055 06C 070 04B 024 03D 084 01F 1C0</x:v>
      </x:c>
    </x:row>
    <x:row r="819">
      <x:c r="A819" s="22" t="str">
        <x:f>"03"</x:f>
        <x:v>03</x:v>
      </x:c>
      <x:c r="B819" s="22" t="str">
        <x:f>"31"</x:f>
        <x:v>31</x:v>
      </x:c>
      <x:c r="C819" s="22" t="str">
        <x:f>"0x0331"</x:f>
        <x:v>0x0331</x:v>
      </x:c>
      <x:c r="D819" s="21" t="str">
        <x:v>&lt;CLEAR&gt;
レディは 石板を 見た
古代文字が かいてある&lt;WAIT&gt;
&lt;CLEAR&gt;
しかし レディは 古代文字が
読めない!</x:v>
      </x:c>
      <x:c r="E819" s="19" t="str">
        <x:v>&lt;CLEAR&gt;Lady examines the stone tablet.
Ancient writing is carved on it.&lt;WAIT&gt;&lt;CLEAR&gt;But Lady cannot
read ancient writing!&lt;LINE&gt;</x:v>
      </x:c>
      <x:c r="F819" s="20" t="str"/>
      <x:c r="G819" s="20" t="str"/>
      <x:c r="H819" s="23" t="str">
        <x:v>CLEAR NEWLINE WAIT CLEAR NEWLINE LINE END</x:v>
      </x:c>
      <x:c r="I819" s="23" t="str">
        <x:v>EA:D8D4</x:v>
      </x:c>
      <x:c r="J819" s="23" t="str">
        <x:v>D0 4C 61 64 79 01 65 78 61 6D 69 6E 65 73 01 74 68 65 01 73 74 6F 6E 65 01 74 61 62 6C 65 74 2E C8 41 6E 63 69 65 6E 74 01 77 72 69 74 69 6E 67 01 69 73 01 63 61 72 76 65 64 01 6F 6E 01 69 74 2E C5 D0 42 75 74 01 4C 61 64 79 01 63 61 6E 6E 6F 74 C8 72 65 61 64 01 61 6E 63 69 65 6E 74 01 77 72 69 74 69 6E 67 21 C3 C0</x:v>
      </x:c>
      <x:c r="K819" s="23" t="str">
        <x:v>1D0 06B 084 054 075 029 001 09D 147 03C 001 090 01F 1C8 096 09F 152 153 084 015 001 015 011 022 010 038 1C5 1D0 01B 015 01B 001 06B 084 054 075 029 001 096 09F 152 153 084 015 1C8 118 031 024 011 07A 1C3 1C0</x:v>
      </x:c>
    </x:row>
    <x:row r="820">
      <x:c r="A820" s="22" t="str">
        <x:f>"03"</x:f>
        <x:v>03</x:v>
      </x:c>
      <x:c r="B820" s="22" t="str">
        <x:f>"32"</x:f>
        <x:v>32</x:v>
      </x:c>
      <x:c r="C820" s="22" t="str">
        <x:f>"0x0332"</x:f>
        <x:v>0x0332</x:v>
      </x:c>
      <x:c r="D820" s="21" t="str">
        <x:v>&lt;CLEAR&gt;
ヨシオが 読んでくれた!</x:v>
      </x:c>
      <x:c r="E820" s="19" t="str">
        <x:v>&lt;CLEAR&gt;Yoshio reads it aloud!&lt;LINE&gt;&lt;LINE&gt;</x:v>
      </x:c>
      <x:c r="F820" s="20" t="str"/>
      <x:c r="G820" s="20" t="str"/>
      <x:c r="H820" s="23" t="str">
        <x:v>CLEAR LINE LINE END</x:v>
      </x:c>
      <x:c r="I820" s="23" t="str">
        <x:v>EA:D93E</x:v>
      </x:c>
      <x:c r="J820" s="23" t="str">
        <x:v>D0 59 6F 73 68 69 6F 01 72 65 61 64 73 01 69 74 01 61 6C 6F 75 64 21 C3 C3 C0</x:v>
      </x:c>
      <x:c r="K820" s="23" t="str">
        <x:v>1D0 067 04D 046 084 015 001 118 03D 084 022 017 039 01F 07A 1C3 1C3 1C0</x:v>
      </x:c>
    </x:row>
    <x:row r="821">
      <x:c r="A821" s="22" t="str">
        <x:f>"03"</x:f>
        <x:v>03</x:v>
      </x:c>
      <x:c r="B821" s="22" t="str">
        <x:f>"33"</x:f>
        <x:v>33</x:v>
      </x:c>
      <x:c r="C821" s="22" t="str">
        <x:f>"0x0333"</x:f>
        <x:v>0x0333</x:v>
      </x:c>
      <x:c r="D821" s="21" t="str">
        <x:v>&lt;CLEAR&gt;
ヨシオの たましいが
おたけびを あげた!</x:v>
      </x:c>
      <x:c r="E821" s="19" t="str">
        <x:v>&lt;CLEAR&gt;Yoshio's soul lets
out a mighty roar!</x:v>
      </x:c>
      <x:c r="F821" s="20" t="str"/>
      <x:c r="G821" s="20" t="str"/>
      <x:c r="H821" s="23" t="str">
        <x:v>CLEAR NEWLINE END</x:v>
      </x:c>
      <x:c r="I821" s="23" t="str">
        <x:v>EA:D958</x:v>
      </x:c>
      <x:c r="J821" s="23" t="str">
        <x:v>D0 59 6F 73 68 69 6F 27 73 01 73 6F 75 6C 01 6C 65 74 73 C8 6F 75 74 01 61 01 6D 69 67 68 74 79 01 72 6F 61 72 21 C0</x:v>
      </x:c>
      <x:c r="K821" s="23" t="str">
        <x:v>1D0 067 04D 046 028 001 01F 02E 01B 011 084 015 1C8 014 01F 018 084 02A 03C 001 010 084 018 01F 07A 1C0</x:v>
      </x:c>
    </x:row>
    <x:row r="822">
      <x:c r="A822" s="22" t="str">
        <x:f>"03"</x:f>
        <x:v>03</x:v>
      </x:c>
      <x:c r="B822" s="22" t="str">
        <x:f>"34"</x:f>
        <x:v>34</x:v>
      </x:c>
      <x:c r="C822" s="22" t="str">
        <x:f>"0x0334"</x:f>
        <x:v>0x0334</x:v>
      </x:c>
      <x:c r="D822" s="21" t="str">
        <x:v>&lt;SPEAKER&gt;「うおおー・・・
お嬢さま・・・
わしに 読ませてくだされ・・・</x:v>
      </x:c>
      <x:c r="E822" s="19" t="str">
        <x:v>&lt;SPEAKER&gt;Oooooh... Lady...
Please, let me read it...</x:v>
      </x:c>
      <x:c r="F822" s="20" t="str"/>
      <x:c r="G822" s="20" t="str"/>
      <x:c r="H822" s="23" t="str">
        <x:v>SPEAKER NEWLINE END</x:v>
      </x:c>
      <x:c r="I822" s="23" t="str">
        <x:v>EA:D97F</x:v>
      </x:c>
      <x:c r="J822" s="23" t="str">
        <x:v>CC 4F 6F 6F 6F 6F 68 2E 2E 2E 01 4C 61 64 79 2E 2E 2E C8 50 6C 65 61 73 65 2C 01 6C 65 74 01 6D 65 01 72 65 61 64 01 69 74 2E 2E 2E C0</x:v>
      </x:c>
      <x:c r="K822" s="23" t="str">
        <x:v>1CC 012 014 014 078 081 081 081 1C8 014 0D8 01A 02E 081 081 081 1C8 03B 01B 025 001 118 02E 01D 022 017 084 01F 01A 039 081 081 081 1C0</x:v>
      </x:c>
    </x:row>
    <x:row r="823">
      <x:c r="A823" s="22" t="str">
        <x:f>"03"</x:f>
        <x:v>03</x:v>
      </x:c>
      <x:c r="B823" s="22" t="str">
        <x:f>"35"</x:f>
        <x:v>35</x:v>
      </x:c>
      <x:c r="C823" s="22" t="str">
        <x:f>"0x0335"</x:f>
        <x:v>0x0335</x:v>
      </x:c>
      <x:c r="D823" s="21" t="str">
        <x:v>&lt;SPEAKER&gt;「えーと・・・ん?・・・
石板の 上の方は
かけてますな・・では 読みます&lt;WAIT&gt;&lt;SPEAKER&gt;「・・・よって 装置を
封印することに きめた・・・
ふたたび 動かさんと するとき&lt;WAIT&gt;&lt;SPEAKER&gt;「ちゅうじつなる わが しもべ
ガヌビスに 白き ボールを ささげ
わが名を しめすべし・・・さすれば&lt;WAIT&gt;&lt;SPEAKER&gt;「装置は ふたたび 命を
えるであろう・・・・・・・ただし
黒き ボールを ささげたときは&lt;WAIT&gt;&lt;SPEAKER&gt;「装置は 二度と 目を
さますことは ないだろう・・・&lt;WAIT&gt;&lt;SPEAKER&gt;「・・・以上ですな・・・・・
この 石板は 持っていた方が
よさそうですな! お嬢さま!</x:v>
      </x:c>
      <x:c r="E823" s="19" t="str">
        <x:v>&lt;SPEAKER&gt;Let me see... Hmm...
The top of the tablet is
broken. Very well. I will read it.&lt;WAIT&gt;&lt;SPEAKER&gt;"...Thus, I have decided
to seal the device away. If
one should awaken it again...&lt;WAIT&gt;&lt;SPEAKER&gt;offer a white ball to
Ganubis, my faithful servant,
and reveal my name. Then...&lt;WAIT&gt;&lt;SPEAKER&gt;the device shall
live once more. But if
a black ball is offered...&lt;WAIT&gt;&lt;SPEAKER&gt;the device shall
never awaken again..."&lt;WAIT&gt;&lt;SPEAKER&gt;...That is all. My lady, we
should keep this tablet with us.</x:v>
      </x:c>
      <x:c r="F823" s="20" t="str"/>
      <x:c r="G823" s="20" t="str"/>
      <x:c r="H823" s="23" t="str">
        <x:v>SPEAKER NEWLINE NEWLINE WAIT SPEAKER NEWLINE NEWLINE WAIT SPEAKER NEWLINE NEWLINE WAIT SPEAKER NEWLINE NEWLINE WAIT SPEAKER NEWLINE WAIT SPEAKER NEWLINE END</x:v>
      </x:c>
      <x:c r="I823" s="23" t="str">
        <x:v>EA:D9AC</x:v>
      </x:c>
      <x:c r="J823" s="23" t="str">
        <x:v>CC 4C 65 74 01 6D 65 01 73 65 65 2E 2E 2E 01 48 6D 6D 2E 2E 2E C8 54 68 65 01 74 6F 70 01 6F 66 01 74 68 65 01 74 61 62 6C 65 74 01 69 73 C8 62 72 6F 6B 65 6E 2E 01 56 65 72 79 01 77 65 6C 6C 2E 01 49 01 77 69 6C 6C 01 72 65 61 64 01 69 74 2E C5 CC 22 2E 2E 2E 54 68 75 73 2C 01 49 01 68 61 76 65 01 64 65 63 69 64 65 64 C8 74 6F 01 73 65 61 6C 01 74 68 65 01 64 65 76 69 63 65 01 61 77 61 79 2E 01 49 66 C8 6F 6E 65 01 73 68 6F 75 6C 64 01 61 77 61 6B 65 6E 01 69 74 01 61 67 61 69 6E 2E 2E 2E C5 CC 6F 66 66 65 72 01 61 01 77 68 69 74 65 01 62 61 6C 6C 01 74 6F C8 47 61 6E 75 62 69 73 2C 01 6D 79 01 66 61 69 74 68 66 75 6C 01 73 65 72 76 61 6E 74 2C C8 61 6E 64 01 72 65 76 65 61 6C 01 6D 79 01 6E 61 6D 65 2E 01 54 68 65 6E 2E 2E 2E C5 CC 74 68 65 01 64 65 76 69 63 65 01 73 68 61 6C 6C C8 6C 69 76 65 01 6F 6E 63 65 01 6D 6F 72 65 2E 01 42 75 74 01 69 66 C8 61 01 62 6C 61 63 6B 01 62 61 6C 6C 01 69 73 01 6F 66 66 65 72 65 64 2E 2E 2E C5 CC 74 68 65 01 64 65 76 69 63 65 01 73 68 61 6C 6C C8 6E 65 76 65 72 01 61 77 61 6B 65 6E 01 61 67 61 69 6E 2E 2E 2E 22 C5 CC 2E 2E 2E 54 68 61 74 01 69 73 01 61 6C 6C 2E 01 4D 79 01 6C 61 64 79 2C 01 77 65 C8 73 68 6F 75 6C 64 01 6B 65 65 70 01 74 68 69 73 01 74 61 62 6C 65 74 01 77 69 74 68 01 75 73 2E C0</x:v>
      </x:c>
      <x:c r="K823" s="23" t="str">
        <x:v>1CC 013 078 023 081 081 081 03D 079 081 081 081 1C8 09D 147 028 001 128 028 0B9 029 1C8 015 018 022 02E 01C 024 081 081 084 022 029 001 118 02F 02E 01C 1C5 1CC 081 081 081 035 03E 022 001 0C2 19F 03C 1C8 134 133 01C 038 019 023 025 001 016 031 01F 081 081 081 1C8 02B 01F 01F 084 02A 001 0B1 015 01A 03D 023 001 01C 038 023 016 1C5 1CC 020 040 012 084 01B 021 024 038 001 03B 084 015 001 01B 032 084 02C 1C8 084 047 058 084 05C 04E 025 001 141 016 001 084 05F 078 06A 03C 001 01A 01A 084 018 1C8 03B 084 015 0CD 03C 001 01B 031 01C 084 02C 01B 081 081 081 01A 01C 039 084 029 1C5 1CC 0C2 19F 029 001 02B 01F 01F 084 02A 001 0EE 03C 1C8 013 038 084 022 010 03A 012 081 081 081 081 081 081 081 01F 084 01F 01B 1C8 180 016 001 084 05F 078 06A 03C 001 01A 01A 084 018 01F 023 016 029 1C5 1CC 0C2 19F 029 001 189 13E 023 001 0B6 03C 1C8 01A 02E 01C 019 023 029 001 024 011 084 01F 03A 012 081 081 081 1C5 1CC 081 081 081 0F4 128 084 022 01C 024 081 081 081 081 081 1C8 019 028 001 09D 147 029 001 0D3 03E 022 011 01F 0B9 084 015 1C8 035 01A 01E 012 084 022 01C 024 07A 001 014 0D8 01A 02E 07A 1C0</x:v>
      </x:c>
    </x:row>
    <x:row r="824">
      <x:c r="A824" s="22" t="str">
        <x:f>"03"</x:f>
        <x:v>03</x:v>
      </x:c>
      <x:c r="B824" s="22" t="str">
        <x:f>"36"</x:f>
        <x:v>36</x:v>
      </x:c>
      <x:c r="C824" s="22" t="str">
        <x:f>"0x0336"</x:f>
        <x:v>0x0336</x:v>
      </x:c>
      <x:c r="D824" s="21" t="str">
        <x:v>&lt;CLEAR&gt;
レディは 石板を見ようとした</x:v>
      </x:c>
      <x:c r="E824" s="19" t="str">
        <x:v>&lt;CLEAR&gt;Lady tries to examine the tablet.</x:v>
      </x:c>
      <x:c r="F824" s="20" t="str"/>
      <x:c r="G824" s="20" t="str"/>
      <x:c r="H824" s="23" t="str">
        <x:v>CLEAR END</x:v>
      </x:c>
      <x:c r="I824" s="23" t="str">
        <x:v>EA:DB4E</x:v>
      </x:c>
      <x:c r="J824" s="23" t="str">
        <x:v>D0 4C 61 64 79 01 74 72 69 65 73 01 74 6F 01 65 78 61 6D 69 6E 65 01 74 68 65 01 74 61 62 6C 65 74 2E C0</x:v>
      </x:c>
      <x:c r="K824" s="23" t="str">
        <x:v>1D0 06B 084 054 075 029 001 09D 147 03C 090 035 012 023 01B 01F 1C0</x:v>
      </x:c>
    </x:row>
    <x:row r="825">
      <x:c r="A825" s="22" t="str">
        <x:f>"03"</x:f>
        <x:v>03</x:v>
      </x:c>
      <x:c r="B825" s="22" t="str">
        <x:f>"37"</x:f>
        <x:v>37</x:v>
      </x:c>
      <x:c r="C825" s="22" t="str">
        <x:f>"0x0337"</x:f>
        <x:v>0x0337</x:v>
      </x:c>
      <x:c r="D825" s="21" t="str">
        <x:v>&lt;CLEAR&gt;
ヨシオの たましいが
おたけびを あげた!</x:v>
      </x:c>
      <x:c r="E825" s="19" t="str">
        <x:v>&lt;CLEAR&gt;Yoshio's soul lets
out a mighty roar!&lt;LINE&gt;</x:v>
      </x:c>
      <x:c r="F825" s="20" t="str"/>
      <x:c r="G825" s="20" t="str"/>
      <x:c r="H825" s="23" t="str">
        <x:v>CLEAR NEWLINE LINE END</x:v>
      </x:c>
      <x:c r="I825" s="23" t="str">
        <x:v>EA:DB71</x:v>
      </x:c>
      <x:c r="J825" s="23" t="str">
        <x:v>D0 59 6F 73 68 69 6F 27 73 01 73 6F 75 6C 01 6C 65 74 73 C8 6F 75 74 01 61 01 6D 69 67 68 74 79 01 72 6F 61 72 21 C3 C0</x:v>
      </x:c>
      <x:c r="K825" s="23" t="str">
        <x:v>1D0 067 04D 046 028 001 01F 02E 01B 011 084 015 1C8 014 01F 018 084 02A 03C 001 010 084 018 01F 07A 1C3 1C0</x:v>
      </x:c>
    </x:row>
    <x:row r="826">
      <x:c r="A826" s="22" t="str">
        <x:f>"03"</x:f>
        <x:v>03</x:v>
      </x:c>
      <x:c r="B826" s="22" t="str">
        <x:f>"38"</x:f>
        <x:v>38</x:v>
      </x:c>
      <x:c r="C826" s="22" t="str">
        <x:f>"0x0338"</x:f>
        <x:v>0x0338</x:v>
      </x:c>
      <x:c r="D826" s="21" t="str">
        <x:v>&lt;SPEAKER&gt;「お嬢さま! まず コックスの
ぐあいを たしかめましょうぞ!</x:v>
      </x:c>
      <x:c r="E826" s="19" t="str">
        <x:v>&lt;SPEAKER&gt;Lady! First, let
us check on Cox!</x:v>
      </x:c>
      <x:c r="F826" s="20" t="str"/>
      <x:c r="G826" s="20" t="str"/>
      <x:c r="H826" s="23" t="str">
        <x:v>SPEAKER NEWLINE END</x:v>
      </x:c>
      <x:c r="I826" s="23" t="str">
        <x:v>EA:DB99</x:v>
      </x:c>
      <x:c r="J826" s="23" t="str">
        <x:v>CC 4C 61 64 79 21 01 46 69 72 73 74 2C 01 6C 65 74 C8 75 73 01 63 68 65 63 6B 01 6F 6E 01 43 6F 78 21 C0</x:v>
      </x:c>
      <x:c r="K826" s="23" t="str">
        <x:v>1CC 014 0D8 01A 02E 07A 001 02E 084 01C 001 04B 070 049 04E 028 1C8 084 017 010 011 03C 001 01F 01B 015 031 02E 01B 041 012 084 01E 07A 1C0</x:v>
      </x:c>
    </x:row>
    <x:row r="827">
      <x:c r="A827" s="22" t="str">
        <x:f>"03"</x:f>
        <x:v>03</x:v>
      </x:c>
      <x:c r="B827" s="22" t="str">
        <x:f>"39"</x:f>
        <x:v>39</x:v>
      </x:c>
      <x:c r="C827" s="22" t="str">
        <x:f>"0x0339"</x:f>
        <x:v>0x0339</x:v>
      </x:c>
      <x:c r="D827" s="21" t="str">
        <x:v>&lt;CLEAR&gt;
レディは コックスを しらべた&lt;WAIT&gt;
&lt;CLEAR&gt;
かすかだが まだ いきを している&lt;WAIT&gt;
&lt;CLEAR&gt;
レディは コックスを たすけた</x:v>
      </x:c>
      <x:c r="E827" s="19" t="str">
        <x:v>&lt;CLEAR&gt;Lady checks Cox.&lt;WAIT&gt;&lt;CLEAR&gt;He is faintly breathing.&lt;WAIT&gt;&lt;CLEAR&gt;Lady helps Cox.</x:v>
      </x:c>
      <x:c r="F827" s="20" t="str"/>
      <x:c r="G827" s="20" t="str"/>
      <x:c r="H827" s="23" t="str">
        <x:v>CLEAR WAIT CLEAR WAIT CLEAR END</x:v>
      </x:c>
      <x:c r="I827" s="23" t="str">
        <x:v>EA:DBBC</x:v>
      </x:c>
      <x:c r="J827" s="23" t="str">
        <x:v>D0 4C 61 64 79 01 63 68 65 63 6B 73 01 43 6F 78 2E C5 D0 48 65 01 69 73 01 66 61 69 6E 74 6C 79 01 62 72 65 61 74 68 69 6E 67 2E C5 D0 4C 61 64 79 01 68 65 6C 70 73 01 43 6F 78 2E C0</x:v>
      </x:c>
      <x:c r="K827" s="23" t="str">
        <x:v>1D0 06B 084 054 075 029 001 04B 070 049 04E 03C 001 01B 036 084 02C 01F 1C5 1D0 015 01C 015 084 01F 084 015 001 02E 084 01F 001 011 016 03C 001 01B 022 011 038 1C5 1D0 06B 084 054 075 029 001 04B 070 049 04E 03C 001 01F 01C 018 01F 1C0</x:v>
      </x:c>
    </x:row>
    <x:row r="828">
      <x:c r="A828" s="22" t="str">
        <x:f>"03"</x:f>
        <x:v>03</x:v>
      </x:c>
      <x:c r="B828" s="22" t="str">
        <x:f>"3A"</x:f>
        <x:v>3A</x:v>
      </x:c>
      <x:c r="C828" s="22" t="str">
        <x:f>"0x033A"</x:f>
        <x:v>0x033A</x:v>
      </x:c>
      <x:c r="D828" s="21" t="str">
        <x:v>&lt;CLEAR&gt;
コックスが パーティーに くわわった</x:v>
      </x:c>
      <x:c r="E828" s="19" t="str">
        <x:v>&lt;CLEAR&gt;Cox joined the party.&lt;LINE&gt;&lt;LINE&gt;</x:v>
      </x:c>
      <x:c r="F828" s="20" t="str"/>
      <x:c r="G828" s="20" t="str"/>
      <x:c r="H828" s="23" t="str">
        <x:v>CLEAR LINE LINE END</x:v>
      </x:c>
      <x:c r="I828" s="23" t="str">
        <x:v>EA:DBF9</x:v>
      </x:c>
      <x:c r="J828" s="23" t="str">
        <x:v>D0 43 6F 78 01 6A 6F 69 6E 65 64 01 74 68 65 01 70 61 72 74 79 2E C3 C3 C0</x:v>
      </x:c>
      <x:c r="K828" s="23" t="str">
        <x:v>1D0 04B 070 049 04E 084 015 001 083 05B 078 054 075 078 025 001 017 03B 03B 03E 01F 1C3 1C3 1C0</x:v>
      </x:c>
    </x:row>
    <x:row r="829">
      <x:c r="A829" s="22" t="str">
        <x:f>"03"</x:f>
        <x:v>03</x:v>
      </x:c>
      <x:c r="B829" s="22" t="str">
        <x:f>"3B"</x:f>
        <x:v>3B</x:v>
      </x:c>
      <x:c r="C829" s="22" t="str">
        <x:f>"0x033B"</x:f>
        <x:v>0x033B</x:v>
      </x:c>
      <x:c r="D829" s="21" t="str">
        <x:v>&lt;SPEAKER&gt;「うおおおいっ! はあ はあ
お おまえら に 人間かっ!&lt;WAIT&gt;&lt;SPEAKER&gt;「くわーっ! たすかったあ
お おれたち だまされてたんだ&lt;WAIT&gt;&lt;SPEAKER&gt;「た たしかに 町では
さけとか ばくちとか
あそびほうだい だったけどよ&lt;WAIT&gt;&lt;SPEAKER&gt;「あげくの はてに
かんづめに されるなんて
と とんでもねえぜ&lt;WAIT&gt;&lt;SPEAKER&gt;「あ あいつらの
はなしを きいたんだけどよ&lt;WAIT&gt;&lt;SPEAKER&gt;「この 鉱山の むこうに
ひみつの きちとか いろいろ
作ってる らしいんだよ</x:v>
      </x:c>
      <x:c r="E829" s="19" t="str">
        <x:v>&lt;SPEAKER&gt;H-heyyy! Pant,
pant... Y-you are humans?!&lt;WAIT&gt;&lt;SPEAKER&gt;Whew! We are
saved! W-we were tricked!&lt;WAIT&gt;&lt;SPEAKER&gt;Sure, back in town
we had all the booze
and gambling we wanted...&lt;WAIT&gt;&lt;SPEAKER&gt;But getting sealed in
cans at the end? That is insane!&lt;WAIT&gt;&lt;SPEAKER&gt;I-I overheard them talking.&lt;WAIT&gt;&lt;SPEAKER&gt;Apparently they are
building secret bases and all kinds
of things beyond Deathvalley Mine.</x:v>
      </x:c>
      <x:c r="F829" s="20" t="str"/>
      <x:c r="G829" s="20" t="str"/>
      <x:c r="H829" s="23" t="str">
        <x:v>SPEAKER NEWLINE WAIT SPEAKER NEWLINE WAIT SPEAKER NEWLINE NEWLINE WAIT SPEAKER NEWLINE WAIT SPEAKER WAIT SPEAKER NEWLINE NEWLINE END</x:v>
      </x:c>
      <x:c r="I829" s="23" t="str">
        <x:v>EA:DC12</x:v>
      </x:c>
      <x:c r="J829" s="23" t="str">
        <x:v>CC 48 2D 68 65 79 79 79 21 01 50 61 6E 74 2C C8 70 61 6E 74 2E 2E 2E 01 59 2D 79 6F 75 01 61 72 65 01 68 75 6D 61 6E 73 3F 21 C5 CC 57 68 65 77 21 01 57 65 01 61 72 65 C8 73 61 76 65 64 21 01 57 2D 77 65 01 77 65 72 65 01 74 72 69 63 6B 65 64 21 C5 CC 53 75 72 65 2C 01 62 61 63 6B 01 69 6E 01 74 6F 77 6E C8 77 65 01 68 61 64 01 61 6C 6C 01 74 68 65 01 62 6F 6F 7A 65 C8 61 6E 64 01 67 61 6D 62 6C 69 6E 67 01 77 65 01 77 61 6E 74 65 64 2E 2E 2E C5 CC 42 75 74 01 67 65 74 74 69 6E 67 01 73 65 61 6C 65 64 01 69 6E C8 63 61 6E 73 01 61 74 01 74 68 65 01 65 6E 64 3F 01 54 68 61 74 01 69 73 01 69 6E 73 61 6E 65 21 C5 CC 49 2D 49 01 6F 76 65 72 68 65 61 72 64 01 74 68 65 6D 01 74 61 6C 6B 69 6E 67 2E C5 CC 41 70 70 61 72 65 6E 74 6C 79 01 74 68 65 79 01 61 72 65 C8 62 75 69 6C 64 69 6E 67 01 73 65 63 72 65 74 01 62 61 73 65 73 01 61 6E 64 01 61 6C 6C 01 6B 69 6E 64 73 C8 6F 66 01 74 68 69 6E 67 73 01 62 65 79 6F 6E 64 01 44 65 61 74 68 76 61 6C 6C 65 79 01 4D 69 6E 65 2E C0</x:v>
      </x:c>
      <x:c r="K829" s="23" t="str">
        <x:v>1CC 012 014 014 014 011 03E 07A 001 029 010 001 029 010 1C8 014 001 014 02E 013 036 001 025 001 091 0E3 015 03E 07A 1C5 1CC 017 03B 078 03E 07A 001 01F 01C 015 03E 01F 010 1C8 014 001 014 039 01F 020 001 084 01F 02E 01A 039 022 01F 03D 084 01F 1C5 1CC 01F 001 01F 01B 015 025 001 0C9 084 022 029 1C8 01A 018 023 015 001 084 029 017 020 023 015 1C8 010 01E 084 02A 02D 012 084 01F 011 001 084 01F 03E 01F 018 084 023 035 1C5 1CC 010 084 018 017 028 001 029 022 025 1C8 015 03D 084 021 031 025 001 01A 039 038 024 03D 022 1C8 023 001 023 03D 084 022 032 027 013 084 01D 1C5 1CC 010 001 010 011 021 036 028 1C8 029 024 01B 03C 001 016 011 01F 03D 084 01F 018 084 023 035 1C5 1CC 019 028 001 10B 10C 028 001 030 019 012 025 1C8 02A 02F 021 028 001 016 020 023 015 001 011 03A 011 03A 1C8 0F6 03E 022 038 001 036 01B 011 03D 084 01F 035 1C0</x:v>
      </x:c>
    </x:row>
    <x:row r="830">
      <x:c r="A830" s="22" t="str">
        <x:f>"03"</x:f>
        <x:v>03</x:v>
      </x:c>
      <x:c r="B830" s="22" t="str">
        <x:f>"3C"</x:f>
        <x:v>3C</x:v>
      </x:c>
      <x:c r="C830" s="22" t="str">
        <x:f>"0x033C"</x:f>
        <x:v>0x033C</x:v>
      </x:c>
      <x:c r="D830" s="21" t="str">
        <x:v>&lt;SPEAKER&gt;「このまま ほっといたら
えれえことに なっちまうぜ!
みんな かんづめに なっちまうよ!&lt;WAIT&gt;&lt;SPEAKER&gt;「とほほ・・・ ねえちゃん!
なんとかしてよ!</x:v>
      </x:c>
      <x:c r="E830" s="19" t="str">
        <x:v>&lt;SPEAKER&gt;If nobody stops
them, this will get bad!
Everyone will end up in cans!&lt;WAIT&gt;&lt;SPEAKER&gt;Ugh... Lady,
please do something!</x:v>
      </x:c>
      <x:c r="F830" s="20" t="str"/>
      <x:c r="G830" s="20" t="str"/>
      <x:c r="H830" s="23" t="str">
        <x:v>SPEAKER NEWLINE NEWLINE WAIT SPEAKER NEWLINE END</x:v>
      </x:c>
      <x:c r="I830" s="23" t="str">
        <x:v>EA:DD59</x:v>
      </x:c>
      <x:c r="J830" s="23" t="str">
        <x:v>CC 49 66 01 6E 6F 62 6F 64 79 01 73 74 6F 70 73 C8 74 68 65 6D 2C 01 74 68 69 73 01 77 69 6C 6C 01 67 65 74 01 62 61 64 21 C8 45 76 65 72 79 6F 6E 65 01 77 69 6C 6C 01 65 6E 64 01 75 70 01 69 6E 01 63 61 6E 73 21 C5 CC 55 67 68 2E 2E 2E 01 4C 61 64 79 2C C8 70 6C 65 61 73 65 01 64 6F 01 73 6F 6D 65 74 68 69 6E 67 21 C0</x:v>
      </x:c>
      <x:c r="K830" s="23" t="str">
        <x:v>1CC 019 028 02E 02E 001 02D 03E 023 011 01F 036 1C8 013 039 013 019 023 025 001 024 03E 020 02E 012 084 01D 07A 1C8 02F 03D 024 001 015 03D 084 021 031 025 001 024 03E 020 02E 012 035 07A 1C5 1CC 023 02D 02D 081 081 081 001 027 013 020 03F 03D 07A 1C8 024 03D 023 015 01B 022 035 07A 1C0</x:v>
      </x:c>
    </x:row>
    <x:row r="831">
      <x:c r="A831" s="22" t="str">
        <x:f>"03"</x:f>
        <x:v>03</x:v>
      </x:c>
      <x:c r="B831" s="22" t="str">
        <x:f>"3D"</x:f>
        <x:v>3D</x:v>
      </x:c>
      <x:c r="C831" s="22" t="str">
        <x:f>"0x033D"</x:f>
        <x:v>0x033D</x:v>
      </x:c>
      <x:c r="D831" s="21" t="str">
        <x:v>&lt;CLEAR&gt;
大きな かんづめが ある&lt;WAIT&gt;
&lt;CLEAR&gt;
ジェイビーじるしの かんづめは
人間いがいの ざいりょうは
使っていないようだ</x:v>
      </x:c>
      <x:c r="E831" s="19" t="str">
        <x:v>&lt;CLEAR&gt;There is a huge can here.&lt;WAIT&gt;&lt;CLEAR&gt;J.B.-brand canned goods appear
to contain no ingredients
other than human beings.</x:v>
      </x:c>
      <x:c r="F831" s="20" t="str"/>
      <x:c r="G831" s="20" t="str"/>
      <x:c r="H831" s="23" t="str">
        <x:v>CLEAR WAIT CLEAR NEWLINE NEWLINE END</x:v>
      </x:c>
      <x:c r="I831" s="23" t="str">
        <x:v>EA:DDC4</x:v>
      </x:c>
      <x:c r="J831" s="23" t="str">
        <x:v>D0 54 68 65 72 65 01 69 73 01 61 01 68 75 67 65 01 63 61 6E 01 68 65 72 65 2E C5 D0 4A 2E 42 2E 2D 62 72 61 6E 64 01 63 61 6E 6E 65 64 01 67 6F 6F 64 73 01 61 70 70 65 61 72 C8 74 6F 01 63 6F 6E 74 61 69 6E 01 6E 6F 01 69 6E 67 72 65 64 69 65 6E 74 73 C8 6F 74 68 65 72 01 74 68 61 6E 01 68 75 6D 61 6E 01 62 65 69 6E 67 73 2E C0</x:v>
      </x:c>
      <x:c r="K831" s="23" t="str">
        <x:v>1D0 0AC 016 024 001 015 03D 084 021 031 084 015 001 010 038 1C5 1D0 084 04D 076 043 084 05C 078 084 01B 038 01B 028 001 015 03D 084 021 031 029 1C8 091 0E3 011 084 015 011 028 001 084 01A 011 037 041 012 029 1C8 123 03E 022 011 024 011 035 012 084 01F 1C0</x:v>
      </x:c>
    </x:row>
    <x:row r="832">
      <x:c r="A832" s="22" t="str">
        <x:f>"03"</x:f>
        <x:v>03</x:v>
      </x:c>
      <x:c r="B832" s="22" t="str">
        <x:f>"3E"</x:f>
        <x:v>3E</x:v>
      </x:c>
      <x:c r="C832" s="22" t="str">
        <x:f>"0x033E"</x:f>
        <x:v>0x033E</x:v>
      </x:c>
      <x:c r="D832" s="21" t="str">
        <x:v>&lt;CLEAR&gt;
きけん! 火の玉トロッコ
とくべつ さぎょう員 いがい
むだんじょうしゃ きんし&lt;WAIT&gt;
&lt;CLEAR&gt;
そうさばんの あかいボタンで
火の玉 はっしゃ
玉かずは むせいげん</x:v>
      </x:c>
      <x:c r="E832" s="19" t="str">
        <x:v>&lt;CLEAR&gt;DANGER! FIREBALL MINE CART
AUTHORIZED WORKERS ONLY&lt;WAIT&gt;&lt;CLEAR&gt;Press the red button on
the control panel to fire.
Ammunition is unlimited.</x:v>
      </x:c>
      <x:c r="F832" s="20" t="str"/>
      <x:c r="G832" s="20" t="str"/>
      <x:c r="H832" s="23" t="str">
        <x:v>CLEAR NEWLINE WAIT CLEAR NEWLINE NEWLINE END</x:v>
      </x:c>
      <x:c r="I832" s="23" t="str">
        <x:v>EA:DE32</x:v>
      </x:c>
      <x:c r="J832" s="23" t="str">
        <x:v>D0 44 41 4E 47 45 52 21 01 46 49 52 45 42 41 4C 4C 01 4D 49 4E 45 01 43 41 52 54 C8 41 55 54 48 4F 52 49 5A 45 44 01 57 4F 52 4B 45 52 53 01 4F 4E 4C 59 C5 D0 50 72 65 73 73 01 74 68 65 01 72 65 64 01 62 75 74 74 6F 6E 01 6F 6E C8 74 68 65 01 63 6F 6E 74 72 6F 6C 01 70 61 6E 65 6C 01 74 6F 01 66 69 72 65 2E C8 41 6D 6D 75 6E 69 74 69 6F 6E 01 69 73 01 75 6E 6C 69 6D 69 74 65 64 2E C0</x:v>
      </x:c>
      <x:c r="K832" s="23" t="str">
        <x:v>1D0 016 018 03D 07A 001 110 028 127 055 06C 070 04B 1C8 023 017 084 02C 021 001 01A 084 016 041 012 1B3 001 011 084 015 011 1C8 030 084 01F 03D 084 01B 041 012 01B 03F 001 016 03D 01B 1C5 1D0 01E 012 01A 084 029 03D 028 001 010 015 011 084 05F 051 06F 084 022 1C8 110 028 127 001 029 03E 01B 03F 1C8 127 015 084 01C 029 001 030 01D 011 084 018 03D 1C0</x:v>
      </x:c>
    </x:row>
    <x:row r="833">
      <x:c r="A833" s="22" t="str">
        <x:f>"03"</x:f>
        <x:v>03</x:v>
      </x:c>
      <x:c r="B833" s="22" t="str">
        <x:f>"3F"</x:f>
        <x:v>3F</x:v>
      </x:c>
      <x:c r="C833" s="22" t="str">
        <x:f>"0x033F"</x:f>
        <x:v>0x033F</x:v>
      </x:c>
      <x:c r="D833" s="21" t="str">
        <x:v>&lt;CLEAR&gt;
この あかい ランプが
てんめつ しているときは
トロッコに のれません</x:v>
      </x:c>
      <x:c r="E833" s="19" t="str">
        <x:v>&lt;CLEAR&gt;You cannot board the mine cart
while this red lamp is flashing.</x:v>
      </x:c>
      <x:c r="F833" s="20" t="str"/>
      <x:c r="G833" s="20" t="str"/>
      <x:c r="H833" s="23" t="str">
        <x:v>CLEAR NEWLINE END</x:v>
      </x:c>
      <x:c r="I833" s="23" t="str">
        <x:v>EA:DEB3</x:v>
      </x:c>
      <x:c r="J833" s="23" t="str">
        <x:v>D0 59 6F 75 01 63 61 6E 6E 6F 74 01 62 6F 61 72 64 01 74 68 65 01 6D 69 6E 65 01 63 61 72 74 C8 77 68 69 6C 65 01 74 68 69 73 01 72 65 64 01 6C 61 6D 70 01 69 73 01 66 6C 61 73 68 69 6E 67 2E C0</x:v>
      </x:c>
      <x:c r="K833" s="23" t="str">
        <x:v>1D0 019 028 001 010 015 011 001 068 06F 083 05D 084 015 1C8 022 03D 031 021 001 01B 022 011 038 023 016 029 1C8 055 06C 070 04B 025 001 028 039 02E 01D 03D 1C0</x:v>
      </x:c>
    </x:row>
    <x:row r="834">
      <x:c r="A834" s="22" t="str">
        <x:f>"03"</x:f>
        <x:v>03</x:v>
      </x:c>
      <x:c r="B834" s="22" t="str">
        <x:f>"40"</x:f>
        <x:v>40</x:v>
      </x:c>
      <x:c r="C834" s="22" t="str">
        <x:f>"0x0340"</x:f>
        <x:v>0x0340</x:v>
      </x:c>
      <x:c r="D834" s="21" t="str">
        <x:v>&lt;SPEAKER&gt;「ぬおー
噴火のショックで
こしが ぬけてしまうとは</x:v>
      </x:c>
      <x:c r="E834" s="19" t="str">
        <x:v>&lt;SPEAKER&gt;Gwaaah... I cannot
believe the shock of the
eruption made my legs give out!</x:v>
      </x:c>
      <x:c r="F834" s="20" t="str"/>
      <x:c r="G834" s="20" t="str"/>
      <x:c r="H834" s="23" t="str">
        <x:v>SPEAKER NEWLINE NEWLINE END</x:v>
      </x:c>
      <x:c r="I834" s="23" t="str">
        <x:v>EA:DEF4</x:v>
      </x:c>
      <x:c r="J834" s="23" t="str">
        <x:v>CC 47 77 61 61 61 68 2E 2E 2E 01 49 01 63 61 6E 6E 6F 74 C8 62 65 6C 69 65 76 65 01 74 68 65 01 73 68 6F 63 6B 01 6F 66 01 74 68 65 C8 65 72 75 70 74 69 6F 6E 01 6D 61 64 65 01 6D 79 01 6C 65 67 73 01 67 69 76 65 01 6F 75 74 21 C0</x:v>
      </x:c>
      <x:c r="K834" s="23" t="str">
        <x:v>1CC 026 014 078 1C8 117 110 028 04D 073 070 049 084 022 1C8 019 01B 084 015 001 026 018 022 01B 02E 012 023 029 1C0</x:v>
      </x:c>
    </x:row>
    <x:row r="835">
      <x:c r="A835" s="22" t="str">
        <x:f>"03"</x:f>
        <x:v>03</x:v>
      </x:c>
      <x:c r="B835" s="22" t="str">
        <x:f>"41"</x:f>
        <x:v>41</x:v>
      </x:c>
      <x:c r="C835" s="22" t="str">
        <x:f>"0x0341"</x:f>
        <x:v>0x0341</x:v>
      </x:c>
      <x:c r="D835" s="21" t="str">
        <x:v>&lt;SPEAKER&gt;「しかし 人間め どうせ お前らの
村や 町も 溶岩で埋まっちまったに
きまってる! ざまーみろ!</x:v>
      </x:c>
      <x:c r="E835" s="19" t="str">
        <x:v>&lt;SPEAKER&gt;You humans are done
too! Your towns must be
buried in lava by now! Ha!</x:v>
      </x:c>
      <x:c r="F835" s="20" t="str"/>
      <x:c r="G835" s="20" t="str"/>
      <x:c r="H835" s="23" t="str">
        <x:v>SPEAKER NEWLINE NEWLINE END</x:v>
      </x:c>
      <x:c r="I835" s="23" t="str">
        <x:v>EA:DF41</x:v>
      </x:c>
      <x:c r="J835" s="23" t="str">
        <x:v>CC 59 6F 75 01 68 75 6D 61 6E 73 01 61 72 65 01 64 6F 6E 65 C8 74 6F 6F 21 01 59 6F 75 72 01 74 6F 77 6E 73 01 6D 75 73 74 01 62 65 C8 62 75 72 69 65 64 01 69 6E 01 6C 61 76 61 01 62 79 01 6E 6F 77 21 01 48 61 21 C0</x:v>
      </x:c>
      <x:c r="K835" s="23" t="str">
        <x:v>1CC 01B 015 01B 001 091 0E3 031 001 084 023 012 01D 001 014 0C3 036 028 1C8 1B0 033 001 0C9 032 001 119 158 084 022 1A8 02E 03E 020 02E 03E 01F 025 1C8 016 02E 03E 022 038 07A 001 084 01A 02E 078 02F 03A 07A 1C0</x:v>
      </x:c>
    </x:row>
    <x:row r="836">
      <x:c r="A836" s="22" t="str">
        <x:f>"03"</x:f>
        <x:v>03</x:v>
      </x:c>
      <x:c r="B836" s="22" t="str">
        <x:f>"42"</x:f>
        <x:v>42</x:v>
      </x:c>
      <x:c r="C836" s="22" t="str">
        <x:f>"0x0342"</x:f>
        <x:v>0x0342</x:v>
      </x:c>
      <x:c r="D836" s="21" t="str">
        <x:v>&lt;CLEAR&gt;
レディは イッキュウから
スプリングを むしりとった!</x:v>
      </x:c>
      <x:c r="E836" s="19" t="str">
        <x:v>&lt;CLEAR&gt;Lady tears the Spring off Ikkyu!</x:v>
      </x:c>
      <x:c r="F836" s="20" t="str"/>
      <x:c r="G836" s="20" t="str"/>
      <x:c r="H836" s="23" t="str">
        <x:v>CLEAR END</x:v>
      </x:c>
      <x:c r="I836" s="23" t="str">
        <x:v>EA:DF89</x:v>
      </x:c>
      <x:c r="J836" s="23" t="str">
        <x:v>D0 4C 61 64 79 01 74 65 61 72 73 01 74 68 65 01 53 70 72 69 6E 67 01 6F 66 66 01 49 6B 6B 79 75 21 C0</x:v>
      </x:c>
      <x:c r="K836" s="23" t="str">
        <x:v>1D0 06B 084 054 075 029 001 043 070 048 072 044 015 036 1C8 04E 083 05D 069 06F 084 049 03C 001 030 01B 037 023 03E 01F 07A 1C0</x:v>
      </x:c>
    </x:row>
    <x:row r="837">
      <x:c r="A837" s="22" t="str">
        <x:f>"03"</x:f>
        <x:v>03</x:v>
      </x:c>
      <x:c r="B837" s="22" t="str">
        <x:f>"43"</x:f>
        <x:v>43</x:v>
      </x:c>
      <x:c r="C837" s="22" t="str">
        <x:f>"0x0343"</x:f>
        <x:v>0x0343</x:v>
      </x:c>
      <x:c r="D837" s="21" t="str">
        <x:v>&lt;SPEAKER&gt;「ぬおー なにしやがる!
それで 町にもどる気だな!
ちょっといたい やめて おねがい</x:v>
      </x:c>
      <x:c r="E837" s="19" t="str">
        <x:v>&lt;SPEAKER&gt;Gwaaah! What are you
doing?! You plan to use that to
return to town! Ow! Stop! Please!</x:v>
      </x:c>
      <x:c r="F837" s="20" t="str"/>
      <x:c r="G837" s="20" t="str"/>
      <x:c r="H837" s="23" t="str">
        <x:v>SPEAKER NEWLINE NEWLINE END</x:v>
      </x:c>
      <x:c r="I837" s="23" t="str">
        <x:v>EA:DFAB</x:v>
      </x:c>
      <x:c r="J837" s="23" t="str">
        <x:v>CC 47 77 61 61 61 68 21 01 57 68 61 74 01 61 72 65 01 79 6F 75 C8 64 6F 69 6E 67 3F 21 01 59 6F 75 01 70 6C 61 6E 01 74 6F 01 75 73 65 01 74 68 61 74 01 74 6F C8 72 65 74 75 72 6E 01 74 6F 01 74 6F 77 6E 21 01 4F 77 21 01 53 74 6F 70 21 01 50 6C 65 61 73 65 21 C0</x:v>
      </x:c>
      <x:c r="K837" s="23" t="str">
        <x:v>1CC 026 014 078 001 024 025 01B 033 084 015 038 07A 1C8 01E 039 084 022 001 0C9 025 032 084 023 038 099 084 01F 024 07A 1C8 020 041 03E 023 011 01F 011 001 033 031 022 001 014 027 084 015 011 1C0</x:v>
      </x:c>
    </x:row>
    <x:row r="838">
      <x:c r="A838" s="22" t="str">
        <x:f>"03"</x:f>
        <x:v>03</x:v>
      </x:c>
      <x:c r="B838" s="22" t="str">
        <x:f>"44"</x:f>
        <x:v>44</x:v>
      </x:c>
      <x:c r="C838" s="22" t="str">
        <x:f>"0x0344"</x:f>
        <x:v>0x0344</x:v>
      </x:c>
      <x:c r="D838" s="21" t="str">
        <x:v>&lt;SPEAKER&gt;「ぬおー なにしやがる!
それで 町にもどる気だったな!
でも ちょっと いいきみだぜ!</x:v>
      </x:c>
      <x:c r="E838" s="19" t="str">
        <x:v>&lt;SPEAKER&gt;Gwaaah! What are you
doing? You meant to use that to
return to town! Serves you right!</x:v>
      </x:c>
      <x:c r="F838" s="20" t="str"/>
      <x:c r="G838" s="20" t="str"/>
      <x:c r="H838" s="23" t="str">
        <x:v>SPEAKER NEWLINE NEWLINE END</x:v>
      </x:c>
      <x:c r="I838" s="23" t="str">
        <x:v>EA:E003</x:v>
      </x:c>
      <x:c r="J838" s="23" t="str">
        <x:v>CC 47 77 61 61 61 68 21 01 57 68 61 74 01 61 72 65 01 79 6F 75 C8 64 6F 69 6E 67 3F 01 59 6F 75 01 6D 65 61 6E 74 01 74 6F 01 75 73 65 01 74 68 61 74 01 74 6F C8 72 65 74 75 72 6E 01 74 6F 01 74 6F 77 6E 21 01 53 65 72 76 65 73 01 79 6F 75 01 72 69 67 68 74 21 C0</x:v>
      </x:c>
      <x:c r="K838" s="23" t="str">
        <x:v>1CC 026 014 078 001 024 025 01B 033 084 015 038 07A 1C8 01E 039 084 022 001 0C9 025 032 084 023 038 099 084 01F 03E 01F 024 07A 1C8 084 022 032 001 020 041 03E 023 001 011 011 016 02F 084 01F 084 01D 07A 1C0</x:v>
      </x:c>
    </x:row>
    <x:row r="839">
      <x:c r="A839" s="22" t="str">
        <x:f>"03"</x:f>
        <x:v>03</x:v>
      </x:c>
      <x:c r="B839" s="22" t="str">
        <x:f>"45"</x:f>
        <x:v>45</x:v>
      </x:c>
      <x:c r="C839" s="22" t="str">
        <x:f>"0x0345"</x:f>
        <x:v>0x0345</x:v>
      </x:c>
      <x:c r="D839" s="21" t="str">
        <x:v>&lt;SPEAKER&gt;「な なんだよ!
見るんじゃねえよ!
いい物やるから あっち行けよ!</x:v>
      </x:c>
      <x:c r="E839" s="19" t="str">
        <x:v>&lt;SPEAKER&gt;W-what?! Stop staring at
me! I will give you something
good, so just go away!</x:v>
      </x:c>
      <x:c r="F839" s="20" t="str"/>
      <x:c r="G839" s="20" t="str"/>
      <x:c r="H839" s="23" t="str">
        <x:v>SPEAKER NEWLINE NEWLINE END</x:v>
      </x:c>
      <x:c r="I839" s="23" t="str">
        <x:v>EA:E05B</x:v>
      </x:c>
      <x:c r="J839" s="23" t="str">
        <x:v>CC 57 2D 77 68 61 74 3F 21 01 53 74 6F 70 01 73 74 61 72 69 6E 67 01 61 74 C8 6D 65 21 01 49 01 77 69 6C 6C 01 67 69 76 65 01 79 6F 75 01 73 6F 6D 65 74 68 69 6E 67 C8 67 6F 6F 64 2C 01 73 6F 01 6A 75 73 74 01 67 6F 01 61 77 61 79 21 C0</x:v>
      </x:c>
      <x:c r="K839" s="23" t="str">
        <x:v>1CC 024 001 024 03D 084 01F 035 07A 1C8 090 038 03D 084 01B 03F 027 013 035 07A 1C8 011 011 08B 033 038 015 036 001 010 03E 020 08D 018 035 07A 1C0</x:v>
      </x:c>
    </x:row>
    <x:row r="840">
      <x:c r="A840" s="22" t="str">
        <x:f>"03"</x:f>
        <x:v>03</x:v>
      </x:c>
      <x:c r="B840" s="22" t="str">
        <x:f>"46"</x:f>
        <x:v>46</x:v>
      </x:c>
      <x:c r="C840" s="22" t="str">
        <x:f>"0x0346"</x:f>
        <x:v>0x0346</x:v>
      </x:c>
      <x:c r="D840" s="21" t="str">
        <x:v>&lt;SPEAKER&gt;「おれさまが びっくりして
こしをぬかしたことは
ヒ&lt;PAUSE_30&gt;ミ&lt;PAUSE_30&gt;ツ&lt;PAUSE_30&gt;だぞ! いいな!</x:v>
      </x:c>
      <x:c r="E840" s="19" t="str">
        <x:v>&lt;SPEAKER&gt;The fact that I was
so startled my legs gave
out is a se&lt;PAUSE_30&gt;-cr&lt;PAUSE_30&gt;-et!&lt;PAUSE_30&gt; Got it?!</x:v>
      </x:c>
      <x:c r="F840" s="20" t="str"/>
      <x:c r="G840" s="20" t="str"/>
      <x:c r="H840" s="23" t="str">
        <x:v>SPEAKER NEWLINE NEWLINE PAUSE_30 PAUSE_30 PAUSE_30 END</x:v>
      </x:c>
      <x:c r="I840" s="23" t="str">
        <x:v>EA:E0AA</x:v>
      </x:c>
      <x:c r="J840" s="23" t="str">
        <x:v>CC 54 68 65 01 66 61 63 74 01 74 68 61 74 01 49 01 77 61 73 C8 73 6F 01 73 74 61 72 74 6C 65 64 01 6D 79 01 6C 65 67 73 01 67 61 76 65 C8 6F 75 74 01 69 73 01 61 01 73 65 CD 2D 63 72 CD 2D 65 74 21 CD 01 47 6F 74 01 69 74 3F 21 C0</x:v>
      </x:c>
      <x:c r="K840" s="23" t="str">
        <x:v>1CC 014 039 01A 02E 084 015 001 084 02A 03E 017 037 01B 022 1C8 019 01B 03C 026 015 01B 01F 019 023 029 1C8 05C 1CD 061 1CD 053 1CD 084 01F 084 01E 07A 001 011 011 024 07A 1C0</x:v>
      </x:c>
    </x:row>
    <x:row r="841">
      <x:c r="A841" s="22" t="str">
        <x:f>"03"</x:f>
        <x:v>03</x:v>
      </x:c>
      <x:c r="B841" s="22" t="str">
        <x:f>"47"</x:f>
        <x:v>47</x:v>
      </x:c>
      <x:c r="C841" s="22" t="str">
        <x:f>"0x0347"</x:f>
        <x:v>0x0347</x:v>
      </x:c>
      <x:c r="D841" s="21" t="str">
        <x:v>&lt;SPEAKER&gt;「なんだよ!
にもつをへらして来い!</x:v>
      </x:c>
      <x:c r="E841" s="19" t="str">
        <x:v>&lt;SPEAKER&gt;What?! Make room
in your baggage and return!</x:v>
      </x:c>
      <x:c r="F841" s="20" t="str"/>
      <x:c r="G841" s="20" t="str"/>
      <x:c r="H841" s="23" t="str">
        <x:v>SPEAKER NEWLINE END</x:v>
      </x:c>
      <x:c r="I841" s="23" t="str">
        <x:v>EA:E0F7</x:v>
      </x:c>
      <x:c r="J841" s="23" t="str">
        <x:v>CC 57 68 61 74 3F 21 01 4D 61 6B 65 01 72 6F 6F 6D C8 69 6E 01 79 6F 75 72 01 62 61 67 67 61 67 65 01 61 6E 64 01 72 65 74 75 72 6E 21 C0</x:v>
      </x:c>
      <x:c r="K841" s="23" t="str">
        <x:v>1CC 024 03D 084 01F 035 07A 1C8 025 032 021 03C 02C 036 01B 022 097 011 07A 1C0</x:v>
      </x:c>
    </x:row>
    <x:row r="842">
      <x:c r="A842" s="22" t="str">
        <x:f>"03"</x:f>
        <x:v>03</x:v>
      </x:c>
      <x:c r="B842" s="22" t="str">
        <x:f>"48"</x:f>
        <x:v>48</x:v>
      </x:c>
      <x:c r="C842" s="22" t="str">
        <x:f>"0x0348"</x:f>
        <x:v>0x0348</x:v>
      </x:c>
      <x:c r="D842" s="21" t="str">
        <x:v>&lt;SPEAKER&gt;「ここは モンスター村だ!&lt;WAIT&gt;&lt;SPEAKER&gt;「ぬぬ おまえら 人間だな!
このさきは 行かせんぞ!&lt;WAIT&gt;&lt;SPEAKER&gt;「う&lt;PAUSE_30&gt; う&lt;PAUSE_30&gt; うがっ&lt;PAUSE_30&gt; うっ&lt;PAUSE_30&gt; うっ!&lt;WAIT&gt;&lt;SPEAKER&gt;「だが こんな時に じびょうの
悪魔びょうの ほっさがっ!
ぐわーっ!</x:v>
      </x:c>
      <x:c r="E842" s="19" t="str">
        <x:v>&lt;SPEAKER&gt;This is Monster Village!&lt;WAIT&gt;&lt;SPEAKER&gt;Grr... You are humans!
You are not going any farther!&lt;WAIT&gt;&lt;SPEAKER&gt;U&lt;PAUSE_30&gt;... u&lt;PAUSE_30&gt;... gwa&lt;PAUSE_30&gt;... ugh&lt;PAUSE_30&gt;...!&lt;WAIT&gt;&lt;SPEAKER&gt;Of all times,
my chronic Devil Disease
is acting up! Gwaaah!</x:v>
      </x:c>
      <x:c r="F842" s="20" t="str"/>
      <x:c r="G842" s="20" t="str"/>
      <x:c r="H842" s="23" t="str">
        <x:v>SPEAKER WAIT SPEAKER NEWLINE WAIT SPEAKER PAUSE_30 PAUSE_30 PAUSE_30 PAUSE_30 WAIT SPEAKER NEWLINE NEWLINE END</x:v>
      </x:c>
      <x:c r="I842" s="23" t="str">
        <x:v>EA:E125</x:v>
      </x:c>
      <x:c r="J842" s="23" t="str">
        <x:v>CC 54 68 69 73 01 69 73 01 4D 6F 6E 73 74 65 72 01 56 69 6C 6C 61 67 65 21 C5 CC 47 72 72 2E 2E 2E 01 59 6F 75 01 61 72 65 01 68 75 6D 61 6E 73 21 C8 59 6F 75 01 61 72 65 01 6E 6F 74 01 67 6F 69 6E 67 01 61 6E 79 01 66 61 72 74 68 65 72 21 C5 CC 55 CD 2E 2E 2E 01 75 CD 2E 2E 2E 01 67 77 61 CD 2E 2E 2E 01 75 67 68 CD 2E 2E 2E 21 C5 CC 4F 66 01 61 6C 6C 01 74 69 6D 65 73 2C C8 6D 79 01 63 68 72 6F 6E 69 63 01 44 65 76 69 6C 01 44 69 73 65 61 73 65 C8 69 73 01 61 63 74 69 6E 67 01 75 70 21 01 47 77 61 61 61 68 21 C0</x:v>
      </x:c>
      <x:c r="K842" s="23" t="str">
        <x:v>1CC 019 019 029 001 064 06F 04E 051 078 1B0 084 01F 07A 1C5 1CC 026 026 001 014 02E 013 036 001 091 0E3 084 01F 024 07A 1C8 019 028 01A 016 029 001 08D 015 01D 03D 084 01E 07A 1C5 1CC 012 1CD 001 012 1CD 001 012 084 015 03E 1CD 001 012 03E 1CD 001 012 03E 07A 1C5 1CC 084 01F 084 015 001 019 03D 024 164 025 001 084 01B 084 02A 041 012 028 1C8 0B5 09A 084 02A 041 012 028 001 02D 03E 01A 084 015 03E 07A 1C8 084 017 03B 078 03E 07A 1C0</x:v>
      </x:c>
    </x:row>
    <x:row r="843">
      <x:c r="A843" s="22" t="str">
        <x:f>"03"</x:f>
        <x:v>03</x:v>
      </x:c>
      <x:c r="B843" s="22" t="str">
        <x:f>"49"</x:f>
        <x:v>49</x:v>
      </x:c>
      <x:c r="C843" s="22" t="str">
        <x:f>"0x0349"</x:f>
        <x:v>0x0349</x:v>
      </x:c>
      <x:c r="D843" s="21" t="str">
        <x:v>&lt;CLEAR&gt;
げんしドジーは 死んでしまった</x:v>
      </x:c>
      <x:c r="E843" s="19" t="str">
        <x:v>&lt;CLEAR&gt;Primitive Dozy died.</x:v>
      </x:c>
      <x:c r="F843" s="20" t="str"/>
      <x:c r="G843" s="20" t="str"/>
      <x:c r="H843" s="23" t="str">
        <x:v>CLEAR END</x:v>
      </x:c>
      <x:c r="I843" s="23" t="str">
        <x:v>EA:E1D2</x:v>
      </x:c>
      <x:c r="J843" s="23" t="str">
        <x:v>D0 50 72 69 6D 69 74 69 76 65 01 44 6F 7A 79 01 64 69 65 64 2E C0</x:v>
      </x:c>
      <x:c r="K843" s="23" t="str">
        <x:v>1D0 084 018 03D 01B 084 055 084 04D 078 029 001 0D6 03D 084 022 01B 02E 03E 01F 1C0</x:v>
      </x:c>
    </x:row>
    <x:row r="844">
      <x:c r="A844" s="22" t="str">
        <x:f>"03"</x:f>
        <x:v>03</x:v>
      </x:c>
      <x:c r="B844" s="22" t="str">
        <x:f>"4A"</x:f>
        <x:v>4A</x:v>
      </x:c>
      <x:c r="C844" s="22" t="str">
        <x:f>"0x034A"</x:f>
        <x:v>0x034A</x:v>
      </x:c>
      <x:c r="D844" s="21" t="str">
        <x:v>&lt;SPEAKER&gt;「さっきの じしんは 大きかったな!
ゲムコさまの びんぼうゆすりかな?</x:v>
      </x:c>
      <x:c r="E844" s="19" t="str">
        <x:v>&lt;SPEAKER&gt;That was a big
earthquake! Maybe Lord
Gemco was shaking his leg?</x:v>
      </x:c>
      <x:c r="F844" s="20" t="str"/>
      <x:c r="G844" s="20" t="str"/>
      <x:c r="H844" s="23" t="str">
        <x:v>SPEAKER NEWLINE NEWLINE END</x:v>
      </x:c>
      <x:c r="I844" s="23" t="str">
        <x:v>EA:E1E8</x:v>
      </x:c>
      <x:c r="J844" s="23" t="str">
        <x:v>CC 54 68 61 74 01 77 61 73 01 61 01 62 69 67 C8 65 61 72 74 68 71 75 61 6B 65 21 01 4D 61 79 62 65 01 4C 6F 72 64 C8 47 65 6D 63 6F 01 77 61 73 01 73 68 61 6B 69 6E 67 01 68 69 73 01 6C 65 67 3F C0</x:v>
      </x:c>
      <x:c r="K844" s="23" t="str">
        <x:v>1CC 01A 03E 016 028 001 084 01B 01B 03D 029 001 0AC 016 015 03E 01F 024 07A 1C8 084 04A 062 04B 01A 02E 028 001 084 02A 03D 084 02D 012 034 01C 037 015 024 079 1C0</x:v>
      </x:c>
    </x:row>
    <x:row r="845">
      <x:c r="A845" s="22" t="str">
        <x:f>"03"</x:f>
        <x:v>03</x:v>
      </x:c>
      <x:c r="B845" s="22" t="str">
        <x:f>"4B"</x:f>
        <x:v>4B</x:v>
      </x:c>
      <x:c r="C845" s="22" t="str">
        <x:f>"0x034B"</x:f>
        <x:v>0x034B</x:v>
      </x:c>
      <x:c r="D845" s="21" t="str">
        <x:v>&lt;SPEAKER&gt;「ううう ゲムコさま・・・
まっかっかな お体
つぶらなひとみ かれんなほほえみ&lt;WAIT&gt;&lt;SPEAKER&gt;「心のそこから あああ
おしたい申しあげていたのに・・・</x:v>
      </x:c>
      <x:c r="E845" s="19" t="str">
        <x:v>&lt;SPEAKER&gt;Ohhh, Lord Gemco...
Your crimson body, your
round eyes, your lovely smile...&lt;WAIT&gt;&lt;SPEAKER&gt;I adored you from
the bottom of my heart...</x:v>
      </x:c>
      <x:c r="F845" s="20" t="str"/>
      <x:c r="G845" s="20" t="str"/>
      <x:c r="H845" s="23" t="str">
        <x:v>SPEAKER NEWLINE NEWLINE WAIT SPEAKER NEWLINE END</x:v>
      </x:c>
      <x:c r="I845" s="23" t="str">
        <x:v>EA:E22A</x:v>
      </x:c>
      <x:c r="J845" s="23" t="str">
        <x:v>CC 4F 68 68 68 2C 01 4C 6F 72 64 01 47 65 6D 63 6F 2E 2E 2E C8 59 6F 75 72 01 63 72 69 6D 73 6F 6E 01 62 6F 64 79 2C 01 79 6F 75 72 C8 72 6F 75 6E 64 01 65 79 65 73 2C 01 79 6F 75 72 01 6C 6F 76 65 6C 79 01 73 6D 69 6C 65 2E 2E 2E C5 CC 49 01 61 64 6F 72 65 64 01 79 6F 75 01 66 72 6F 6D C8 74 68 65 01 62 6F 74 74 6F 6D 01 6F 66 01 6D 79 01 68 65 61 72 74 2E 2E 2E C0</x:v>
      </x:c>
      <x:c r="K845" s="23" t="str">
        <x:v>1CC 012 012 012 001 084 04A 062 04B 01A 02E 081 081 081 1C8 02E 03E 015 03E 015 024 001 014 0F0 1C8 021 084 02B 036 024 02A 023 02F 001 015 039 03D 024 02D 02D 013 02F 1C5 1CC 0D4 028 01E 019 015 036 001 010 010 010 1C8 014 01B 01F 011 126 01B 010 084 018 022 011 01F 028 025 081 081 081 1C0</x:v>
      </x:c>
    </x:row>
    <x:row r="846">
      <x:c r="A846" s="22" t="str">
        <x:f>"03"</x:f>
        <x:v>03</x:v>
      </x:c>
      <x:c r="B846" s="22" t="str">
        <x:f>"4C"</x:f>
        <x:v>4C</x:v>
      </x:c>
      <x:c r="C846" s="22" t="str">
        <x:f>"0x034C"</x:f>
        <x:v>0x034C</x:v>
      </x:c>
      <x:c r="D846" s="21" t="str">
        <x:v>&lt;CLEAR&gt;
大きな ベビーバロンの 像がある&lt;WAIT&gt;
&lt;CLEAR&gt;
「キングバロンの後継者にして
魔物大王 ジェイビー
と かいてある</x:v>
      </x:c>
      <x:c r="E846" s="19" t="str">
        <x:v>&lt;CLEAR&gt;There is a huge
Baby Baron statue.&lt;WAIT&gt;&lt;CLEAR&gt;"J.B., Demon King and successor
to King Baron" is inscribed on it.</x:v>
      </x:c>
      <x:c r="F846" s="20" t="str"/>
      <x:c r="G846" s="20" t="str"/>
      <x:c r="H846" s="23" t="str">
        <x:v>CLEAR NEWLINE WAIT CLEAR NEWLINE END</x:v>
      </x:c>
      <x:c r="I846" s="23" t="str">
        <x:v>EA:E2A5</x:v>
      </x:c>
      <x:c r="J846" s="23" t="str">
        <x:v>D0 54 68 65 72 65 01 69 73 01 61 01 68 75 67 65 C8 42 61 62 79 01 42 61 72 6F 6E 01 73 74 61 74 75 65 2E C5 D0 22 4A 2E 42 2E 2C 01 44 65 6D 6F 6E 01 4B 69 6E 67 01 61 6E 64 01 73 75 63 63 65 73 73 6F 72 C8 74 6F 01 4B 69 6E 67 01 42 61 72 6F 6E 22 01 69 73 01 69 6E 73 63 72 69 62 65 64 01 6F 6E 01 69 74 2E C0</x:v>
      </x:c>
      <x:c r="K846" s="23" t="str">
        <x:v>1D0 0AC 016 024 001 084 05E 084 05C 078 084 05B 06C 06F 028 001 159 084 015 010 038 1C5 1D0 07D 048 06F 084 049 084 05B 06C 06F 028 1A6 1A5 0A7 025 01B 022 1C8 09A 08B 0AC 155 001 084 04D 076 043 084 05C 078 1C8 023 001 015 011 022 010 038 1C0</x:v>
      </x:c>
    </x:row>
    <x:row r="847">
      <x:c r="A847" s="22" t="str">
        <x:f>"03"</x:f>
        <x:v>03</x:v>
      </x:c>
      <x:c r="B847" s="22" t="str">
        <x:f>"4D"</x:f>
        <x:v>4D</x:v>
      </x:c>
      <x:c r="C847" s="22" t="str">
        <x:f>"0x034D"</x:f>
        <x:v>0x034D</x:v>
      </x:c>
      <x:c r="D847" s="21" t="str">
        <x:v>&lt;CLEAR&gt;
魔物の死体がある
噴火の時 溶岩にやられたようだ&lt;WAIT&gt;
&lt;CLEAR&gt;
死体のまわりに
まものエキスが とびちっている
持っていきますか?</x:v>
      </x:c>
      <x:c r="E847" s="19" t="str">
        <x:v>&lt;CLEAR&gt;There is a monster corpse.
The lava must have killed
it during the eruption.&lt;WAIT&gt;&lt;CLEAR&gt;Monster Extract is splattered
around the body. Take some?</x:v>
      </x:c>
      <x:c r="F847" s="20" t="str"/>
      <x:c r="G847" s="20" t="str"/>
      <x:c r="H847" s="23" t="str">
        <x:v>CLEAR NEWLINE NEWLINE WAIT CLEAR NEWLINE END</x:v>
      </x:c>
      <x:c r="I847" s="23" t="str">
        <x:v>EA:E30D</x:v>
      </x:c>
      <x:c r="J847" s="23" t="str">
        <x:v>D0 54 68 65 72 65 01 69 73 01 61 01 6D 6F 6E 73 74 65 72 01 63 6F 72 70 73 65 2E C8 54 68 65 01 6C 61 76 61 01 6D 75 73 74 01 68 61 76 65 01 6B 69 6C 6C 65 64 C8 69 74 01 64 75 72 69 6E 67 01 74 68 65 01 65 72 75 70 74 69 6F 6E 2E C5 D0 4D 6F 6E 73 74 65 72 01 45 78 74 72 61 63 74 01 69 73 01 73 70 6C 61 74 74 65 72 65 64 C8 61 72 6F 75 6E 64 01 74 68 65 01 62 6F 64 79 2E 01 54 61 6B 65 01 73 6F 6D 65 3F C0</x:v>
      </x:c>
      <x:c r="K847" s="23" t="str">
        <x:v>1D0 09A 08B 028 0D6 0F0 084 015 010 038 1C8 117 110 028 164 001 119 158 025 033 036 039 01F 035 012 084 01F 1C5 1D0 0D6 0F0 028 02E 03B 037 025 1C8 02E 032 028 045 048 04E 084 015 001 023 084 02A 020 03E 022 011 038 1C8 0D3 03E 022 011 016 02E 01C 015 079 1C0</x:v>
      </x:c>
    </x:row>
    <x:row r="848">
      <x:c r="A848" s="22" t="str">
        <x:f>"03"</x:f>
        <x:v>03</x:v>
      </x:c>
      <x:c r="B848" s="22" t="str">
        <x:f>"4E"</x:f>
        <x:v>4E</x:v>
      </x:c>
      <x:c r="C848" s="22" t="str">
        <x:f>"0x034E"</x:f>
        <x:v>0x034E</x:v>
      </x:c>
      <x:c r="D848" s="21" t="str">
        <x:v>&lt;SPEAKER&gt;「うわー まいったよー!
すごい 噴火だったね
死ぬかと おもっちゃったよ</x:v>
      </x:c>
      <x:c r="E848" s="19" t="str">
        <x:v>&lt;SPEAKER&gt;Whoa, what a disaster!
That eruption was incredible.
I thought I was going to die!</x:v>
      </x:c>
      <x:c r="F848" s="20" t="str"/>
      <x:c r="G848" s="20" t="str"/>
      <x:c r="H848" s="23" t="str">
        <x:v>SPEAKER NEWLINE NEWLINE END</x:v>
      </x:c>
      <x:c r="I848" s="23" t="str">
        <x:v>EA:E396</x:v>
      </x:c>
      <x:c r="J848" s="23" t="str">
        <x:v>CC 57 68 6F 61 2C 01 77 68 61 74 01 61 01 64 69 73 61 73 74 65 72 21 C8 54 68 61 74 01 65 72 75 70 74 69 6F 6E 01 77 61 73 01 69 6E 63 72 65 64 69 62 6C 65 2E C8 49 01 74 68 6F 75 67 68 74 01 49 01 77 61 73 01 67 6F 69 6E 67 01 74 6F 01 64 69 65 21 C0</x:v>
      </x:c>
      <x:c r="K848" s="23" t="str">
        <x:v>1CC 012 03B 078 001 02E 011 03E 01F 035 078 07A 1C8 01C 084 019 011 001 117 110 084 01F 03E 01F 027 1C8 0D6 026 015 023 001 014 032 03E 020 03F 03E 01F 035 1C0</x:v>
      </x:c>
    </x:row>
    <x:row r="849">
      <x:c r="A849" s="22" t="str">
        <x:f>"03"</x:f>
        <x:v>03</x:v>
      </x:c>
      <x:c r="B849" s="22" t="str">
        <x:f>"4F"</x:f>
        <x:v>4F</x:v>
      </x:c>
      <x:c r="C849" s="22" t="str">
        <x:f>"0x034F"</x:f>
        <x:v>0x034F</x:v>
      </x:c>
      <x:c r="D849" s="21" t="str">
        <x:v>&lt;SPEAKER&gt;「うえーん うえーん
かわいそうな ゲムコさまー!</x:v>
      </x:c>
      <x:c r="E849" s="19" t="str">
        <x:v>&lt;SPEAKER&gt;Waaah! Waaah!
Poor Lord Gemco!</x:v>
      </x:c>
      <x:c r="F849" s="20" t="str"/>
      <x:c r="G849" s="20" t="str"/>
      <x:c r="H849" s="23" t="str">
        <x:v>SPEAKER NEWLINE END</x:v>
      </x:c>
      <x:c r="I849" s="23" t="str">
        <x:v>EA:E3EA</x:v>
      </x:c>
      <x:c r="J849" s="23" t="str">
        <x:v>CC 57 61 61 61 68 21 01 57 61 61 61 68 21 C8 50 6F 6F 72 01 4C 6F 72 64 01 47 65 6D 63 6F 21 C0</x:v>
      </x:c>
      <x:c r="K849" s="23" t="str">
        <x:v>1CC 012 013 078 03D 001 012 013 078 03D 1C8 015 03B 011 01E 012 024 001 084 04A 062 04B 01A 02E 078 07A 1C0</x:v>
      </x:c>
    </x:row>
    <x:row r="850">
      <x:c r="A850" s="22" t="str">
        <x:f>"03"</x:f>
        <x:v>03</x:v>
      </x:c>
      <x:c r="B850" s="22" t="str">
        <x:f>"50"</x:f>
        <x:v>50</x:v>
      </x:c>
      <x:c r="C850" s="22" t="str">
        <x:f>"0x0350"</x:f>
        <x:v>0x0350</x:v>
      </x:c>
      <x:c r="D850" s="21" t="str">
        <x:v>&lt;SPEAKER&gt;「だから いわんこっちゃない!&lt;WAIT&gt;&lt;SPEAKER&gt;「わしは あの火山は ちかぢか
噴火すると よげん したんじゃ&lt;WAIT&gt;&lt;SPEAKER&gt;「それなのに ゲムコのやつが
わしの よげんを むし しおって&lt;WAIT&gt;&lt;SPEAKER&gt;「よりに よって 火山の中に
基地を つくりおった・・・&lt;WAIT&gt;&lt;SPEAKER&gt;「こうなった からには
ざまあみろ と いいたいわい!</x:v>
      </x:c>
      <x:c r="E850" s="19" t="str">
        <x:v>&lt;SPEAKER&gt;See?! I warned everyone!&lt;WAIT&gt;&lt;SPEAKER&gt;I predicted the volcano
would erupt before long.&lt;WAIT&gt;&lt;SPEAKER&gt;But Gemco ignored
my prediction completely.&lt;WAIT&gt;&lt;SPEAKER&gt;Of all places, he built
his base inside the volcano...&lt;WAIT&gt;&lt;SPEAKER&gt;After this, all I can
say is: serves him right!</x:v>
      </x:c>
      <x:c r="F850" s="20" t="str"/>
      <x:c r="G850" s="20" t="str"/>
      <x:c r="H850" s="23" t="str">
        <x:v>SPEAKER WAIT SPEAKER NEWLINE WAIT SPEAKER NEWLINE WAIT SPEAKER NEWLINE WAIT SPEAKER NEWLINE END</x:v>
      </x:c>
      <x:c r="I850" s="23" t="str">
        <x:v>EA:E40A</x:v>
      </x:c>
      <x:c r="J850" s="23" t="str">
        <x:v>CC 53 65 65 3F 21 01 49 01 77 61 72 6E 65 64 01 65 76 65 72 79 6F 6E 65 21 C5 CC 49 01 70 72 65 64 69 63 74 65 64 01 74 68 65 01 76 6F 6C 63 61 6E 6F C8 77 6F 75 6C 64 01 65 72 75 70 74 01 62 65 66 6F 72 65 01 6C 6F 6E 67 2E C5 CC 42 75 74 01 47 65 6D 63 6F 01 69 67 6E 6F 72 65 64 C8 6D 79 01 70 72 65 64 69 63 74 69 6F 6E 01 63 6F 6D 70 6C 65 74 65 6C 79 2E C5 CC 4F 66 01 61 6C 6C 01 70 6C 61 63 65 73 2C 01 68 65 01 62 75 69 6C 74 C8 68 69 73 01 62 61 73 65 01 69 6E 73 69 64 65 01 74 68 65 01 76 6F 6C 63 61 6E 6F 2E 2E 2E C5 CC 41 66 74 65 72 01 74 68 69 73 2C 01 61 6C 6C 01 49 01 63 61 6E C8 73 61 79 01 69 73 3A 01 73 65 72 76 65 73 01 68 69 6D 01 72 69 67 68 74 21 C0</x:v>
      </x:c>
      <x:c r="K850" s="23" t="str">
        <x:v>1CC 084 01F 015 036 001 011 03B 03D 019 03E 020 03F 024 011 07A 1C5 1CC 03B 01B 029 001 010 028 110 10C 029 001 020 015 084 020 015 1C8 117 110 01C 038 023 001 035 084 018 03D 001 01B 01F 03D 084 01B 03F 1C5 1CC 01E 039 024 028 025 001 084 04A 062 04B 028 033 021 084 015 1C8 03B 01B 028 001 035 084 018 03D 03C 001 030 01B 001 01B 014 03E 022 1C5 1CC 035 037 025 001 035 03E 022 001 110 10C 028 0A1 025 1C8 125 0D5 03C 001 021 017 037 014 03E 01F 081 081 081 1C5 1CC 019 012 024 03E 01F 001 015 036 025 029 1C8 084 01A 02E 010 02F 03A 001 023 001 011 011 01F 011 03B 011 07A 1C0</x:v>
      </x:c>
    </x:row>
    <x:row r="851">
      <x:c r="A851" s="22" t="str">
        <x:f>"03"</x:f>
        <x:v>03</x:v>
      </x:c>
      <x:c r="B851" s="22" t="str">
        <x:f>"51"</x:f>
        <x:v>51</x:v>
      </x:c>
      <x:c r="C851" s="22" t="str">
        <x:f>"0x0351"</x:f>
        <x:v>0x0351</x:v>
      </x:c>
      <x:c r="D851" s="21" t="str">
        <x:v>&lt;SPEAKER&gt;「え? なんと・・・・
ゲムコが・・・・そうか
そりゃ ゆかいじゃわい!&lt;WAIT&gt;&lt;SPEAKER&gt;「よし! これで 火山の
新しい ボスは
わしに きまりじゃな!&lt;WAIT&gt;&lt;SPEAKER&gt;「そうと きまったら さっそく
めいれいじゃ! おまえたちは
スノーバレーへ 行けい!&lt;WAIT&gt;&lt;SPEAKER&gt;「そこで いっこくもはやく
ボールを さがすのじゃ!</x:v>
      </x:c>
      <x:c r="E851" s="19" t="str">
        <x:v>&lt;SPEAKER&gt;What? Gemco is... I
see. Well, that is delightful!&lt;WAIT&gt;&lt;SPEAKER&gt;Excellent! That makes me
the new boss of the volcano!&lt;WAIT&gt;&lt;SPEAKER&gt;Then my first order
is this: go to Snow Valley!&lt;WAIT&gt;&lt;SPEAKER&gt;Find the ball there
as quickly as possible!</x:v>
      </x:c>
      <x:c r="F851" s="20" t="str"/>
      <x:c r="G851" s="20" t="str"/>
      <x:c r="H851" s="23" t="str">
        <x:v>SPEAKER NEWLINE WAIT SPEAKER NEWLINE WAIT SPEAKER NEWLINE WAIT SPEAKER NEWLINE END</x:v>
      </x:c>
      <x:c r="I851" s="23" t="str">
        <x:v>EA:E4EC</x:v>
      </x:c>
      <x:c r="J851" s="23" t="str">
        <x:v>CC 57 68 61 74 3F 01 47 65 6D 63 6F 01 69 73 2E 2E 2E 01 49 C8 73 65 65 2E 01 57 65 6C 6C 2C 01 74 68 61 74 01 69 73 01 64 65 6C 69 67 68 74 66 75 6C 21 C5 CC 45 78 63 65 6C 6C 65 6E 74 21 01 54 68 61 74 01 6D 61 6B 65 73 01 6D 65 C8 74 68 65 01 6E 65 77 01 62 6F 73 73 01 6F 66 01 74 68 65 01 76 6F 6C 63 61 6E 6F 21 C5 CC 54 68 65 6E 01 6D 79 01 66 69 72 73 74 01 6F 72 64 65 72 C8 69 73 01 74 68 69 73 3A 01 67 6F 01 74 6F 01 53 6E 6F 77 01 56 61 6C 6C 65 79 21 C5 CC 46 69 6E 64 01 74 68 65 01 62 61 6C 6C 01 74 68 65 72 65 C8 61 73 01 71 75 69 63 6B 6C 79 01 61 73 01 70 6F 73 73 69 62 6C 65 21 C0</x:v>
      </x:c>
      <x:c r="K851" s="23" t="str">
        <x:v>1CC 013 079 001 024 03D 023 081 081 081 081 1C8 084 04A 062 04B 084 015 081 081 081 081 01E 012 015 1C8 01E 037 03F 001 034 015 011 084 01B 03F 03B 011 07A 1C5 1CC 035 01B 07A 001 019 039 084 022 001 110 10C 028 1C8 197 01B 011 001 084 05F 04E 029 1C8 03B 01B 025 001 016 02E 037 084 01B 03F 024 07A 1C5 1CC 01E 012 023 001 016 02E 03E 01F 036 001 01A 03E 01E 017 1C8 031 011 039 011 084 01B 03F 07A 001 014 02E 013 01F 020 029 1C8 04E 05A 078 084 05B 06B 078 02C 001 08D 018 011 07A 1C5 1CC 01E 019 084 022 001 011 03E 019 017 032 029 033 017 1C8 084 05F 078 06A 03C 001 01A 084 015 01C 028 084 01B 03F 07A 1C0</x:v>
      </x:c>
    </x:row>
    <x:row r="852">
      <x:c r="A852" s="22" t="str">
        <x:f>"03"</x:f>
        <x:v>03</x:v>
      </x:c>
      <x:c r="B852" s="22" t="str">
        <x:f>"52"</x:f>
        <x:v>52</x:v>
      </x:c>
      <x:c r="C852" s="22" t="str">
        <x:f>"0x0352"</x:f>
        <x:v>0x0352</x:v>
      </x:c>
      <x:c r="D852" s="21" t="str">
        <x:v>&lt;SPEAKER&gt;「トロッコも おまえたちが
溶岩炉を 復活させたから
もう のれるはずじゃ!</x:v>
      </x:c>
      <x:c r="E852" s="19" t="str">
        <x:v>&lt;SPEAKER&gt;You restored the
lava furnace, so the mine
cart should work again!</x:v>
      </x:c>
      <x:c r="F852" s="20" t="str"/>
      <x:c r="G852" s="20" t="str"/>
      <x:c r="H852" s="23" t="str">
        <x:v>SPEAKER NEWLINE NEWLINE END</x:v>
      </x:c>
      <x:c r="I852" s="23" t="str">
        <x:v>EA:E5B5</x:v>
      </x:c>
      <x:c r="J852" s="23" t="str">
        <x:v>CC 59 6F 75 01 72 65 73 74 6F 72 65 64 01 74 68 65 C8 6C 61 76 61 01 66 75 72 6E 61 63 65 2C 01 73 6F 01 74 68 65 01 6D 69 6E 65 C8 63 61 72 74 01 73 68 6F 75 6C 64 01 77 6F 72 6B 01 61 67 61 69 6E 21 C0</x:v>
      </x:c>
      <x:c r="K852" s="23" t="str">
        <x:v>1CC 055 06C 070 04B 032 001 014 02E 013 01F 020 084 015 1C8 119 158 11D 03C 001 18B 0B4 01A 01D 01F 015 036 1C8 032 012 001 028 039 038 029 084 01C 084 01B 03F 07A 1C0</x:v>
      </x:c>
    </x:row>
    <x:row r="853">
      <x:c r="A853" s="22" t="str">
        <x:f>"03"</x:f>
        <x:v>03</x:v>
      </x:c>
      <x:c r="B853" s="22" t="str">
        <x:f>"53"</x:f>
        <x:v>53</x:v>
      </x:c>
      <x:c r="C853" s="22" t="str">
        <x:f>"0x0353"</x:f>
        <x:v>0x0353</x:v>
      </x:c>
      <x:c r="D853" s="21" t="str">
        <x:v>&lt;SPEAKER&gt;「大変だ! いまの 噴火で
火山の 基地が こわれたらしい&lt;WAIT&gt;&lt;SPEAKER&gt;「トロッコも 動かないと
いうことは 火山の おくの
溶岩炉も こわれたんだ!&lt;WAIT&gt;&lt;SPEAKER&gt;「ふんだり けったりだ!</x:v>
      </x:c>
      <x:c r="E853" s="19" t="str">
        <x:v>&lt;SPEAKER&gt;Disaster! The
eruption seems to have
wrecked the volcano base!&lt;WAIT&gt;&lt;SPEAKER&gt;If the mine cart will
not move, the lava furnace
deep inside must be broken too!&lt;WAIT&gt;&lt;SPEAKER&gt;When it rains, it pours!</x:v>
      </x:c>
      <x:c r="F853" s="20" t="str"/>
      <x:c r="G853" s="20" t="str"/>
      <x:c r="H853" s="23" t="str">
        <x:v>SPEAKER NEWLINE NEWLINE WAIT SPEAKER NEWLINE NEWLINE WAIT SPEAKER END</x:v>
      </x:c>
      <x:c r="I853" s="23" t="str">
        <x:v>EA:E5F9</x:v>
      </x:c>
      <x:c r="J853" s="23" t="str">
        <x:v>CC 44 69 73 61 73 74 65 72 21 01 54 68 65 C8 65 72 75 70 74 69 6F 6E 01 73 65 65 6D 73 01 74 6F 01 68 61 76 65 C8 77 72 65 63 6B 65 64 01 74 68 65 01 76 6F 6C 63 61 6E 6F 01 62 61 73 65 21 C5 CC 49 66 01 74 68 65 01 6D 69 6E 65 01 63 61 72 74 01 77 69 6C 6C C8 6E 6F 74 01 6D 6F 76 65 2C 01 74 68 65 01 6C 61 76 61 01 66 75 72 6E 61 63 65 C8 64 65 65 70 01 69 6E 73 69 64 65 01 6D 75 73 74 01 62 65 01 62 72 6F 6B 65 6E 01 74 6F 6F 21 C5 CC 57 68 65 6E 01 69 74 01 72 61 69 6E 73 2C 01 69 74 01 70 6F 75 72 73 21 C0</x:v>
      </x:c>
      <x:c r="K853" s="23" t="str">
        <x:v>1CC 0AC 178 084 01F 07A 001 011 02E 028 001 117 110 084 022 1C8 110 10C 028 001 125 0D5 084 015 001 019 03B 039 01F 036 01B 011 1C5 1CC 055 06C 070 04B 032 001 0B1 015 024 011 023 1C8 011 012 019 023 029 001 110 10C 028 001 014 017 028 1C8 119 158 11D 032 001 019 03B 039 01F 03D 084 01F 07A 1C5 1CC 02B 03D 084 01F 037 001 018 03E 01F 037 084 01F 07A 1C0</x:v>
      </x:c>
    </x:row>
    <x:row r="854">
      <x:c r="A854" s="22" t="str">
        <x:f>"03"</x:f>
        <x:v>03</x:v>
      </x:c>
      <x:c r="B854" s="22" t="str">
        <x:f>"54"</x:f>
        <x:v>54</x:v>
      </x:c>
      <x:c r="C854" s="22" t="str">
        <x:f>"0x0354"</x:f>
        <x:v>0x0354</x:v>
      </x:c>
      <x:c r="D854" s="21" t="str">
        <x:v>&lt;SPEAKER&gt;「スノーバレーは しょくりょうを
ほぞんするための 基地なんだ&lt;WAIT&gt;&lt;SPEAKER&gt;「だから かんづめや れいとうの
人間が いっぱいあるんだよ</x:v>
      </x:c>
      <x:c r="E854" s="19" t="str">
        <x:v>&lt;SPEAKER&gt;Snow Valley is a base
for preserving food supplies.&lt;WAIT&gt;&lt;SPEAKER&gt;So it is packed with
canned and frozen humans.</x:v>
      </x:c>
      <x:c r="F854" s="20" t="str"/>
      <x:c r="G854" s="20" t="str"/>
      <x:c r="H854" s="23" t="str">
        <x:v>SPEAKER NEWLINE WAIT SPEAKER NEWLINE END</x:v>
      </x:c>
      <x:c r="I854" s="23" t="str">
        <x:v>EA:E6A5</x:v>
      </x:c>
      <x:c r="J854" s="23" t="str">
        <x:v>CC 53 6E 6F 77 01 56 61 6C 6C 65 79 01 69 73 01 61 01 62 61 73 65 C8 66 6F 72 01 70 72 65 73 65 72 76 69 6E 67 01 66 6F 6F 64 01 73 75 70 70 6C 69 65 73 2E C5 CC 53 6F 01 69 74 01 69 73 01 70 61 63 6B 65 64 01 77 69 74 68 C8 63 61 6E 6E 65 64 01 61 6E 64 01 66 72 6F 7A 65 6E 01 68 75 6D 61 6E 73 2E C0</x:v>
      </x:c>
      <x:c r="K854" s="23" t="str">
        <x:v>1CC 04E 05A 078 084 05B 06B 078 029 001 01B 041 017 037 041 012 03C 1C8 02D 084 01E 03D 01C 038 01F 031 028 001 125 0D5 024 03D 084 01F 1C5 1CC 084 01F 015 036 001 015 03D 084 021 031 033 001 039 011 023 012 028 1C8 091 0E3 084 015 001 011 03E 083 029 011 010 038 03D 084 01F 035 1C0</x:v>
      </x:c>
    </x:row>
    <x:row r="855">
      <x:c r="A855" s="22" t="str">
        <x:f>"03"</x:f>
        <x:v>03</x:v>
      </x:c>
      <x:c r="B855" s="22" t="str">
        <x:f>"55"</x:f>
        <x:v>55</x:v>
      </x:c>
      <x:c r="C855" s="22" t="str">
        <x:f>"0x0355"</x:f>
        <x:v>0x0355</x:v>
      </x:c>
      <x:c r="D855" s="21" t="str">
        <x:v>&lt;SPEAKER&gt;「ゲムコさま からの
れんらくも とだえたんだ!&lt;WAIT&gt;&lt;SPEAKER&gt;「きっと 基地の中で
らくばんが おきて
とじこめられたに ちがいない!&lt;WAIT&gt;&lt;SPEAKER&gt;「これは かなり ひさんな
じょうきょうだぞ!</x:v>
      </x:c>
      <x:c r="E855" s="19" t="str">
        <x:v>&lt;SPEAKER&gt;We have lost
contact with Lord Gemco!&lt;WAIT&gt;&lt;SPEAKER&gt;There must have
been a cave-in inside
the base, trapping him!&lt;WAIT&gt;&lt;SPEAKER&gt;This is a serious disaster!</x:v>
      </x:c>
      <x:c r="F855" s="20" t="str"/>
      <x:c r="G855" s="20" t="str"/>
      <x:c r="H855" s="23" t="str">
        <x:v>SPEAKER NEWLINE WAIT SPEAKER NEWLINE NEWLINE WAIT SPEAKER END</x:v>
      </x:c>
      <x:c r="I855" s="23" t="str">
        <x:v>EA:E70A</x:v>
      </x:c>
      <x:c r="J855" s="23" t="str">
        <x:v>CC 57 65 01 68 61 76 65 01 6C 6F 73 74 C8 63 6F 6E 74 61 63 74 01 77 69 74 68 01 4C 6F 72 64 01 47 65 6D 63 6F 21 C5 CC 54 68 65 72 65 01 6D 75 73 74 01 68 61 76 65 C8 62 65 65 6E 01 61 01 63 61 76 65 2D 69 6E 01 69 6E 73 69 64 65 C8 74 68 65 01 62 61 73 65 2C 01 74 72 61 70 70 69 6E 67 01 68 69 6D 21 C5 CC 54 68 69 73 01 69 73 01 61 01 73 65 72 69 6F 75 73 01 64 69 73 61 73 74 65 72 21 C0</x:v>
      </x:c>
      <x:c r="K855" s="23" t="str">
        <x:v>1CC 084 04A 062 04B 01A 02E 001 015 036 028 1C8 039 03D 036 017 032 001 023 084 01F 013 01F 03D 084 01F 07A 1C5 1CC 016 03E 023 001 125 0D5 028 0A1 084 022 1C8 036 017 084 029 03D 084 015 001 014 016 022 1C8 023 084 01B 019 031 036 039 01F 025 001 020 084 015 011 024 011 07A 1C5 1CC 019 039 029 001 015 024 037 001 02A 01A 03D 024 1C8 084 01B 041 012 016 041 012 084 01F 084 01E 07A 1C0</x:v>
      </x:c>
    </x:row>
    <x:row r="856">
      <x:c r="A856" s="22" t="str">
        <x:f>"03"</x:f>
        <x:v>03</x:v>
      </x:c>
      <x:c r="B856" s="22" t="str">
        <x:f>"56"</x:f>
        <x:v>56</x:v>
      </x:c>
      <x:c r="C856" s="22" t="str">
        <x:f>"0x0356"</x:f>
        <x:v>0x0356</x:v>
      </x:c>
      <x:c r="D856" s="21" t="str">
        <x:v>&lt;SPEAKER&gt;「ゲムコさまは ちゃんと
じょうぶつして じごくへ
いけたのかなー?</x:v>
      </x:c>
      <x:c r="E856" s="19" t="str">
        <x:v>&lt;SPEAKER&gt;I wonder if Lord
Gemco passed on properly
and made it to hell.</x:v>
      </x:c>
      <x:c r="F856" s="20" t="str"/>
      <x:c r="G856" s="20" t="str"/>
      <x:c r="H856" s="23" t="str">
        <x:v>SPEAKER NEWLINE NEWLINE END</x:v>
      </x:c>
      <x:c r="I856" s="23" t="str">
        <x:v>EA:E78D</x:v>
      </x:c>
      <x:c r="J856" s="23" t="str">
        <x:v>CC 49 01 77 6F 6E 64 65 72 01 69 66 01 4C 6F 72 64 C8 47 65 6D 63 6F 01 70 61 73 73 65 64 01 6F 6E 01 70 72 6F 70 65 72 6C 79 C8 61 6E 64 01 6D 61 64 65 01 69 74 01 74 6F 01 68 65 6C 6C 2E C0</x:v>
      </x:c>
      <x:c r="K856" s="23" t="str">
        <x:v>1CC 084 04A 062 04B 01A 02E 029 001 020 03F 03D 023 1C8 084 01B 041 012 084 02B 021 01B 022 001 084 01B 084 019 017 02C 1C8 011 018 01F 028 015 024 078 079 1C0</x:v>
      </x:c>
    </x:row>
    <x:row r="857">
      <x:c r="A857" s="22" t="str">
        <x:f>"03"</x:f>
        <x:v>03</x:v>
      </x:c>
      <x:c r="B857" s="22" t="str">
        <x:f>"57"</x:f>
        <x:v>57</x:v>
      </x:c>
      <x:c r="C857" s="22" t="str">
        <x:f>"0x0357"</x:f>
        <x:v>0x0357</x:v>
      </x:c>
      <x:c r="D857" s="21" t="str">
        <x:v>&lt;SPEAKER&gt;「この 噴火で ゲムコさまの
たちばも かなり あぶなく
なってしまうな&lt;WAIT&gt;&lt;SPEAKER&gt;「ジェイビーさまは きっと
ゆるさないと 思うよ</x:v>
      </x:c>
      <x:c r="E857" s="19" t="str">
        <x:v>&lt;SPEAKER&gt;This eruption
puts Lord Gemco in a
very dangerous position.&lt;WAIT&gt;&lt;SPEAKER&gt;I doubt Lord
J.B. will forgive him.</x:v>
      </x:c>
      <x:c r="F857" s="20" t="str"/>
      <x:c r="G857" s="20" t="str"/>
      <x:c r="H857" s="23" t="str">
        <x:v>SPEAKER NEWLINE NEWLINE WAIT SPEAKER NEWLINE END</x:v>
      </x:c>
      <x:c r="I857" s="23" t="str">
        <x:v>EA:E7CD</x:v>
      </x:c>
      <x:c r="J857" s="23" t="str">
        <x:v>CC 54 68 69 73 01 65 72 75 70 74 69 6F 6E C8 70 75 74 73 01 4C 6F 72 64 01 47 65 6D 63 6F 01 69 6E 01 61 C8 76 65 72 79 01 64 61 6E 67 65 72 6F 75 73 01 70 6F 73 69 74 69 6F 6E 2E C5 CC 49 01 64 6F 75 62 74 01 4C 6F 72 64 C8 4A 2E 42 2E 01 77 69 6C 6C 01 66 6F 72 67 69 76 65 01 68 69 6D 2E C0</x:v>
      </x:c>
      <x:c r="K857" s="23" t="str">
        <x:v>1CC 019 028 001 117 110 084 022 001 084 04A 062 04B 01A 02E 028 1C8 01F 020 084 029 032 001 015 024 037 001 010 084 02B 024 017 1C8 024 03E 022 01B 02E 012 024 1C5 1CC 084 04D 076 043 084 05C 078 01A 02E 029 001 016 03E 023 1C8 034 038 01A 024 011 023 001 10F 012 035 1C0</x:v>
      </x:c>
    </x:row>
    <x:row r="858">
      <x:c r="A858" s="22" t="str">
        <x:f>"03"</x:f>
        <x:v>03</x:v>
      </x:c>
      <x:c r="B858" s="22" t="str">
        <x:f>"58"</x:f>
        <x:v>58</x:v>
      </x:c>
      <x:c r="C858" s="22" t="str">
        <x:f>"0x0358"</x:f>
        <x:v>0x0358</x:v>
      </x:c>
      <x:c r="D858" s="21" t="str">
        <x:v>&lt;SPEAKER&gt;「みんな スノーバレーの
ボールを さがしに
行っちゃったよ&lt;WAIT&gt;&lt;SPEAKER&gt;「まったく ジェイビーさまも
人づかい いや
魔物づかいが あらいよ</x:v>
      </x:c>
      <x:c r="E858" s="19" t="str">
        <x:v>&lt;SPEAKER&gt;Everyone went to Snow
Valley to search for the ball.&lt;WAIT&gt;&lt;SPEAKER&gt;Honestly, Lord J.B. really
works his monsters to the bone.</x:v>
      </x:c>
      <x:c r="F858" s="20" t="str"/>
      <x:c r="G858" s="20" t="str"/>
      <x:c r="H858" s="23" t="str">
        <x:v>SPEAKER NEWLINE WAIT SPEAKER NEWLINE END</x:v>
      </x:c>
      <x:c r="I858" s="23" t="str">
        <x:v>EA:E82F</x:v>
      </x:c>
      <x:c r="J858" s="23" t="str">
        <x:v>CC 45 76 65 72 79 6F 6E 65 01 77 65 6E 74 01 74 6F 01 53 6E 6F 77 C8 56 61 6C 6C 65 79 01 74 6F 01 73 65 61 72 63 68 01 66 6F 72 01 74 68 65 01 62 61 6C 6C 2E C5 CC 48 6F 6E 65 73 74 6C 79 2C 01 4C 6F 72 64 01 4A 2E 42 2E 01 72 65 61 6C 6C 79 C8 77 6F 72 6B 73 01 68 69 73 01 6D 6F 6E 73 74 65 72 73 01 74 6F 01 74 68 65 01 62 6F 6E 65 2E C0</x:v>
      </x:c>
      <x:c r="K858" s="23" t="str">
        <x:v>1CC 02F 03D 024 001 04E 05A 078 084 05B 06B 078 028 1C8 084 05F 078 06A 03C 001 01A 084 015 01B 025 1C8 08D 03E 020 03F 03E 01F 035 1C5 1CC 02E 03E 01F 017 001 084 04D 076 043 084 05C 078 01A 02E 032 1C8 091 084 021 015 011 001 011 033 1C8 09A 08B 084 021 015 011 084 015 001 010 036 011 035 1C0</x:v>
      </x:c>
    </x:row>
    <x:row r="859">
      <x:c r="A859" s="22" t="str">
        <x:f>"03"</x:f>
        <x:v>03</x:v>
      </x:c>
      <x:c r="B859" s="22" t="str">
        <x:f>"59"</x:f>
        <x:v>59</x:v>
      </x:c>
      <x:c r="C859" s="22" t="str">
        <x:f>"0x0359"</x:f>
        <x:v>0x0359</x:v>
      </x:c>
      <x:c r="D859" s="21" t="str">
        <x:v>&lt;SPEAKER&gt;「どうも われわれの
りょういきに 人間が
侵入 したらしいんだ&lt;WAIT&gt;&lt;SPEAKER&gt;「さっき ジェイビーさまが 来て
そう いっていたよ! みつけたら
すぐに つかまえろって!&lt;WAIT&gt;&lt;SPEAKER&gt;「つかまえたら かんづめを
いっぱい くれるって!</x:v>
      </x:c>
      <x:c r="E859" s="19" t="str">
        <x:v>&lt;SPEAKER&gt;Apparently humans
have invaded our territory.&lt;WAIT&gt;&lt;SPEAKER&gt;Lord J.B. came by
and told us. He ordered
us to catch them on sight!&lt;WAIT&gt;&lt;SPEAKER&gt;He said whoever catches
them gets lots of canned food!</x:v>
      </x:c>
      <x:c r="F859" s="20" t="str"/>
      <x:c r="G859" s="20" t="str"/>
      <x:c r="H859" s="23" t="str">
        <x:v>SPEAKER NEWLINE WAIT SPEAKER NEWLINE NEWLINE WAIT SPEAKER NEWLINE END</x:v>
      </x:c>
      <x:c r="I859" s="23" t="str">
        <x:v>EA:E8A1</x:v>
      </x:c>
      <x:c r="J859" s="23" t="str">
        <x:v>CC 41 70 70 61 72 65 6E 74 6C 79 01 68 75 6D 61 6E 73 C8 68 61 76 65 01 69 6E 76 61 64 65 64 01 6F 75 72 01 74 65 72 72 69 74 6F 72 79 2E C5 CC 4C 6F 72 64 01 4A 2E 42 2E 01 63 61 6D 65 01 62 79 C8 61 6E 64 01 74 6F 6C 64 01 75 73 2E 01 48 65 01 6F 72 64 65 72 65 64 C8 75 73 01 74 6F 01 63 61 74 63 68 01 74 68 65 6D 01 6F 6E 01 73 69 67 68 74 21 C5 CC 48 65 01 73 61 69 64 01 77 68 6F 65 76 65 72 01 63 61 74 63 68 65 73 C8 74 68 65 6D 01 67 65 74 73 01 6C 6F 74 73 01 6F 66 01 63 61 6E 6E 65 64 01 66 6F 6F 64 21 C0</x:v>
      </x:c>
      <x:c r="K859" s="23" t="str">
        <x:v>1CC 084 023 012 032 001 03B 039 03B 039 028 1C8 037 041 012 011 016 025 001 091 0E3 084 015 1C8 14D 08E 001 01B 01F 036 01B 011 03D 084 01F 1C5 1CC 01A 03E 016 001 084 04D 076 043 084 05C 078 01A 02E 084 015 001 097 022 1C8 01E 012 001 011 03E 022 011 01F 035 07A 001 02F 021 018 01F 036 1C8 01C 084 017 025 001 021 015 02E 013 03A 03E 022 07A 1C5 1CC 021 015 02E 013 01F 036 001 015 03D 084 021 031 03C 1C8 011 03E 083 029 011 001 017 039 038 03E 022 07A 1C0</x:v>
      </x:c>
    </x:row>
    <x:row r="860">
      <x:c r="A860" s="22" t="str">
        <x:f>"03"</x:f>
        <x:v>03</x:v>
      </x:c>
      <x:c r="B860" s="22" t="str">
        <x:f>"5A"</x:f>
        <x:v>5A</x:v>
      </x:c>
      <x:c r="C860" s="22" t="str">
        <x:f>"0x035A"</x:f>
        <x:v>0x035A</x:v>
      </x:c>
      <x:c r="D860" s="21" t="str">
        <x:v>&lt;SPEAKER&gt;「ジェイビーさまが さっき
また 来たんだよ!&lt;WAIT&gt;&lt;SPEAKER&gt;「それで ベビオのやつが
スノーバレーの まるい たまの
はなしを ほうこくしたんだ&lt;WAIT&gt;&lt;SPEAKER&gt;「そしたら ジェイビーさまは
けっそうを かえて
とびだして いったよ!</x:v>
      </x:c>
      <x:c r="E860" s="19" t="str">
        <x:v>&lt;SPEAKER&gt;Lord J.B. came
by again just now!&lt;WAIT&gt;&lt;SPEAKER&gt;Then Bebio reported
the round ball in Snow Valley.&lt;WAIT&gt;&lt;SPEAKER&gt;Lord J.B. went pale and
rushed straight out of here!</x:v>
      </x:c>
      <x:c r="F860" s="20" t="str"/>
      <x:c r="G860" s="20" t="str"/>
      <x:c r="H860" s="23" t="str">
        <x:v>SPEAKER NEWLINE WAIT SPEAKER NEWLINE WAIT SPEAKER NEWLINE END</x:v>
      </x:c>
      <x:c r="I860" s="23" t="str">
        <x:v>EA:E94E</x:v>
      </x:c>
      <x:c r="J860" s="23" t="str">
        <x:v>CC 4C 6F 72 64 01 4A 2E 42 2E 01 63 61 6D 65 C8 62 79 01 61 67 61 69 6E 01 6A 75 73 74 01 6E 6F 77 21 C5 CC 54 68 65 6E 01 42 65 62 69 6F 01 72 65 70 6F 72 74 65 64 C8 74 68 65 01 72 6F 75 6E 64 01 62 61 6C 6C 01 69 6E 01 53 6E 6F 77 01 56 61 6C 6C 65 79 2E C5 CC 4C 6F 72 64 01 4A 2E 42 2E 01 77 65 6E 74 01 70 61 6C 65 01 61 6E 64 C8 72 75 73 68 65 64 01 73 74 72 61 69 67 68 74 01 6F 75 74 01 6F 66 01 68 65 72 65 21 C0</x:v>
      </x:c>
      <x:c r="K860" s="23" t="str">
        <x:v>1CC 084 04D 076 043 084 05C 078 01A 02E 084 015 001 01A 03E 016 1C8 02E 01F 001 097 01F 03D 084 01F 035 07A 1C5 1CC 01E 039 084 022 001 084 05E 084 05C 046 028 033 021 084 015 1C8 04E 05A 078 084 05B 06B 078 028 001 02E 038 011 001 01F 02E 028 1C8 029 024 01B 03C 001 02D 012 019 017 01B 01F 03D 084 01F 1C5 1CC 01E 01B 01F 036 001 084 04D 076 043 084 05C 078 01A 02E 029 1C8 018 03E 01E 012 03C 001 015 013 022 1C8 023 084 02A 084 01F 01B 022 001 011 03E 01F 035 07A 1C0</x:v>
      </x:c>
    </x:row>
    <x:row r="861">
      <x:c r="A861" s="22" t="str">
        <x:f>"03"</x:f>
        <x:v>03</x:v>
      </x:c>
      <x:c r="B861" s="22" t="str">
        <x:f>"5B"</x:f>
        <x:v>5B</x:v>
      </x:c>
      <x:c r="C861" s="22" t="str">
        <x:f>"0x035B"</x:f>
        <x:v>0x035B</x:v>
      </x:c>
      <x:c r="D861" s="21" t="str">
        <x:v>&lt;SPEAKER&gt;「そういえば ジェイビーさまは
ボールが どうしたとか
いってたけど あれかなあ&lt;WAIT&gt;&lt;SPEAKER&gt;「おれの ともだちが ひがしの
スノーバレーの 基地に
いるんだけどね&lt;WAIT&gt;&lt;SPEAKER&gt;「そいつが かべの中に
まるい たまを
みつけたとか いっていたんだ&lt;WAIT&gt;&lt;SPEAKER&gt;「それの ことかなあ・・まあ
ちがっていたら おこられるから
べつに いいけどね!</x:v>
      </x:c>
      <x:c r="E861" s="19" t="str">
        <x:v>&lt;SPEAKER&gt;Come to think of
it, Lord J.B. mentioned some
kind of ball. Maybe this is it.&lt;WAIT&gt;&lt;SPEAKER&gt;A friend of mine
is stationed at the Snow
Valley base to the east.&lt;WAIT&gt;&lt;SPEAKER&gt;He said he found a
round ball inside a wall there.&lt;WAIT&gt;&lt;SPEAKER&gt;Maybe that is the one...
Well, if I am wrong I will
get yelled at, so never mind!</x:v>
      </x:c>
      <x:c r="F861" s="20" t="str"/>
      <x:c r="G861" s="20" t="str"/>
      <x:c r="H861" s="23" t="str">
        <x:v>SPEAKER NEWLINE NEWLINE WAIT SPEAKER NEWLINE NEWLINE WAIT SPEAKER NEWLINE WAIT SPEAKER NEWLINE NEWLINE END</x:v>
      </x:c>
      <x:c r="I861" s="23" t="str">
        <x:v>EA:E9DB</x:v>
      </x:c>
      <x:c r="J861" s="23" t="str">
        <x:v>CC 43 6F 6D 65 01 74 6F 01 74 68 69 6E 6B 01 6F 66 C8 69 74 2C 01 4C 6F 72 64 01 4A 2E 42 2E 01 6D 65 6E 74 69 6F 6E 65 64 01 73 6F 6D 65 C8 6B 69 6E 64 01 6F 66 01 62 61 6C 6C 2E 01 4D 61 79 62 65 01 74 68 69 73 01 69 73 01 69 74 2E C5 CC 41 01 66 72 69 65 6E 64 01 6F 66 01 6D 69 6E 65 C8 69 73 01 73 74 61 74 69 6F 6E 65 64 01 61 74 01 74 68 65 01 53 6E 6F 77 C8 56 61 6C 6C 65 79 01 62 61 73 65 01 74 6F 01 74 68 65 01 65 61 73 74 2E C5 CC 48 65 01 73 61 69 64 01 68 65 01 66 6F 75 6E 64 01 61 C8 72 6F 75 6E 64 01 62 61 6C 6C 01 69 6E 73 69 64 65 01 61 01 77 61 6C 6C 01 74 68 65 72 65 2E C5 CC 4D 61 79 62 65 01 74 68 61 74 01 69 73 01 74 68 65 01 6F 6E 65 2E 2E 2E C8 57 65 6C 6C 2C 01 69 66 01 49 01 61 6D 01 77 72 6F 6E 67 01 49 01 77 69 6C 6C C8 67 65 74 01 79 65 6C 6C 65 64 01 61 74 2C 01 73 6F 01 6E 65 76 65 72 01 6D 69 6E 64 21 C0</x:v>
      </x:c>
      <x:c r="K861" s="23" t="str">
        <x:v>1CC 01E 012 011 013 084 029 001 084 04D 076 043 084 05C 078 01A 02E 029 1C8 084 05F 078 06A 084 015 001 084 023 012 01B 01F 023 015 1C8 011 03E 022 01F 018 084 023 001 010 039 015 024 010 1C5 1CC 014 039 028 001 023 032 084 01F 020 084 015 001 02A 084 015 01B 028 1C8 04E 05A 078 084 05B 06B 078 028 001 125 0D5 025 1C8 011 038 03D 084 01F 018 084 023 027 1C5 1CC 01E 011 021 084 015 001 015 084 02C 028 0A1 025 1C8 02E 038 011 001 01F 02E 03C 1C8 02F 021 018 01F 023 015 001 011 03E 022 011 01F 03D 084 01F 1C5 1CC 01E 039 028 001 019 023 015 024 010 081 081 02E 010 1C8 020 084 015 03E 022 011 01F 036 001 014 019 036 039 038 015 036 1C8 084 02C 021 025 001 011 011 018 084 023 027 07A 1C0</x:v>
      </x:c>
    </x:row>
    <x:row r="862">
      <x:c r="A862" s="22" t="str">
        <x:f>"03"</x:f>
        <x:v>03</x:v>
      </x:c>
      <x:c r="B862" s="22" t="str">
        <x:f>"5C"</x:f>
        <x:v>5C</x:v>
      </x:c>
      <x:c r="C862" s="22" t="str">
        <x:f>"0x035C"</x:f>
        <x:v>0x035C</x:v>
      </x:c>
      <x:c r="D862" s="21" t="str">
        <x:v>&lt;SPEAKER&gt;「ん? なんだ おまえらは?
いま しっちゃか めっちゃか
だから あとに してくれ!&lt;WAIT&gt;&lt;SPEAKER&gt;「・・・ん? もしかして
おまえたち 火山へ ゲムコさまを
たすけに 行ってくれるのか?&lt;WAIT&gt;&lt;SPEAKER&gt;「そうかそうかそうか えらいぞ!&lt;WAIT&gt;&lt;SPEAKER&gt;「いま ちょうど 誰を
行かせるかを はなしあって
いたところなんだよ</x:v>
      </x:c>
      <x:c r="E862" s="19" t="str">
        <x:v>&lt;SPEAKER&gt;Hm? Who are you?
Everything is chaos right
now, so come back later!&lt;WAIT&gt;&lt;SPEAKER&gt;...Wait. Are you
going to the volcano
to rescue Lord Gemco?&lt;WAIT&gt;&lt;SPEAKER&gt;You are?
Excellent! Excellent!&lt;WAIT&gt;&lt;SPEAKER&gt;We were just discussing
whom we should send!</x:v>
      </x:c>
      <x:c r="F862" s="20" t="str"/>
      <x:c r="G862" s="20" t="str"/>
      <x:c r="H862" s="23" t="str">
        <x:v>SPEAKER NEWLINE NEWLINE WAIT SPEAKER NEWLINE NEWLINE WAIT SPEAKER NEWLINE WAIT SPEAKER NEWLINE END</x:v>
      </x:c>
      <x:c r="I862" s="23" t="str">
        <x:v>EA:EAF5</x:v>
      </x:c>
      <x:c r="J862" s="23" t="str">
        <x:v>CC 48 6D 3F 01 57 68 6F 01 61 72 65 01 79 6F 75 3F C8 45 76 65 72 79 74 68 69 6E 67 01 69 73 01 63 68 61 6F 73 01 72 69 67 68 74 C8 6E 6F 77 2C 01 73 6F 01 63 6F 6D 65 01 62 61 63 6B 01 6C 61 74 65 72 21 C5 CC 2E 2E 2E 57 61 69 74 2E 01 41 72 65 01 79 6F 75 C8 67 6F 69 6E 67 01 74 6F 01 74 68 65 01 76 6F 6C 63 61 6E 6F C8 74 6F 01 72 65 73 63 75 65 01 4C 6F 72 64 01 47 65 6D 63 6F 3F C5 CC 59 6F 75 01 61 72 65 3F C8 45 78 63 65 6C 6C 65 6E 74 21 01 45 78 63 65 6C 6C 65 6E 74 21 C5 CC 57 65 01 77 65 72 65 01 6A 75 73 74 01 64 69 73 63 75 73 73 69 6E 67 C8 77 68 6F 6D 01 77 65 01 73 68 6F 75 6C 64 01 73 65 6E 64 21 C0</x:v>
      </x:c>
      <x:c r="K862" s="23" t="str">
        <x:v>1CC 03D 079 001 024 03D 084 01F 001 014 02E 013 036 029 079 1C8 011 02E 001 01B 03E 020 03F 015 001 031 03E 020 03F 015 1C8 084 01F 015 036 001 010 023 025 001 01B 022 017 039 07A 1C5 1CC 081 081 081 03D 079 001 032 01B 015 01B 022 1C8 014 02E 013 01F 020 001 110 10C 02C 001 084 04A 062 04B 01A 02E 03C 1C8 01F 01C 018 025 001 08D 03E 022 017 039 038 028 015 079 1C5 1CC 01E 012 015 01E 012 015 01E 012 015 001 013 036 011 084 01E 07A 1C5 1CC 011 02E 001 020 041 012 084 023 001 0FA 03C 1C8 08D 015 01D 038 015 03C 001 029 024 01B 010 03E 022 1C8 011 01F 023 019 03A 024 03D 084 01F 035 1C0</x:v>
      </x:c>
    </x:row>
    <x:row r="863">
      <x:c r="A863" s="22" t="str">
        <x:f>"03"</x:f>
        <x:v>03</x:v>
      </x:c>
      <x:c r="B863" s="22" t="str">
        <x:f>"5D"</x:f>
        <x:v>5D</x:v>
      </x:c>
      <x:c r="C863" s="22" t="str">
        <x:f>"0x035D"</x:f>
        <x:v>0x035D</x:v>
      </x:c>
      <x:c r="D863" s="21" t="str">
        <x:v>&lt;SPEAKER&gt;「ジェイビーさまが 探している
その ボールが みつかれば
いよいよ おれたちも むふふ&lt;WAIT&gt;&lt;SPEAKER&gt;「古代の装置を 使って
大きな 体に
生まれかわれるぞ!&lt;WAIT&gt;&lt;SPEAKER&gt;「そしたら おれは まいにち
人間を 食うもんね!</x:v>
      </x:c>
      <x:c r="E863" s="19" t="str">
        <x:v>&lt;SPEAKER&gt;Once we find the ball
Lord J.B. is searching for, our
time will finally come. Heh heh...&lt;WAIT&gt;&lt;SPEAKER&gt;We can use the
ancient device to be reborn
with enormous bodies!&lt;WAIT&gt;&lt;SPEAKER&gt;Then I will
eat humans every day!</x:v>
      </x:c>
      <x:c r="F863" s="20" t="str"/>
      <x:c r="G863" s="20" t="str"/>
      <x:c r="H863" s="23" t="str">
        <x:v>SPEAKER NEWLINE NEWLINE WAIT SPEAKER NEWLINE NEWLINE WAIT SPEAKER NEWLINE END</x:v>
      </x:c>
      <x:c r="I863" s="23" t="str">
        <x:v>EA:EBC5</x:v>
      </x:c>
      <x:c r="J863" s="23" t="str">
        <x:v>CC 4F 6E 63 65 01 77 65 01 66 69 6E 64 01 74 68 65 01 62 61 6C 6C C8 4C 6F 72 64 01 4A 2E 42 2E 01 69 73 01 73 65 61 72 63 68 69 6E 67 01 66 6F 72 2C 01 6F 75 72 C8 74 69 6D 65 01 77 69 6C 6C 01 66 69 6E 61 6C 6C 79 01 63 6F 6D 65 2E 01 48 65 68 01 68 65 68 2E 2E 2E C5 CC 57 65 01 63 61 6E 01 75 73 65 01 74 68 65 C8 61 6E 63 69 65 6E 74 01 64 65 76 69 63 65 01 74 6F 01 62 65 01 72 65 62 6F 72 6E C8 77 69 74 68 01 65 6E 6F 72 6D 6F 75 73 01 62 6F 64 69 65 73 21 C5 CC 54 68 65 6E 01 49 01 77 69 6C 6C C8 65 61 74 01 68 75 6D 61 6E 73 01 65 76 65 72 79 01 64 61 79 21 C0</x:v>
      </x:c>
      <x:c r="K863" s="23" t="str">
        <x:v>1CC 084 04D 076 043 084 05C 078 01A 02E 084 015 001 184 01B 022 011 038 1C8 01E 028 001 084 05F 078 06A 084 015 001 02F 021 015 039 084 029 1C8 011 035 011 035 001 014 039 01F 020 032 001 030 02B 02B 1C5 1CC 096 09F 028 0C2 19F 03C 001 123 03E 022 1C8 0AC 016 024 001 0F0 025 1C8 09B 02E 039 015 03B 039 038 084 01E 07A 1C5 1CC 01E 01B 01F 036 001 014 039 029 001 02E 011 025 020 1C8 091 0E3 03C 001 0E4 012 032 03D 027 07A 1C0</x:v>
      </x:c>
    </x:row>
    <x:row r="864">
      <x:c r="A864" s="22" t="str">
        <x:f>"03"</x:f>
        <x:v>03</x:v>
      </x:c>
      <x:c r="B864" s="22" t="str">
        <x:f>"5E"</x:f>
        <x:v>5E</x:v>
      </x:c>
      <x:c r="C864" s="22" t="str">
        <x:f>"0x035E"</x:f>
        <x:v>0x035E</x:v>
      </x:c>
      <x:c r="D864" s="21" t="str">
        <x:v>&lt;SPEAKER&gt;「侵入した 人間どもも
さがさねば ならんし&lt;WAIT&gt;&lt;SPEAKER&gt;「ゲムコさまも たすけださねば
ならんし 溶岩炉も
こわれとるし まいってるんじゃ&lt;WAIT&gt;&lt;SPEAKER&gt;「ほとほと 自然さいがいは
しまつに おえんよ!</x:v>
      </x:c>
      <x:c r="E864" s="19" t="str">
        <x:v>&lt;SPEAKER&gt;We still have invading
humans to track down.&lt;WAIT&gt;&lt;SPEAKER&gt;We must rescue
Lord Gemco, and the lava
furnace is broken too.&lt;WAIT&gt;&lt;SPEAKER&gt;Natural disasters
are nothing but trouble!</x:v>
      </x:c>
      <x:c r="F864" s="20" t="str"/>
      <x:c r="G864" s="20" t="str"/>
      <x:c r="H864" s="23" t="str">
        <x:v>SPEAKER NEWLINE WAIT SPEAKER NEWLINE NEWLINE WAIT SPEAKER NEWLINE END</x:v>
      </x:c>
      <x:c r="I864" s="23" t="str">
        <x:v>EA:EC84</x:v>
      </x:c>
      <x:c r="J864" s="23" t="str">
        <x:v>CC 57 65 01 73 74 69 6C 6C 01 68 61 76 65 01 69 6E 76 61 64 69 6E 67 C8 68 75 6D 61 6E 73 01 74 6F 01 74 72 61 63 6B 01 64 6F 77 6E 2E C5 CC 57 65 01 6D 75 73 74 01 72 65 73 63 75 65 C8 4C 6F 72 64 01 47 65 6D 63 6F 2C 01 61 6E 64 01 74 68 65 01 6C 61 76 61 C8 66 75 72 6E 61 63 65 01 69 73 01 62 72 6F 6B 65 6E 01 74 6F 6F 2E C5 CC 4E 61 74 75 72 61 6C 01 64 69 73 61 73 74 65 72 73 C8 61 72 65 01 6E 6F 74 68 69 6E 67 01 62 75 74 01 74 72 6F 75 62 6C 65 21 C0</x:v>
      </x:c>
      <x:c r="K864" s="23" t="str">
        <x:v>1CC 14D 08E 01B 01F 001 091 0E3 084 023 032 032 1C8 01A 084 015 01A 027 084 029 001 024 036 03D 01B 1C5 1CC 084 04A 062 04B 01A 02E 032 001 01F 01C 018 084 01F 01A 027 084 029 1C8 024 036 03D 01B 001 119 158 11D 032 1C8 019 03B 039 023 038 01B 001 02E 011 03E 022 038 03D 084 01B 03F 1C5 1CC 02D 023 02D 023 001 0E2 166 01A 011 084 015 011 029 1C8 01B 02E 021 025 001 014 013 03D 035 07A 1C0</x:v>
      </x:c>
    </x:row>
    <x:row r="865">
      <x:c r="A865" s="22" t="str">
        <x:f>"03"</x:f>
        <x:v>03</x:v>
      </x:c>
      <x:c r="B865" s="22" t="str">
        <x:f>"5F"</x:f>
        <x:v>5F</x:v>
      </x:c>
      <x:c r="C865" s="22" t="str">
        <x:f>"0x035F"</x:f>
        <x:v>0x035F</x:v>
      </x:c>
      <x:c r="D865" s="21" t="str">
        <x:v>&lt;SPEAKER&gt;「おお おまえたち! よくやった!
さっそく ほうびの ひとつも
用意せにゃ ならんのだが&lt;WAIT&gt;&lt;SPEAKER&gt;「おまえたちも すぐに
スノーバレーの ほうに
行ってくれんか?&lt;WAIT&gt;&lt;SPEAKER&gt;「ジェイビーさまの めいれいで
ボールを 探さねば ならんのだ&lt;WAIT&gt;&lt;SPEAKER&gt;「とにかく ねこの 手も
かりたい くらいじゃ!</x:v>
      </x:c>
      <x:c r="E865" s="19" t="str">
        <x:v>&lt;SPEAKER&gt;Ah, you two!
Well done! I ought to
prepare some reward, but...&lt;WAIT&gt;&lt;SPEAKER&gt;Could you head to
Snow Valley right away as well?&lt;WAIT&gt;&lt;SPEAKER&gt;Lord J.B. ordered
us to find the ball there.&lt;WAIT&gt;&lt;SPEAKER&gt;We need every
hand we can get!</x:v>
      </x:c>
      <x:c r="F865" s="20" t="str"/>
      <x:c r="G865" s="20" t="str"/>
      <x:c r="H865" s="23" t="str">
        <x:v>SPEAKER NEWLINE NEWLINE WAIT SPEAKER NEWLINE WAIT SPEAKER NEWLINE WAIT SPEAKER NEWLINE END</x:v>
      </x:c>
      <x:c r="I865" s="23" t="str">
        <x:v>EA:ED1E</x:v>
      </x:c>
      <x:c r="J865" s="23" t="str">
        <x:v>CC 41 68 2C 01 79 6F 75 01 74 77 6F 21 C8 57 65 6C 6C 01 64 6F 6E 65 21 01 49 01 6F 75 67 68 74 01 74 6F C8 70 72 65 70 61 72 65 01 73 6F 6D 65 01 72 65 77 61 72 64 2C 01 62 75 74 2E 2E 2E C5 CC 43 6F 75 6C 64 01 79 6F 75 01 68 65 61 64 01 74 6F C8 53 6E 6F 77 01 56 61 6C 6C 65 79 01 72 69 67 68 74 01 61 77 61 79 01 61 73 01 77 65 6C 6C 3F C5 CC 4C 6F 72 64 01 4A 2E 42 2E 01 6F 72 64 65 72 65 64 C8 75 73 01 74 6F 01 66 69 6E 64 01 74 68 65 01 62 61 6C 6C 01 74 68 65 72 65 2E C5 CC 57 65 01 6E 65 65 64 01 65 76 65 72 79 C8 68 61 6E 64 01 77 65 01 63 61 6E 01 67 65 74 21 C0</x:v>
      </x:c>
      <x:c r="K865" s="23" t="str">
        <x:v>1CC 014 014 001 014 02E 013 01F 020 07A 001 035 017 033 03E 01F 07A 1C8 01A 03E 01E 017 001 02D 012 084 02A 028 001 02A 023 021 032 1C8 112 131 01D 025 03F 001 024 036 03D 028 084 01F 084 015 1C5 1CC 014 02E 013 01F 020 032 001 01C 084 017 025 1C8 04E 05A 078 084 05B 06B 078 028 001 02D 012 025 1C8 08D 03E 022 017 039 03D 015 079 1C5 1CC 084 04D 076 043 084 05C 078 01A 02E 028 001 031 011 039 011 084 022 1C8 084 05F 078 06A 03C 001 184 01A 027 084 029 001 024 036 03D 028 084 01F 1C5 1CC 023 025 015 017 001 027 019 028 001 177 032 1C8 015 037 01F 011 001 017 036 011 084 01B 03F 07A 1C0</x:v>
      </x:c>
    </x:row>
    <x:row r="866">
      <x:c r="A866" s="22" t="str">
        <x:f>"03"</x:f>
        <x:v>03</x:v>
      </x:c>
      <x:c r="B866" s="22" t="str">
        <x:f>"60"</x:f>
        <x:v>60</x:v>
      </x:c>
      <x:c r="C866" s="22" t="str">
        <x:f>"0x0360"</x:f>
        <x:v>0x0360</x:v>
      </x:c>
      <x:c r="D866" s="21" t="str">
        <x:v>&lt;SPEAKER&gt;「いいか 溶岩炉は ゲムコさまが
とじこめられてる 部屋の
さらに おくに ある&lt;WAIT&gt;&lt;SPEAKER&gt;「きっと 噴火の しんどうで
ボルトが ぬけてしまったに
ちがいない!&lt;WAIT&gt;&lt;SPEAKER&gt;「ボルトを はめれば
溶岩炉は なおるはずだ
たのんだぞ! おまえたち!</x:v>
      </x:c>
      <x:c r="E866" s="19" t="str">
        <x:v>&lt;SPEAKER&gt;Listen. The lava
furnace is beyond the room
where Lord Gemco is trapped.&lt;WAIT&gt;&lt;SPEAKER&gt;The eruption must
have shaken a bolt loose.&lt;WAIT&gt;&lt;SPEAKER&gt;Put the bolt back in
and the furnace should work
again. I am counting on you!</x:v>
      </x:c>
      <x:c r="F866" s="20" t="str"/>
      <x:c r="G866" s="20" t="str"/>
      <x:c r="H866" s="23" t="str">
        <x:v>SPEAKER NEWLINE NEWLINE WAIT SPEAKER NEWLINE WAIT SPEAKER NEWLINE NEWLINE END</x:v>
      </x:c>
      <x:c r="I866" s="23" t="str">
        <x:v>EA:EDDF</x:v>
      </x:c>
      <x:c r="J866" s="23" t="str">
        <x:v>CC 4C 69 73 74 65 6E 2E 01 54 68 65 01 6C 61 76 61 C8 66 75 72 6E 61 63 65 01 69 73 01 62 65 79 6F 6E 64 01 74 68 65 01 72 6F 6F 6D C8 77 68 65 72 65 01 4C 6F 72 64 01 47 65 6D 63 6F 01 69 73 01 74 72 61 70 70 65 64 2E C5 CC 54 68 65 01 65 72 75 70 74 69 6F 6E 01 6D 75 73 74 C8 68 61 76 65 01 73 68 61 6B 65 6E 01 61 01 62 6F 6C 74 01 6C 6F 6F 73 65 2E C5 CC 50 75 74 01 74 68 65 01 62 6F 6C 74 01 62 61 63 6B 01 69 6E C8 61 6E 64 01 74 68 65 01 66 75 72 6E 61 63 65 01 73 68 6F 75 6C 64 01 77 6F 72 6B C8 61 67 61 69 6E 2E 01 49 01 61 6D 01 63 6F 75 6E 74 69 6E 67 01 6F 6E 01 79 6F 75 21 C0</x:v>
      </x:c>
      <x:c r="K866" s="23" t="str">
        <x:v>1CC 011 011 015 001 119 158 11D 029 001 084 04A 062 04B 01A 02E 084 015 1C8 023 084 01B 019 031 036 039 022 038 001 0DA 0B3 028 1C8 01A 036 025 001 014 017 025 001 010 038 1C5 1CC 016 03E 023 001 117 110 028 001 01B 03D 084 023 012 084 022 1C8 084 05F 06A 055 084 015 001 026 018 022 01B 02E 03E 01F 025 1C8 020 084 015 011 024 011 07A 1C5 1CC 084 05F 06A 055 03C 001 029 031 039 084 029 1C8 119 158 11D 029 001 024 014 038 029 084 01C 084 01F 1C8 01F 028 03D 084 01F 084 01E 07A 001 014 02E 013 01F 020 07A 1C0</x:v>
      </x:c>
    </x:row>
    <x:row r="867">
      <x:c r="A867" s="22" t="str">
        <x:f>"03"</x:f>
        <x:v>03</x:v>
      </x:c>
      <x:c r="B867" s="22" t="str">
        <x:f>"61"</x:f>
        <x:v>61</x:v>
      </x:c>
      <x:c r="C867" s="22" t="str">
        <x:f>"0x0361"</x:f>
        <x:v>0x0361</x:v>
      </x:c>
      <x:c r="D867" s="21" t="str">
        <x:v>&lt;SPEAKER&gt;「ごくろうだったな! え?
ゲムコさまが・・・そうか・・&lt;WAIT&gt;&lt;SPEAKER&gt;「いたしかた あるまい・・・</x:v>
      </x:c>
      <x:c r="E867" s="19" t="str">
        <x:v>&lt;SPEAKER&gt;Good work! What?
Lord Gemco is... I see...&lt;WAIT&gt;&lt;SPEAKER&gt;There was
nothing anyone could do...</x:v>
      </x:c>
      <x:c r="F867" s="20" t="str"/>
      <x:c r="G867" s="20" t="str"/>
      <x:c r="H867" s="23" t="str">
        <x:v>SPEAKER NEWLINE WAIT SPEAKER NEWLINE END</x:v>
      </x:c>
      <x:c r="I867" s="23" t="str">
        <x:v>EA:EEA5</x:v>
      </x:c>
      <x:c r="J867" s="23" t="str">
        <x:v>CC 47 6F 6F 64 01 77 6F 72 6B 21 01 57 68 61 74 3F C8 4C 6F 72 64 01 47 65 6D 63 6F 01 69 73 2E 2E 2E 01 49 01 73 65 65 2E 2E 2E C5 CC 54 68 65 72 65 01 77 61 73 C8 6E 6F 74 68 69 6E 67 01 61 6E 79 6F 6E 65 01 63 6F 75 6C 64 01 64 6F 2E 2E 2E C0</x:v>
      </x:c>
      <x:c r="K867" s="23" t="str">
        <x:v>1CC 084 019 017 03A 012 084 01F 03E 01F 024 07A 001 013 079 1C8 084 04A 062 04B 01A 02E 084 015 081 081 081 01E 012 015 081 081 1C5 1CC 011 01F 01B 015 01F 001 010 038 02E 011 081 081 081 1C0</x:v>
      </x:c>
    </x:row>
    <x:row r="868">
      <x:c r="A868" s="22" t="str">
        <x:f>"03"</x:f>
        <x:v>03</x:v>
      </x:c>
      <x:c r="B868" s="22" t="str">
        <x:f>"62"</x:f>
        <x:v>62</x:v>
      </x:c>
      <x:c r="C868" s="22" t="str">
        <x:f>"0x0362"</x:f>
        <x:v>0x0362</x:v>
      </x:c>
      <x:c r="D868" s="21" t="str">
        <x:v>&lt;SPEAKER&gt;「われら 魔物も 自然には
勝てんのかも しれんな・・・</x:v>
      </x:c>
      <x:c r="E868" s="19" t="str">
        <x:v>&lt;SPEAKER&gt;Perhaps even we monsters
cannot defeat nature itself...</x:v>
      </x:c>
      <x:c r="F868" s="20" t="str"/>
      <x:c r="G868" s="20" t="str"/>
      <x:c r="H868" s="23" t="str">
        <x:v>SPEAKER NEWLINE END</x:v>
      </x:c>
      <x:c r="I868" s="23" t="str">
        <x:v>EA:EEF7</x:v>
      </x:c>
      <x:c r="J868" s="23" t="str">
        <x:v>CC 50 65 72 68 61 70 73 01 65 76 65 6E 01 77 65 01 6D 6F 6E 73 74 65 72 73 C8 63 61 6E 6E 6F 74 01 64 65 66 65 61 74 01 6E 61 74 75 72 65 01 69 74 73 65 6C 66 2E 2E 2E C0</x:v>
      </x:c>
      <x:c r="K868" s="23" t="str">
        <x:v>1CC 03B 039 036 001 09A 08B 032 001 0E2 166 025 029 1C8 192 022 03D 028 015 032 001 01B 039 03D 024 081 081 081 1C0</x:v>
      </x:c>
    </x:row>
    <x:row r="869">
      <x:c r="A869" s="22" t="str">
        <x:f>"03"</x:f>
        <x:v>03</x:v>
      </x:c>
      <x:c r="B869" s="22" t="str">
        <x:f>"63"</x:f>
        <x:v>63</x:v>
      </x:c>
      <x:c r="C869" s="22" t="str">
        <x:f>"0x0363"</x:f>
        <x:v>0x0363</x:v>
      </x:c>
      <x:c r="D869" s="21" t="str">
        <x:v>&lt;SPEAKER&gt;「いやいやいやいや
こりゃまたどうも&lt;WAIT&gt;&lt;SPEAKER&gt;「ありをりはべり いまそかり
またまたどうも</x:v>
      </x:c>
      <x:c r="E869" s="19" t="str">
        <x:v>&lt;SPEAKER&gt;Well, well, well,
well. How do you do?&lt;WAIT&gt;&lt;SPEAKER&gt;Ari, ori, haberi,
imasokari... How do you do again.</x:v>
      </x:c>
      <x:c r="F869" s="20" t="str"/>
      <x:c r="G869" s="20" t="str"/>
      <x:c r="H869" s="23" t="str">
        <x:v>SPEAKER NEWLINE WAIT SPEAKER NEWLINE END</x:v>
      </x:c>
      <x:c r="I869" s="23" t="str">
        <x:v>EA:EF30</x:v>
      </x:c>
      <x:c r="J869" s="23" t="str">
        <x:v>CC 57 65 6C 6C 2C 01 77 65 6C 6C 2C 01 77 65 6C 6C 2C C8 77 65 6C 6C 2E 01 48 6F 77 01 64 6F 01 79 6F 75 01 64 6F 3F C5 CC 41 72 69 2C 01 6F 72 69 2C 01 68 61 62 65 72 69 2C C8 69 6D 61 73 6F 6B 61 72 69 2E 2E 2E 01 48 6F 77 01 64 6F 01 79 6F 75 01 64 6F 01 61 67 61 69 6E 2E C0</x:v>
      </x:c>
      <x:c r="K869" s="23" t="str">
        <x:v>1CC 011 033 011 033 011 033 011 033 1C8 019 037 03F 02E 01F 084 023 012 032 1C5 1CC 010 037 03C 037 029 084 02C 037 001 011 02E 01E 015 037 1C8 02E 01F 02E 01F 084 023 012 032 1C0</x:v>
      </x:c>
    </x:row>
    <x:row r="870">
      <x:c r="A870" s="22" t="str">
        <x:f>"03"</x:f>
        <x:v>03</x:v>
      </x:c>
      <x:c r="B870" s="22" t="str">
        <x:f>"64"</x:f>
        <x:v>64</x:v>
      </x:c>
      <x:c r="C870" s="22" t="str">
        <x:f>"0x0364"</x:f>
        <x:v>0x0364</x:v>
      </x:c>
      <x:c r="D870" s="21" t="str">
        <x:v>&lt;CLEAR&gt;
しょうかせんが ある
レバーを 動かせば
水を ながせそうだ&lt;WAIT&gt;
&lt;CLEAR&gt;
レバーを 動かしますか?</x:v>
      </x:c>
      <x:c r="E870" s="19" t="str">
        <x:v>&lt;CLEAR&gt;There is a fire-suppression
valve. Moving the lever
should release water.&lt;WAIT&gt;&lt;CLEAR&gt;Move the lever?</x:v>
      </x:c>
      <x:c r="F870" s="20" t="str"/>
      <x:c r="G870" s="20" t="str"/>
      <x:c r="H870" s="23" t="str">
        <x:v>CLEAR NEWLINE NEWLINE WAIT CLEAR END</x:v>
      </x:c>
      <x:c r="I870" s="23" t="str">
        <x:v>EA:EF8D</x:v>
      </x:c>
      <x:c r="J870" s="23" t="str">
        <x:v>D0 54 68 65 72 65 01 69 73 01 61 01 66 69 72 65 2D 73 75 70 70 72 65 73 73 69 6F 6E C8 76 61 6C 76 65 2E 01 4D 6F 76 69 6E 67 01 74 68 65 01 6C 65 76 65 72 C8 73 68 6F 75 6C 64 01 72 65 6C 65 61 73 65 01 77 61 74 65 72 2E C5 D0 4D 6F 76 65 01 74 68 65 01 6C 65 76 65 72 3F C0</x:v>
      </x:c>
      <x:c r="K870" s="23" t="str">
        <x:v>1D0 01B 041 012 015 01D 03D 084 015 001 010 038 1C8 06B 084 05B 078 03C 001 0B1 015 01D 084 029 1C8 0B2 03C 001 024 084 015 01D 01E 012 084 01F 1C5 1D0 06B 084 05B 078 03C 001 0B1 015 01B 02E 01C 015 079 1C0</x:v>
      </x:c>
    </x:row>
    <x:row r="871">
      <x:c r="A871" s="22" t="str">
        <x:f>"03"</x:f>
        <x:v>03</x:v>
      </x:c>
      <x:c r="B871" s="22" t="str">
        <x:f>"65"</x:f>
        <x:v>65</x:v>
      </x:c>
      <x:c r="C871" s="22" t="str">
        <x:f>"0x0365"</x:f>
        <x:v>0x0365</x:v>
      </x:c>
      <x:c r="D871" s="21" t="str">
        <x:v>&lt;CLEAR&gt;
レバーを 動かした</x:v>
      </x:c>
      <x:c r="E871" s="19" t="str">
        <x:v>&lt;CLEAR&gt;You moved the lever.</x:v>
      </x:c>
      <x:c r="F871" s="20" t="str"/>
      <x:c r="G871" s="20" t="str"/>
      <x:c r="H871" s="23" t="str">
        <x:v>CLEAR END</x:v>
      </x:c>
      <x:c r="I871" s="23" t="str">
        <x:v>EA:EFE9</x:v>
      </x:c>
      <x:c r="J871" s="23" t="str">
        <x:v>D0 59 6F 75 01 6D 6F 76 65 64 01 74 68 65 01 6C 65 76 65 72 2E C0</x:v>
      </x:c>
      <x:c r="K871" s="23" t="str">
        <x:v>1D0 06B 084 05B 078 03C 001 0B1 015 01B 01F 1C0</x:v>
      </x:c>
    </x:row>
    <x:row r="872">
      <x:c r="A872" s="22" t="str">
        <x:f>"03"</x:f>
        <x:v>03</x:v>
      </x:c>
      <x:c r="B872" s="22" t="str">
        <x:f>"66"</x:f>
        <x:v>66</x:v>
      </x:c>
      <x:c r="C872" s="22" t="str">
        <x:f>"0x0366"</x:f>
        <x:v>0x0366</x:v>
      </x:c>
      <x:c r="D872" s="21" t="str">
        <x:v>&lt;CLEAR&gt;
しょうかせんが ある
すでに 作動した後だ</x:v>
      </x:c>
      <x:c r="E872" s="19" t="str">
        <x:v>&lt;CLEAR&gt;There is a fire-suppression valve.
It has already been activated.</x:v>
      </x:c>
      <x:c r="F872" s="20" t="str"/>
      <x:c r="G872" s="20" t="str"/>
      <x:c r="H872" s="23" t="str">
        <x:v>CLEAR NEWLINE END</x:v>
      </x:c>
      <x:c r="I872" s="23" t="str">
        <x:v>EA:EFFF</x:v>
      </x:c>
      <x:c r="J872" s="23" t="str">
        <x:v>D0 54 68 65 72 65 01 69 73 01 61 01 66 69 72 65 2D 73 75 70 70 72 65 73 73 69 6F 6E 01 76 61 6C 76 65 2E C8 49 74 01 68 61 73 01 61 6C 72 65 61 64 79 01 62 65 65 6E 01 61 63 74 69 76 61 74 65 64 2E C0</x:v>
      </x:c>
      <x:c r="K872" s="23" t="str">
        <x:v>1D0 01B 041 012 015 01D 03D 084 015 001 010 038 1C8 01C 084 022 025 001 0F6 0B1 01B 01F 1A6 084 01F 1C0</x:v>
      </x:c>
    </x:row>
    <x:row r="873">
      <x:c r="A873" s="22" t="str">
        <x:f>"03"</x:f>
        <x:v>03</x:v>
      </x:c>
      <x:c r="B873" s="22" t="str">
        <x:f>"67"</x:f>
        <x:v>67</x:v>
      </x:c>
      <x:c r="C873" s="22" t="str">
        <x:f>"0x0367"</x:f>
        <x:v>0x0367</x:v>
      </x:c>
      <x:c r="D873" s="21" t="str">
        <x:v>&lt;SPEAKER&gt;「う う ・・たすけに・・
来て くれたのですね! で でも
わたしは もう だ だめです&lt;WAIT&gt;&lt;SPEAKER&gt;「噴火の ねつに やられて
もう たすからないでしょう・・&lt;WAIT&gt;&lt;SPEAKER&gt;「も もう 目も かすんで
あなたが み みえません・・・&lt;WAIT&gt;&lt;SPEAKER&gt;「あなたは 誰? タコぼう?&lt;WAIT&gt;&lt;SPEAKER&gt;「ごほ ごほ で でも
もう いいんです・・・わたしは
もともと 生きては いなかった&lt;WAIT&gt;&lt;SPEAKER&gt;「化石だった わたしに あの
ジャンボ ベビーバロンが・・・&lt;WAIT&gt;&lt;SPEAKER&gt;「じゃあくな たましいを
ふきこんだのです・・・
う う でも・・&lt;WAIT&gt;&lt;SPEAKER&gt;「ひとつだけ いって おきます&lt;WAIT&gt;&lt;SPEAKER&gt;「あ あいつは 装置を
復活させて あなたたちを
大きな体に するつもりですが・・・&lt;WAIT&gt;&lt;SPEAKER&gt;「あの装置で 大きくなると
力は 強くなりますが・・・
体は むしばまれていくのです・・・&lt;WAIT&gt;&lt;SPEAKER&gt;「・・魔物は 自然のままで
いいのです・・・う う う・・&lt;WAIT&gt;&lt;SPEAKER&gt;「あいつに
だま&lt;PAUSE_30&gt; さ&lt;PAUSE_30&gt; れ&lt;PAUSE_30&gt; ないで・・</x:v>
      </x:c>
      <x:c r="E873" s="19" t="str">
        <x:v>&lt;SPEAKER&gt;Y-you came to save
me... But I... I am finished.&lt;WAIT&gt;&lt;SPEAKER&gt;The heat from
the eruption got me. I do
not think I can be saved...&lt;WAIT&gt;&lt;SPEAKER&gt;My vision is fading
now. I cannot even see you...&lt;WAIT&gt;&lt;SPEAKER&gt;Who are you? Tako-bo?&lt;WAIT&gt;&lt;SPEAKER&gt;Cough, cough... But
it is all right. I was never
truly alive to begin with.&lt;WAIT&gt;&lt;SPEAKER&gt;I was a fossil, until
that jumbo Baby Baron...&lt;WAIT&gt;&lt;SPEAKER&gt;put an evil soul
inside me... Ugh... But...&lt;WAIT&gt;&lt;SPEAKER&gt;there is one
thing I must tell you.&lt;WAIT&gt;&lt;SPEAKER&gt;He plans to restore
the device and make
your bodies enormous...&lt;WAIT&gt;&lt;SPEAKER&gt;The device does
make you stronger, but
your body slowly decays...&lt;WAIT&gt;&lt;SPEAKER&gt;Monsters should remain
as nature made them... Ugh...&lt;WAIT&gt;&lt;SPEAKER&gt;Do not... be&lt;PAUSE_30&gt;
de&lt;PAUSE_30&gt;ceived&lt;PAUSE_30&gt; by him...</x:v>
      </x:c>
      <x:c r="F873" s="20" t="str"/>
      <x:c r="G873" s="20" t="str"/>
      <x:c r="H873" s="23" t="str">
        <x:v>SPEAKER NEWLINE WAIT SPEAKER NEWLINE NEWLINE WAIT SPEAKER NEWLINE WAIT SPEAKER WAIT SPEAKER NEWLINE NEWLINE WAIT SPEAKER NEWLINE WAIT SPEAKER NEWLINE WAIT SPEAKER NEWLINE WAIT SPEAKER NEWLINE NEWLINE WAIT SPEAKER NEWLINE NEWLINE WAIT SPEAKER NEWLINE WAIT SPEAKER PAUSE_30 NEWLINE PAUSE_30 PAUSE_30 END</x:v>
      </x:c>
      <x:c r="I873" s="23" t="str">
        <x:v>EA:F042</x:v>
      </x:c>
      <x:c r="J873" s="23" t="str">
        <x:v>CC 59 2D 79 6F 75 01 63 61 6D 65 01 74 6F 01 73 61 76 65 C8 6D 65 2E 2E 2E 01 42 75 74 01 49 2E 2E 2E 01 49 01 61 6D 01 66 69 6E 69 73 68 65 64 2E C5 CC 54 68 65 01 68 65 61 74 01 66 72 6F 6D C8 74 68 65 01 65 72 75 70 74 69 6F 6E 01 67 6F 74 01 6D 65 2E 01 49 01 64 6F C8 6E 6F 74 01 74 68 69 6E 6B 01 49 01 63 61 6E 01 62 65 01 73 61 76 65 64 2E 2E 2E C5 CC 4D 79 01 76 69 73 69 6F 6E 01 69 73 01 66 61 64 69 6E 67 C8 6E 6F 77 2E 01 49 01 63 61 6E 6E 6F 74 01 65 76 65 6E 01 73 65 65 01 79 6F 75 2E 2E 2E C5 CC 57 68 6F 01 61 72 65 01 79 6F 75 3F 01 54 61 6B 6F 2D 62 6F 3F C5 CC 43 6F 75 67 68 2C 01 63 6F 75 67 68 2E 2E 2E 01 42 75 74 C8 69 74 01 69 73 01 61 6C 6C 01 72 69 67 68 74 2E 01 49 01 77 61 73 01 6E 65 76 65 72 C8 74 72 75 6C 79 01 61 6C 69 76 65 01 74 6F 01 62 65 67 69 6E 01 77 69 74 68 2E C5 CC 49 01 77 61 73 01 61 01 66 6F 73 73 69 6C 2C 01 75 6E 74 69 6C C8 74 68 61 74 01 6A 75 6D 62 6F 01 42 61 62 79 01 42 61 72 6F 6E 2E 2E 2E C5 CC 70 75 74 01 61 6E 01 65 76 69 6C 01 73 6F 75 6C C8 69 6E 73 69 64 65 01 6D 65 2E 2E 2E 01 55 67 68 2E 2E 2E 01 42 75 74 2E 2E 2E C5 CC 74 68 65 72 65 01 69 73 01 6F 6E 65 C8 74 68 69 6E 67 01 49 01 6D 75 73 74 01 74 65 6C 6C 01 79 6F 75 2E C5 CC 48 65 01 70 6C 61 6E 73 01 74 6F 01 72 65 73 74 6F 72 65 C8 74 68 65 01 64 65 76 69 63 65 01 61 6E 64 01 6D 61 6B 65 C8 79 6F 75 72 01 62 6F 64 69 65 73 01 65 6E 6F 72 6D 6F 75 73 2E 2E 2E C5 CC 54 68 65 01 64 65 76 69 63 65 01 64 6F 65 73 C8 6D 61 6B 65 01 79 6F 75 01 73 74 72 6F 6E 67 65 72 2C 01 62 75 74 C8 79 6F 75 72 01 62 6F 64 79 01 73 6C 6F 77 6C 79 01 64 65 63 61 79 73 2E 2E 2E C5 CC 4D 6F 6E 73 74 65 72 73 01 73 68 6F 75 6C 64 01 72 65 6D 61 69 6E C8 61 73 01 6E 61 74 75 72 65 01 6D 61 64 65 01 74 68 65 6D 2E 2E 2E 01 55 67 68 2E 2E 2E C5 CC 44 6F 01 6E 6F 74 2E 2E 2E 01 62 65 CD C8 64 65 CD 63 65 69 76 65 64 CD 01 62 79 01 68 69 6D 2E 2E 2E C0</x:v>
      </x:c>
      <x:c r="K873" s="23" t="str">
        <x:v>1CC 012 001 012 001 081 081 01F 01C 018 025 081 081 1C8 097 022 001 017 039 01F 028 084 022 01C 027 07A 001 084 022 001 084 022 032 1C8 03B 01F 01B 029 001 032 012 001 084 01F 001 084 01F 031 084 022 01C 1C5 1CC 117 110 028 001 027 021 025 001 033 036 039 022 1C8 032 012 001 01F 01C 015 036 024 011 084 022 01B 041 012 081 081 1C5 1CC 032 001 032 012 001 0B6 032 001 015 01C 03D 084 022 1C8 010 024 01F 084 015 001 02F 001 02F 013 02E 01D 03D 081 081 081 1C5 1CC 010 024 01F 029 001 0FA 079 001 051 04B 084 02D 012 079 1C5 1CC 084 019 02D 001 084 019 02D 001 084 022 001 084 022 032 1C8 032 012 001 011 011 03D 084 022 01C 081 081 081 03B 01F 01B 029 1C8 032 023 032 023 001 09B 016 022 029 001 011 024 015 03E 01F 1C5 1CC 09E 09D 084 01F 03E 01F 001 03B 01F 01B 025 001 010 028 1C8 084 04D 071 06F 084 05F 001 084 05E 084 05C 078 084 05B 06C 06F 084 015 081 081 081 1C5 1CC 084 01B 03F 010 017 024 001 01F 02E 01B 011 03C 1C8 02B 016 019 03D 084 01F 028 084 022 01C 081 081 081 1C8 012 001 012 001 084 022 032 081 081 1C5 1CC 02A 023 021 084 01F 018 001 011 03E 022 001 014 016 02E 01C 1C5 1CC 010 001 010 011 021 029 001 0C2 19F 03C 1C8 18B 0B4 01A 01D 022 001 010 024 01F 01F 020 03C 1C8 0AC 016 024 0F0 025 001 01C 038 021 032 037 084 022 01C 084 015 081 081 081 1C5 1CC 010 028 0C2 19F 084 022 001 0AC 016 017 024 038 023 1C8 107 029 001 138 017 024 037 02E 01C 084 015 081 081 081 1C8 0F0 029 001 030 01B 084 029 02E 039 022 011 017 028 084 022 01C 081 081 081 1C5 1CC 081 081 09A 08B 029 001 0E2 166 028 02E 02E 084 022 1C8 011 011 028 084 022 01C 081 081 081 012 001 012 001 012 081 081 1C5 1CC 010 011 021 025 1C8 084 01F 02E 1CD 001 01A 1CD 001 039 1CD 001 024 011 084 022 081 081 1C0</x:v>
      </x:c>
    </x:row>
    <x:row r="874">
      <x:c r="A874" s="22" t="str">
        <x:f>"03"</x:f>
        <x:v>03</x:v>
      </x:c>
      <x:c r="B874" s="22" t="str">
        <x:f>"68"</x:f>
        <x:v>68</x:v>
      </x:c>
      <x:c r="C874" s="22" t="str">
        <x:f>"0x0368"</x:f>
        <x:v>0x0368</x:v>
      </x:c>
      <x:c r="D874" s="21" t="str">
        <x:v>&lt;CLEAR&gt;
ゲムコは 動かなくなった・・・</x:v>
      </x:c>
      <x:c r="E874" s="19" t="str">
        <x:v>&lt;CLEAR&gt;Gemco stops moving...</x:v>
      </x:c>
      <x:c r="F874" s="20" t="str"/>
      <x:c r="G874" s="20" t="str"/>
      <x:c r="H874" s="23" t="str">
        <x:v>CLEAR END</x:v>
      </x:c>
      <x:c r="I874" s="23" t="str">
        <x:v>EA:F2B0</x:v>
      </x:c>
      <x:c r="J874" s="23" t="str">
        <x:v>D0 47 65 6D 63 6F 01 73 74 6F 70 73 01 6D 6F 76 69 6E 67 2E 2E 2E C0</x:v>
      </x:c>
      <x:c r="K874" s="23" t="str">
        <x:v>1D0 084 04A 062 04B 029 001 0B1 015 024 017 024 03E 01F 081 081 081 1C0</x:v>
      </x:c>
    </x:row>
    <x:row r="875">
      <x:c r="A875" s="22" t="str">
        <x:f>"03"</x:f>
        <x:v>03</x:v>
      </x:c>
      <x:c r="B875" s="22" t="str">
        <x:f>"69"</x:f>
        <x:v>69</x:v>
      </x:c>
      <x:c r="C875" s="22" t="str">
        <x:f>"0x0369"</x:f>
        <x:v>0x0369</x:v>
      </x:c>
      <x:c r="D875" s="21" t="str">
        <x:v>&lt;CLEAR&gt;
大きな トマトンの 化石がある</x:v>
      </x:c>
      <x:c r="E875" s="19" t="str">
        <x:v>&lt;CLEAR&gt;There is a huge Tomaton fossil.</x:v>
      </x:c>
      <x:c r="F875" s="20" t="str"/>
      <x:c r="G875" s="20" t="str"/>
      <x:c r="H875" s="23" t="str">
        <x:v>CLEAR END</x:v>
      </x:c>
      <x:c r="I875" s="23" t="str">
        <x:v>EA:F2C7</x:v>
      </x:c>
      <x:c r="J875" s="23" t="str">
        <x:v>D0 54 68 65 72 65 01 69 73 01 61 01 68 75 67 65 01 54 6F 6D 61 74 6F 6E 01 66 6F 73 73 69 6C 2E C0</x:v>
      </x:c>
      <x:c r="K875" s="23" t="str">
        <x:v>1D0 0AC 016 024 001 055 060 055 06F 028 001 09E 09D 084 015 010 038 1C0</x:v>
      </x:c>
    </x:row>
    <x:row r="876">
      <x:c r="A876" s="22" t="str">
        <x:f>"03"</x:f>
        <x:v>03</x:v>
      </x:c>
      <x:c r="B876" s="22" t="str">
        <x:f>"6A"</x:f>
        <x:v>6A</x:v>
      </x:c>
      <x:c r="C876" s="22" t="str">
        <x:f>"0x036A"</x:f>
        <x:v>0x036A</x:v>
      </x:c>
      <x:c r="D876" s="21" t="str">
        <x:v>&lt;CLEAR&gt;
↘ ロッテンブロー教会
  神官しゅぎょう場</x:v>
      </x:c>
      <x:c r="E876" s="19" t="str">
        <x:v>&lt;CLEAR&gt;SE: ROTTENBLOW CHURCH
PRIEST TRAINING GROUNDS</x:v>
      </x:c>
      <x:c r="F876" s="20" t="str"/>
      <x:c r="G876" s="20" t="str"/>
      <x:c r="H876" s="23" t="str">
        <x:v>CLEAR NEWLINE END</x:v>
      </x:c>
      <x:c r="I876" s="23" t="str">
        <x:v>EA:F2E8</x:v>
      </x:c>
      <x:c r="J876" s="23" t="str">
        <x:v>D0 53 45 3A 01 52 4F 54 54 45 4E 42 4C 4F 57 01 43 48 55 52 43 48 C8 50 52 49 45 53 54 01 54 52 41 49 4E 49 4E 47 01 47 52 4F 55 4E 44 53 C0</x:v>
      </x:c>
      <x:c r="K876" s="23" t="str">
        <x:v>1D0 1A0 001 06C 070 054 06F 084 05D 06C 078 122 11E 1C8 001 001 0DC 136 01B 040 084 016 041 012 0A5 1C0</x:v>
      </x:c>
    </x:row>
    <x:row r="877">
      <x:c r="A877" s="22" t="str">
        <x:f>"03"</x:f>
        <x:v>03</x:v>
      </x:c>
      <x:c r="B877" s="22" t="str">
        <x:f>"6B"</x:f>
        <x:v>6B</x:v>
      </x:c>
      <x:c r="C877" s="22" t="str">
        <x:f>"0x036B"</x:f>
        <x:v>0x036B</x:v>
      </x:c>
      <x:c r="D877" s="21" t="str">
        <x:v>&lt;SPEAKER&gt;「うわー たすけてくれよー
なんでも しゃべるよー</x:v>
      </x:c>
      <x:c r="E877" s="19" t="str">
        <x:v>&lt;SPEAKER&gt;Aah! Help me!
I will tell you anything!</x:v>
      </x:c>
      <x:c r="F877" s="20" t="str"/>
      <x:c r="G877" s="20" t="str"/>
      <x:c r="H877" s="23" t="str">
        <x:v>SPEAKER NEWLINE END</x:v>
      </x:c>
      <x:c r="I877" s="23" t="str">
        <x:v>EA:F317</x:v>
      </x:c>
      <x:c r="J877" s="23" t="str">
        <x:v>CC 41 61 68 21 01 48 65 6C 70 01 6D 65 21 C8 49 01 77 69 6C 6C 01 74 65 6C 6C 01 79 6F 75 01 61 6E 79 74 68 69 6E 67 21 C0</x:v>
      </x:c>
      <x:c r="K877" s="23" t="str">
        <x:v>1CC 012 03B 078 001 01F 01C 018 022 017 039 035 078 1C8 024 03D 084 022 032 001 01B 03F 084 02C 038 035 078 1C0</x:v>
      </x:c>
    </x:row>
    <x:row r="878">
      <x:c r="A878" s="22" t="str">
        <x:f>"03"</x:f>
        <x:v>03</x:v>
      </x:c>
      <x:c r="B878" s="22" t="str">
        <x:f>"6C"</x:f>
        <x:v>6C</x:v>
      </x:c>
      <x:c r="C878" s="22" t="str">
        <x:f>"0x036C"</x:f>
        <x:v>0x036C</x:v>
      </x:c>
      <x:c r="D878" s="21" t="str">
        <x:v>&lt;SPEAKER&gt;「ジェイビーさまは
ここから 白い ボールを
掘り出したんだ&lt;WAIT&gt;&lt;SPEAKER&gt;「すごく うれしそうだったよ</x:v>
      </x:c>
      <x:c r="E878" s="19" t="str">
        <x:v>&lt;SPEAKER&gt;Lord J.B. dug a
white ball out of this place.&lt;WAIT&gt;&lt;SPEAKER&gt;He looked incredibly happy.</x:v>
      </x:c>
      <x:c r="F878" s="20" t="str"/>
      <x:c r="G878" s="20" t="str"/>
      <x:c r="H878" s="23" t="str">
        <x:v>SPEAKER NEWLINE WAIT SPEAKER END</x:v>
      </x:c>
      <x:c r="I878" s="23" t="str">
        <x:v>EA:F340</x:v>
      </x:c>
      <x:c r="J878" s="23" t="str">
        <x:v>CC 4C 6F 72 64 01 4A 2E 42 2E 01 64 75 67 01 61 C8 77 68 69 74 65 01 62 61 6C 6C 01 6F 75 74 01 6F 66 01 74 68 69 73 01 70 6C 61 63 65 2E C5 CC 48 65 01 6C 6F 6F 6B 65 64 01 69 6E 63 72 65 64 69 62 6C 79 01 68 61 70 70 79 2E C0</x:v>
      </x:c>
      <x:c r="K878" s="23" t="str">
        <x:v>1CC 084 04D 076 043 084 05C 078 01A 02E 029 1C8 019 019 015 036 001 141 011 001 084 05F 078 06A 03C 1C8 11C 037 106 01B 01F 03D 084 01F 1C5 1CC 01C 084 019 017 001 012 039 01B 01E 012 084 01F 03E 01F 035 1C0</x:v>
      </x:c>
    </x:row>
    <x:row r="879">
      <x:c r="A879" s="22" t="str">
        <x:f>"03"</x:f>
        <x:v>03</x:v>
      </x:c>
      <x:c r="B879" s="22" t="str">
        <x:f>"6D"</x:f>
        <x:v>6D</x:v>
      </x:c>
      <x:c r="C879" s="22" t="str">
        <x:f>"0x036D"</x:f>
        <x:v>0x036D</x:v>
      </x:c>
      <x:c r="D879" s="21" t="str">
        <x:v>&lt;CLEAR&gt;
かべに 何か
掘り出したような あながある</x:v>
      </x:c>
      <x:c r="E879" s="19" t="str">
        <x:v>&lt;CLEAR&gt;There is a hole in the wall
where something was dug out.</x:v>
      </x:c>
      <x:c r="F879" s="20" t="str"/>
      <x:c r="G879" s="20" t="str"/>
      <x:c r="H879" s="23" t="str">
        <x:v>CLEAR NEWLINE END</x:v>
      </x:c>
      <x:c r="I879" s="23" t="str">
        <x:v>EA:F38C</x:v>
      </x:c>
      <x:c r="J879" s="23" t="str">
        <x:v>D0 54 68 65 72 65 01 69 73 01 61 01 68 6F 6C 65 01 69 6E 01 74 68 65 01 77 61 6C 6C C8 77 68 65 72 65 01 73 6F 6D 65 74 68 69 6E 67 01 77 61 73 01 64 75 67 01 6F 75 74 2E C0</x:v>
      </x:c>
      <x:c r="K879" s="23" t="str">
        <x:v>1D0 015 084 02C 025 001 093 015 1C8 11C 037 106 01B 01F 035 012 024 001 010 024 084 015 010 038 1C0</x:v>
      </x:c>
    </x:row>
    <x:row r="880">
      <x:c r="A880" s="22" t="str">
        <x:f>"03"</x:f>
        <x:v>03</x:v>
      </x:c>
      <x:c r="B880" s="22" t="str">
        <x:f>"6E"</x:f>
        <x:v>6E</x:v>
      </x:c>
      <x:c r="C880" s="22" t="str">
        <x:f>"0x036E"</x:f>
        <x:v>0x036E</x:v>
      </x:c>
      <x:c r="D880" s="21" t="str">
        <x:v>&lt;CLEAR&gt;
レバーがある
おしても ぜんぜん動かない&lt;WAIT&gt;
&lt;CLEAR&gt;
もっと 強い力で おせば
動かせるかもしれない・・・</x:v>
      </x:c>
      <x:c r="E880" s="19" t="str">
        <x:v>&lt;CLEAR&gt;There is a lever. It
will not move at all.&lt;WAIT&gt;&lt;CLEAR&gt;With greater strength, you
might be able to move it...</x:v>
      </x:c>
      <x:c r="F880" s="20" t="str"/>
      <x:c r="G880" s="20" t="str"/>
      <x:c r="H880" s="23" t="str">
        <x:v>CLEAR NEWLINE WAIT CLEAR NEWLINE END</x:v>
      </x:c>
      <x:c r="I880" s="23" t="str">
        <x:v>EA:F3C6</x:v>
      </x:c>
      <x:c r="J880" s="23" t="str">
        <x:v>D0 54 68 65 72 65 01 69 73 01 61 01 6C 65 76 65 72 2E 01 49 74 C8 77 69 6C 6C 01 6E 6F 74 01 6D 6F 76 65 01 61 74 01 61 6C 6C 2E C5 D0 57 69 74 68 01 67 72 65 61 74 65 72 01 73 74 72 65 6E 67 74 68 2C 01 79 6F 75 C8 6D 69 67 68 74 01 62 65 01 61 62 6C 65 01 74 6F 01 6D 6F 76 65 01 69 74 2E 2E 2E C0</x:v>
      </x:c>
      <x:c r="K880" s="23" t="str">
        <x:v>1D0 06B 084 05B 078 084 015 010 038 1C8 014 01B 022 032 001 084 01D 03D 084 01D 03D 0B1 015 024 011 1C5 1D0 032 03E 023 001 138 011 107 084 022 001 014 01D 084 029 1C8 0B1 015 01D 038 015 032 01B 039 024 011 081 081 081 1C0</x:v>
      </x:c>
    </x:row>
    <x:row r="881">
      <x:c r="A881" s="22" t="str">
        <x:f>"03"</x:f>
        <x:v>03</x:v>
      </x:c>
      <x:c r="B881" s="22" t="str">
        <x:f>"6F"</x:f>
        <x:v>6F</x:v>
      </x:c>
      <x:c r="C881" s="22" t="str">
        <x:f>"0x036F"</x:f>
        <x:v>0x036F</x:v>
      </x:c>
      <x:c r="D881" s="21" t="str">
        <x:v>&lt;CLEAR&gt;
レバーがある
ひいても ぜんぜん動かない</x:v>
      </x:c>
      <x:c r="E881" s="19" t="str">
        <x:v>&lt;CLEAR&gt;There is a lever. It will
not move when pulled.</x:v>
      </x:c>
      <x:c r="F881" s="20" t="str"/>
      <x:c r="G881" s="20" t="str"/>
      <x:c r="H881" s="23" t="str">
        <x:v>CLEAR NEWLINE END</x:v>
      </x:c>
      <x:c r="I881" s="23" t="str">
        <x:v>EA:F42A</x:v>
      </x:c>
      <x:c r="J881" s="23" t="str">
        <x:v>D0 54 68 65 72 65 01 69 73 01 61 01 6C 65 76 65 72 2E 01 49 74 01 77 69 6C 6C C8 6E 6F 74 01 6D 6F 76 65 01 77 68 65 6E 01 70 75 6C 6C 65 64 2E C0</x:v>
      </x:c>
      <x:c r="K881" s="23" t="str">
        <x:v>1D0 06B 084 05B 078 084 015 010 038 1C8 02A 011 022 032 001 084 01D 03D 084 01D 03D 0B1 015 024 011 1C0</x:v>
      </x:c>
    </x:row>
    <x:row r="882">
      <x:c r="A882" s="22" t="str">
        <x:f>"03"</x:f>
        <x:v>03</x:v>
      </x:c>
      <x:c r="B882" s="22" t="str">
        <x:f>"70"</x:f>
        <x:v>70</x:v>
      </x:c>
      <x:c r="C882" s="22" t="str">
        <x:f>"0x0370"</x:f>
        <x:v>0x0370</x:v>
      </x:c>
      <x:c r="D882" s="21" t="str">
        <x:v>&lt;CLEAR&gt;
「ジェイビーじるし こうそく
かんづめ せいぞうき マーク・ワン
・・・と かいてある&lt;WAIT&gt;
&lt;CLEAR&gt;
きかいは ひどくこわれて とまっている
あちこちに しゅうりした あとがある
&lt;WAIT&gt;
&lt;CLEAR&gt;
使いすぎて もう なおせないほど
ボロボロに こわれてしまったようだ</x:v>
      </x:c>
      <x:c r="E882" s="19" t="str">
        <x:v>&lt;CLEAR&gt;'J.B. HIGH-SPEED CANNER
MARK ONE' is written here.&lt;WAIT&gt;&lt;CLEAR&gt;The machine is badly damaged.
Repairs cover it everywhere.&lt;LINE&gt;&lt;WAIT&gt;&lt;CLEAR&gt;It was used so much that
it finally broke beyond repair.&lt;LINE&gt;</x:v>
      </x:c>
      <x:c r="F882" s="20" t="str"/>
      <x:c r="G882" s="20" t="str"/>
      <x:c r="H882" s="23" t="str">
        <x:v>CLEAR NEWLINE WAIT CLEAR NEWLINE LINE WAIT CLEAR NEWLINE LINE END</x:v>
      </x:c>
      <x:c r="I882" s="23" t="str">
        <x:v>EA:F45B</x:v>
      </x:c>
      <x:c r="J882" s="23" t="str">
        <x:v>D0 27 4A 2E 42 2E 01 48 49 47 48 2D 53 50 45 45 44 01 43 41 4E 4E 45 52 C8 4D 41 52 4B 01 4F 4E 45 27 01 69 73 01 77 72 69 74 74 65 6E 01 68 65 72 65 2E C5 D0 54 68 65 01 6D 61 63 68 69 6E 65 01 69 73 01 62 61 64 6C 79 01 64 61 6D 61 67 65 64 2E C8 52 65 70 61 69 72 73 01 63 6F 76 65 72 01 69 74 01 65 76 65 72 79 77 68 65 72 65 2E C3 C5 D0 49 74 01 77 61 73 01 75 73 65 64 01 73 6F 01 6D 75 63 68 01 74 68 61 74 C8 69 74 01 66 69 6E 61 6C 6C 79 01 62 72 6F 6B 65 01 62 65 79 6F 6E 64 01 72 65 70 61 69 72 2E C3 C0</x:v>
      </x:c>
      <x:c r="K882" s="23" t="str">
        <x:v>1D0 07D 084 04D 076 043 084 05C 078 084 01B 038 01B 001 019 012 01E 017 1C8 015 03D 084 021 031 001 01D 011 084 01E 012 016 001 060 078 049 081 06D 06F 1C8 081 081 081 023 001 015 011 022 010 038 1C5 1D0 016 015 011 029 001 02A 084 023 017 019 03B 039 022 001 023 02E 03E 022 011 038 1C8 010 020 019 020 025 001 01B 040 012 037 01B 01F 001 010 023 084 015 010 038 1C3 1C5 1D0 123 011 01C 084 016 022 001 032 012 001 024 014 01D 024 011 02D 084 023 1C8 084 05F 06C 084 05F 06C 025 001 019 03B 039 022 01B 02E 03E 01F 035 012 084 01F 1C3 1C0</x:v>
      </x:c>
    </x:row>
    <x:row r="883">
      <x:c r="A883" s="22" t="str">
        <x:f>"03"</x:f>
        <x:v>03</x:v>
      </x:c>
      <x:c r="B883" s="22" t="str">
        <x:f>"71"</x:f>
        <x:v>71</x:v>
      </x:c>
      <x:c r="C883" s="22" t="str">
        <x:f>"0x0371"</x:f>
        <x:v>0x0371</x:v>
      </x:c>
      <x:c r="D883" s="21" t="str">
        <x:v>&lt;CLEAR&gt;
↘ ラムスの塔</x:v>
      </x:c>
      <x:c r="E883" s="19" t="str">
        <x:v>&lt;CLEAR&gt;SE: RAMUS TOWER</x:v>
      </x:c>
      <x:c r="F883" s="20" t="str"/>
      <x:c r="G883" s="20" t="str"/>
      <x:c r="H883" s="23" t="str">
        <x:v>CLEAR END</x:v>
      </x:c>
      <x:c r="I883" s="23" t="str">
        <x:v>EA:F507</x:v>
      </x:c>
      <x:c r="J883" s="23" t="str">
        <x:v>D0 53 45 3A 01 52 41 4D 55 53 01 54 4F 57 45 52 C0</x:v>
      </x:c>
      <x:c r="K883" s="23" t="str">
        <x:v>1D0 1A0 001 068 062 04E 028 154 1C0</x:v>
      </x:c>
    </x:row>
    <x:row r="884">
      <x:c r="A884" s="22" t="str">
        <x:f>"03"</x:f>
        <x:v>03</x:v>
      </x:c>
      <x:c r="B884" s="22" t="str">
        <x:f>"72"</x:f>
        <x:v>72</x:v>
      </x:c>
      <x:c r="C884" s="22" t="str">
        <x:f>"0x0372"</x:f>
        <x:v>0x0372</x:v>
      </x:c>
      <x:c r="D884" s="21" t="str">
        <x:v>&lt;CLEAR&gt;
↘ なげきの岬</x:v>
      </x:c>
      <x:c r="E884" s="19" t="str">
        <x:v>&lt;CLEAR&gt;SE: CAPE OF LAMENT</x:v>
      </x:c>
      <x:c r="F884" s="20" t="str"/>
      <x:c r="G884" s="20" t="str"/>
      <x:c r="H884" s="23" t="str">
        <x:v>CLEAR END</x:v>
      </x:c>
      <x:c r="I884" s="23" t="str">
        <x:v>EA:F518</x:v>
      </x:c>
      <x:c r="J884" s="23" t="str">
        <x:v>D0 53 45 3A 01 43 41 50 45 01 4F 46 01 4C 41 4D 45 4E 54 C0</x:v>
      </x:c>
      <x:c r="K884" s="23" t="str">
        <x:v>1D0 1A0 001 024 084 018 016 028 1A7 1C0</x:v>
      </x:c>
    </x:row>
    <x:row r="885">
      <x:c r="A885" s="22" t="str">
        <x:f>"03"</x:f>
        <x:v>03</x:v>
      </x:c>
      <x:c r="B885" s="22" t="str">
        <x:f>"73"</x:f>
        <x:v>73</x:v>
      </x:c>
      <x:c r="C885" s="22" t="str">
        <x:f>"0x0373"</x:f>
        <x:v>0x0373</x:v>
      </x:c>
      <x:c r="D885" s="21" t="str">
        <x:v>&lt;SPEAKER&gt;「あたしは ようせい マミリィ
あいことばは キミソバ
たまごの おそばじゃ ないわよ</x:v>
      </x:c>
      <x:c r="E885" s="19" t="str">
        <x:v>&lt;SPEAKER&gt;I am Mamiry the fairy!
The password is KIMISOBA. And
no, I do not mean egg soba!</x:v>
      </x:c>
      <x:c r="F885" s="20" t="str"/>
      <x:c r="G885" s="20" t="str"/>
      <x:c r="H885" s="23" t="str">
        <x:v>SPEAKER NEWLINE NEWLINE END</x:v>
      </x:c>
      <x:c r="I885" s="23" t="str">
        <x:v>EA:F52C</x:v>
      </x:c>
      <x:c r="J885" s="23" t="str">
        <x:v>CC 49 01 61 6D 01 4D 61 6D 69 72 79 01 74 68 65 01 66 61 69 72 79 21 C8 54 68 65 01 70 61 73 73 77 6F 72 64 01 69 73 01 4B 49 4D 49 53 4F 42 41 2E 01 41 6E 64 C8 6E 6F 2C 01 49 01 64 6F 01 6E 6F 74 01 6D 65 61 6E 01 65 67 67 01 73 6F 62 61 21 C0</x:v>
      </x:c>
      <x:c r="K885" s="23" t="str">
        <x:v>1CC 010 01F 01B 029 001 035 012 01D 011 001 060 061 069 075 1C8 010 011 019 023 084 029 029 001 048 061 050 084 05B 1C8 01F 02E 084 019 028 001 014 01E 084 029 084 01B 03F 001 024 011 03B 035 1C0</x:v>
      </x:c>
    </x:row>
    <x:row r="886">
      <x:c r="A886" s="22" t="str">
        <x:f>"03"</x:f>
        <x:v>03</x:v>
      </x:c>
      <x:c r="B886" s="22" t="str">
        <x:f>"74"</x:f>
        <x:v>74</x:v>
      </x:c>
      <x:c r="C886" s="22" t="str">
        <x:f>"0x0374"</x:f>
        <x:v>0x0374</x:v>
      </x:c>
      <x:c r="D886" s="21" t="str">
        <x:v>&lt;SPEAKER&gt;「ここは デスランド島の
もっとも みなみにある
なげきの岬と よばれるところ&lt;WAIT&gt;&lt;SPEAKER&gt;「はるか 昔から 人は
この 岬の むこうにある
バロンロックを めざした&lt;WAIT&gt;&lt;SPEAKER&gt;「キングバロンの装置を
手に入れ 領土を
かくだいするためじゃ&lt;WAIT&gt;&lt;SPEAKER&gt;「じゃが 海からの 強い風は
人間を よせつけんかった・・・</x:v>
      </x:c>
      <x:c r="E886" s="19" t="str">
        <x:v>&lt;SPEAKER&gt;This is the Cape of
Lament, at the southernmost
tip of Deathland Island.&lt;WAIT&gt;&lt;SPEAKER&gt;Since ancient times,
people have aimed for Baron
Rock beyond this cape.&lt;WAIT&gt;&lt;SPEAKER&gt;They wanted King Baron's
device to expand their territories.&lt;WAIT&gt;&lt;SPEAKER&gt;But the fierce winds off
the sea kept humans away...</x:v>
      </x:c>
      <x:c r="F886" s="20" t="str"/>
      <x:c r="G886" s="20" t="str"/>
      <x:c r="H886" s="23" t="str">
        <x:v>SPEAKER NEWLINE NEWLINE WAIT SPEAKER NEWLINE NEWLINE WAIT SPEAKER NEWLINE WAIT SPEAKER NEWLINE END</x:v>
      </x:c>
      <x:c r="I886" s="23" t="str">
        <x:v>EA:F57E</x:v>
      </x:c>
      <x:c r="J886" s="23" t="str">
        <x:v>CC 54 68 69 73 01 69 73 01 74 68 65 01 43 61 70 65 01 6F 66 C8 4C 61 6D 65 6E 74 2C 01 61 74 01 74 68 65 01 73 6F 75 74 68 65 72 6E 6D 6F 73 74 C8 74 69 70 01 6F 66 01 44 65 61 74 68 6C 61 6E 64 01 49 73 6C 61 6E 64 2E C5 CC 53 69 6E 63 65 01 61 6E 63 69 65 6E 74 01 74 69 6D 65 73 2C C8 70 65 6F 70 6C 65 01 68 61 76 65 01 61 69 6D 65 64 01 66 6F 72 01 42 61 72 6F 6E C8 52 6F 63 6B 01 62 65 79 6F 6E 64 01 74 68 69 73 01 63 61 70 65 2E C5 CC 54 68 65 79 01 77 61 6E 74 65 64 01 4B 69 6E 67 01 42 61 72 6F 6E 27 73 C8 64 65 76 69 63 65 01 74 6F 01 65 78 70 61 6E 64 01 74 68 65 69 72 01 74 65 72 72 69 74 6F 72 69 65 73 2E C5 CC 42 75 74 01 74 68 65 01 66 69 65 72 63 65 01 77 69 6E 64 73 01 6F 66 66 C8 74 68 65 01 73 65 61 01 6B 65 70 74 01 68 75 6D 61 6E 73 01 61 77 61 79 2E 2E 2E C0</x:v>
      </x:c>
      <x:c r="K886" s="23" t="str">
        <x:v>1CC 019 019 029 001 084 054 04E 068 06F 084 055 08A 028 1C8 032 03E 023 032 001 02F 024 02F 025 010 038 1C8 024 084 018 016 028 1A7 023 001 035 084 029 039 038 023 019 03A 1C5 1CC 029 038 015 001 104 015 036 001 091 029 1C8 019 028 001 1A7 028 001 030 019 012 025 010 038 1C8 084 05B 06C 06F 06C 070 049 03C 001 031 084 01A 01B 01F 1C5 1CC 048 06F 084 049 084 05B 06C 06F 028 0C2 19F 03C 1C8 177 025 08E 039 001 176 1B4 03C 1C8 015 017 084 01F 011 01C 038 01F 031 084 01B 03F 1C5 1CC 084 01B 03F 084 015 001 162 015 036 028 001 138 011 168 029 1C8 091 0E3 03C 001 035 01D 021 018 03D 015 03E 01F 081 081 081 1C0</x:v>
      </x:c>
    </x:row>
    <x:row r="887">
      <x:c r="A887" s="22" t="str">
        <x:f>"03"</x:f>
        <x:v>03</x:v>
      </x:c>
      <x:c r="B887" s="22" t="str">
        <x:f>"75"</x:f>
        <x:v>75</x:v>
      </x:c>
      <x:c r="C887" s="22" t="str">
        <x:f>"0x0375"</x:f>
        <x:v>0x0375</x:v>
      </x:c>
      <x:c r="D887" s="21" t="str">
        <x:v>&lt;SPEAKER&gt;「わしは やぼうにとりつかれた
あわれな者たちを とむらう
ほこらの あるじじゃよ 何か用かな?</x:v>
      </x:c>
      <x:c r="E887" s="19" t="str">
        <x:v>&lt;SPEAKER&gt;I keep this shrine
for souls ruined by ambition.
Do you need something?</x:v>
      </x:c>
      <x:c r="F887" s="20" t="str"/>
      <x:c r="G887" s="20" t="str"/>
      <x:c r="H887" s="23" t="str">
        <x:v>SPEAKER NEWLINE NEWLINE END</x:v>
      </x:c>
      <x:c r="I887" s="23" t="str">
        <x:v>EA:F685</x:v>
      </x:c>
      <x:c r="J887" s="23" t="str">
        <x:v>CC 49 01 6B 65 65 70 01 74 68 69 73 01 73 68 72 69 6E 65 C8 66 6F 72 01 73 6F 75 6C 73 01 72 75 69 6E 65 64 01 62 79 01 61 6D 62 69 74 69 6F 6E 2E C8 44 6F 01 79 6F 75 01 6E 65 65 64 01 73 6F 6D 65 74 68 69 6E 67 3F C0</x:v>
      </x:c>
      <x:c r="K887" s="23" t="str">
        <x:v>1CC 03B 01B 029 001 033 084 02D 012 025 023 037 021 015 039 01F 1C8 010 03B 039 024 0A7 01F 020 03C 001 023 030 036 012 1C8 02D 019 036 028 001 010 038 084 01B 084 01B 03F 035 001 093 015 112 015 024 079 1C0</x:v>
      </x:c>
    </x:row>
    <x:row r="888">
      <x:c r="A888" s="22" t="str">
        <x:f>"03"</x:f>
        <x:v>03</x:v>
      </x:c>
      <x:c r="B888" s="22" t="str">
        <x:f>"76"</x:f>
        <x:v>76</x:v>
      </x:c>
      <x:c r="C888" s="22" t="str">
        <x:f>"0x0376"</x:f>
        <x:v>0x0376</x:v>
      </x:c>
      <x:c r="D888" s="21" t="str">
        <x:v>&lt;SPEAKER&gt;「ここは ラムスの塔・・・&lt;WAIT&gt;&lt;SPEAKER&gt;「200年まえ ときの ラムス王が
キングバロンの 古代装置を
手に入れるため 建てた塔・・・</x:v>
      </x:c>
      <x:c r="E888" s="19" t="str">
        <x:v>&lt;SPEAKER&gt;This is Ramus Tower...&lt;WAIT&gt;&lt;SPEAKER&gt;King Ramus built it
200 years ago to obtain
King Baron's ancient device...</x:v>
      </x:c>
      <x:c r="F888" s="20" t="str"/>
      <x:c r="G888" s="20" t="str"/>
      <x:c r="H888" s="23" t="str">
        <x:v>SPEAKER WAIT SPEAKER NEWLINE NEWLINE END</x:v>
      </x:c>
      <x:c r="I888" s="23" t="str">
        <x:v>EA:F6CE</x:v>
      </x:c>
      <x:c r="J888" s="23" t="str">
        <x:v>CC 54 68 69 73 01 69 73 01 52 61 6D 75 73 01 54 6F 77 65 72 2E 2E 2E C5 CC 4B 69 6E 67 01 52 61 6D 75 73 01 62 75 69 6C 74 01 69 74 C8 32 30 30 01 79 65 61 72 73 01 61 67 6F 01 74 6F 01 6F 62 74 61 69 6E C8 4B 69 6E 67 01 42 61 72 6F 6E 27 73 01 61 6E 63 69 65 6E 74 01 64 65 76 69 63 65 2E 2E 2E C0</x:v>
      </x:c>
      <x:c r="K888" s="23" t="str">
        <x:v>1CC 019 019 029 001 068 062 04E 028 154 081 081 081 1C5 1CC 004 002 002 0CA 02E 013 001 023 016 028 001 068 062 04E 155 084 015 1C8 048 06F 084 049 084 05B 06C 06F 028 001 096 09F 0C2 19F 03C 1C8 177 025 08E 039 038 01F 031 001 15A 022 01F 154 081 081 081 1C0</x:v>
      </x:c>
    </x:row>
    <x:row r="889">
      <x:c r="A889" s="22" t="str">
        <x:f>"03"</x:f>
        <x:v>03</x:v>
      </x:c>
      <x:c r="B889" s="22" t="str">
        <x:f>"77"</x:f>
        <x:v>77</x:v>
      </x:c>
      <x:c r="C889" s="22" t="str">
        <x:f>"0x0377"</x:f>
        <x:v>0x0377</x:v>
      </x:c>
      <x:c r="D889" s="21" t="str">
        <x:v>&lt;SPEAKER&gt;「バロンロックのまわりは
海から ふきあげる 強い風で
船は ちかづけません&lt;WAIT&gt;&lt;SPEAKER&gt;「ラムス王は ここに 高い塔を
建てて 空から バロンロックへ
行く 方法を さぐりました・・・&lt;WAIT&gt;&lt;SPEAKER&gt;「わたしたち かがくしゃを
ここに とじこめて くる日も
くる日も 研究ばかり・・・&lt;WAIT&gt;&lt;SPEAKER&gt;「とうとう わたしたちは ここで
死んでしまったのです・・・</x:v>
      </x:c>
      <x:c r="E889" s="19" t="str">
        <x:v>&lt;SPEAKER&gt;Ships cannot approach
Baron Rock because of the
fierce winds rising from the sea.&lt;WAIT&gt;&lt;SPEAKER&gt;King Ramus built this
tall tower to seek a route
through the sky to Baron Rock.&lt;WAIT&gt;&lt;SPEAKER&gt;He locked us scientists
inside and forced us to
research day after day...&lt;WAIT&gt;&lt;SPEAKER&gt;Eventually, we died here...</x:v>
      </x:c>
      <x:c r="F889" s="20" t="str"/>
      <x:c r="G889" s="20" t="str"/>
      <x:c r="H889" s="23" t="str">
        <x:v>SPEAKER NEWLINE NEWLINE WAIT SPEAKER NEWLINE NEWLINE WAIT SPEAKER NEWLINE NEWLINE WAIT SPEAKER END</x:v>
      </x:c>
      <x:c r="I889" s="23" t="str">
        <x:v>EA:F732</x:v>
      </x:c>
      <x:c r="J889" s="23" t="str">
        <x:v>CC 53 68 69 70 73 01 63 61 6E 6E 6F 74 01 61 70 70 72 6F 61 63 68 C8 42 61 72 6F 6E 01 52 6F 63 6B 01 62 65 63 61 75 73 65 01 6F 66 01 74 68 65 C8 66 69 65 72 63 65 01 77 69 6E 64 73 01 72 69 73 69 6E 67 01 66 72 6F 6D 01 74 68 65 01 73 65 61 2E C5 CC 4B 69 6E 67 01 52 61 6D 75 73 01 62 75 69 6C 74 01 74 68 69 73 C8 74 61 6C 6C 01 74 6F 77 65 72 01 74 6F 01 73 65 65 6B 01 61 01 72 6F 75 74 65 C8 74 68 72 6F 75 67 68 01 74 68 65 01 73 6B 79 01 74 6F 01 42 61 72 6F 6E 01 52 6F 63 6B 2E C5 CC 48 65 01 6C 6F 63 6B 65 64 01 75 73 01 73 63 69 65 6E 74 69 73 74 73 C8 69 6E 73 69 64 65 01 61 6E 64 01 66 6F 72 63 65 64 01 75 73 01 74 6F C8 72 65 73 65 61 72 63 68 01 64 61 79 01 61 66 74 65 72 01 64 61 79 2E 2E 2E C5 CC 45 76 65 6E 74 75 61 6C 6C 79 2C 01 77 65 01 64 69 65 64 01 68 65 72 65 2E 2E 2E C0</x:v>
      </x:c>
      <x:c r="K889" s="23" t="str">
        <x:v>1CC 084 05B 06C 06F 06C 070 049 028 02E 03B 037 029 1C8 162 015 036 001 02B 016 010 084 018 038 001 138 011 168 084 022 1C8 19B 029 001 020 015 084 021 018 02E 01D 03D 1C5 1CC 068 062 04E 155 029 001 019 019 025 001 105 011 154 03C 1C8 15A 022 022 001 156 015 036 001 084 05B 06C 06F 06C 070 049 02C 1C8 08D 017 001 0B9 157 03C 001 01A 084 017 037 02E 01B 01F 081 081 081 1C5 1CC 03B 01F 01B 01F 020 001 015 084 015 017 01B 03F 03C 1C8 019 019 025 001 023 084 01B 019 031 022 001 017 038 120 032 1C8 017 038 120 032 001 0E5 0E7 084 029 015 037 081 081 081 1C5 1CC 023 012 023 012 001 03B 01F 01B 01F 020 029 001 019 019 084 022 1C8 0D6 03D 084 022 01B 02E 03E 01F 028 084 022 01C 081 081 081 1C0</x:v>
      </x:c>
    </x:row>
    <x:row r="890">
      <x:c r="A890" s="22" t="str">
        <x:f>"03"</x:f>
        <x:v>03</x:v>
      </x:c>
      <x:c r="B890" s="22" t="str">
        <x:f>"78"</x:f>
        <x:v>78</x:v>
      </x:c>
      <x:c r="C890" s="22" t="str">
        <x:f>"0x0378"</x:f>
        <x:v>0x0378</x:v>
      </x:c>
      <x:c r="D890" s="21" t="str">
        <x:v>&lt;SPEAKER&gt;「ラムス王は あらゆることを
こころみました・・・&lt;WAIT&gt;&lt;SPEAKER&gt;「魔術や 呪術にまで たよったり
きかいの つばさ まで
作ることを めいじました・・・&lt;WAIT&gt;&lt;SPEAKER&gt;「けれども どれひとつ
うまくは いきませんでした・・・</x:v>
      </x:c>
      <x:c r="E890" s="19" t="str">
        <x:v>&lt;SPEAKER&gt;King Ramus
tried everything...&lt;WAIT&gt;&lt;SPEAKER&gt;He turned to magic
and sorcery, and even ordered
us to build mechanical wings...&lt;WAIT&gt;&lt;SPEAKER&gt;But nothing ever worked...</x:v>
      </x:c>
      <x:c r="F890" s="20" t="str"/>
      <x:c r="G890" s="20" t="str"/>
      <x:c r="H890" s="23" t="str">
        <x:v>SPEAKER NEWLINE WAIT SPEAKER NEWLINE NEWLINE WAIT SPEAKER END</x:v>
      </x:c>
      <x:c r="I890" s="23" t="str">
        <x:v>EA:F83E</x:v>
      </x:c>
      <x:c r="J890" s="23" t="str">
        <x:v>CC 4B 69 6E 67 01 52 61 6D 75 73 C8 74 72 69 65 64 01 65 76 65 72 79 74 68 69 6E 67 2E 2E 2E C5 CC 48 65 01 74 75 72 6E 65 64 01 74 6F 01 6D 61 67 69 63 C8 61 6E 64 01 73 6F 72 63 65 72 79 2C 01 61 6E 64 01 65 76 65 6E 01 6F 72 64 65 72 65 64 C8 75 73 01 74 6F 01 62 75 69 6C 64 01 6D 65 63 68 61 6E 69 63 61 6C 01 77 69 6E 67 73 2E 2E 2E C5 CC 42 75 74 01 6E 6F 74 68 69 6E 67 01 65 76 65 72 01 77 6F 72 6B 65 64 2E 2E 2E C0</x:v>
      </x:c>
      <x:c r="K890" s="23" t="str">
        <x:v>1CC 068 062 04E 155 029 001 010 036 034 038 019 023 03C 1C8 019 019 03A 02F 02E 01B 01F 081 081 081 1C5 1CC 09A 16A 033 001 12D 16A 025 02E 084 022 001 01F 035 03E 01F 037 1C8 016 015 011 028 001 021 084 029 01A 001 02E 084 022 1C8 0F6 038 019 023 03C 001 031 011 084 01B 02E 01B 01F 081 081 081 1C5 1CC 018 039 084 023 032 001 084 023 039 02A 023 021 1C8 012 02E 017 029 001 011 016 02E 01D 03D 084 022 01B 01F 081 081 081 1C0</x:v>
      </x:c>
    </x:row>
    <x:row r="891">
      <x:c r="A891" s="22" t="str">
        <x:f>"03"</x:f>
        <x:v>03</x:v>
      </x:c>
      <x:c r="B891" s="22" t="str">
        <x:f>"79"</x:f>
        <x:v>79</x:v>
      </x:c>
      <x:c r="C891" s="22" t="str">
        <x:f>"0x0379"</x:f>
        <x:v>0x0379</x:v>
      </x:c>
      <x:c r="D891" s="21" t="str">
        <x:v>&lt;SPEAKER&gt;「おお 神よ われらの さまよえる
たましいを 主のもとへ
おくりとどけたまえ&lt;WAIT&gt;&lt;SPEAKER&gt;「ラムス王の ねがいが
かなえられぬかぎり われらは
やすらかに ねむれないのです</x:v>
      </x:c>
      <x:c r="E891" s="19" t="str">
        <x:v>&lt;SPEAKER&gt;O God, carry our
wandering souls to our Lord.&lt;WAIT&gt;&lt;SPEAKER&gt;Until King Ramus's wish is
fulfilled, we cannot rest in peace.</x:v>
      </x:c>
      <x:c r="F891" s="20" t="str"/>
      <x:c r="G891" s="20" t="str"/>
      <x:c r="H891" s="23" t="str">
        <x:v>SPEAKER NEWLINE WAIT SPEAKER NEWLINE END</x:v>
      </x:c>
      <x:c r="I891" s="23" t="str">
        <x:v>EA:F8CC</x:v>
      </x:c>
      <x:c r="J891" s="23" t="str">
        <x:v>CC 4F 01 47 6F 64 2C 01 63 61 72 72 79 01 6F 75 72 C8 77 61 6E 64 65 72 69 6E 67 01 73 6F 75 6C 73 01 74 6F 01 6F 75 72 01 4C 6F 72 64 2E C5 CC 55 6E 74 69 6C 01 4B 69 6E 67 01 52 61 6D 75 73 27 73 01 77 69 73 68 01 69 73 C8 66 75 6C 66 69 6C 6C 65 64 2C 01 77 65 01 63 61 6E 6E 6F 74 01 72 65 73 74 01 69 6E 01 70 65 61 63 65 2E C0</x:v>
      </x:c>
      <x:c r="K891" s="23" t="str">
        <x:v>1CC 014 014 001 0DC 035 001 03B 039 036 028 001 01A 02E 035 013 038 1C8 01F 02E 01B 011 03C 001 12C 028 032 023 02C 1C8 014 017 037 023 084 023 018 01F 02E 013 1C5 1CC 068 062 04E 155 028 001 027 084 015 011 084 015 1C8 015 024 013 036 039 026 015 084 016 037 001 03B 039 036 029 1C8 033 01C 036 015 025 001 027 030 039 024 011 028 084 022 01C 1C0</x:v>
      </x:c>
    </x:row>
    <x:row r="892">
      <x:c r="A892" s="22" t="str">
        <x:f>"03"</x:f>
        <x:v>03</x:v>
      </x:c>
      <x:c r="B892" s="22" t="str">
        <x:f>"7A"</x:f>
        <x:v>7A</x:v>
      </x:c>
      <x:c r="C892" s="22" t="str">
        <x:f>"0x037A"</x:f>
        <x:v>0x037A</x:v>
      </x:c>
      <x:c r="D892" s="21" t="str">
        <x:v>&lt;SPEAKER&gt;「われらの 王の ねがいは
バロンロックまで 空を
とんで行くことだった・・・</x:v>
      </x:c>
      <x:c r="E892" s="19" t="str">
        <x:v>&lt;SPEAKER&gt;Our king's wish was
to fly through the sky all
the way to Baron Rock...</x:v>
      </x:c>
      <x:c r="F892" s="20" t="str"/>
      <x:c r="G892" s="20" t="str"/>
      <x:c r="H892" s="23" t="str">
        <x:v>SPEAKER NEWLINE NEWLINE END</x:v>
      </x:c>
      <x:c r="I892" s="23" t="str">
        <x:v>EA:F93B</x:v>
      </x:c>
      <x:c r="J892" s="23" t="str">
        <x:v>CC 4F 75 72 01 6B 69 6E 67 27 73 01 77 69 73 68 01 77 61 73 C8 74 6F 01 66 6C 79 01 74 68 72 6F 75 67 68 01 74 68 65 01 73 6B 79 01 61 6C 6C C8 74 68 65 01 77 61 79 01 74 6F 01 42 61 72 6F 6E 01 52 6F 63 6B 2E 2E 2E C0</x:v>
      </x:c>
      <x:c r="K892" s="23" t="str">
        <x:v>1CC 03B 039 036 028 001 155 028 001 027 084 015 011 029 1C8 084 05B 06C 06F 06C 070 049 02E 084 022 001 156 03C 1C8 023 03D 084 022 08D 017 019 023 084 01F 03E 01F 081 081 081 1C0</x:v>
      </x:c>
    </x:row>
    <x:row r="893">
      <x:c r="A893" s="22" t="str">
        <x:f>"03"</x:f>
        <x:v>03</x:v>
      </x:c>
      <x:c r="B893" s="22" t="str">
        <x:f>"7B"</x:f>
        <x:v>7B</x:v>
      </x:c>
      <x:c r="C893" s="22" t="str">
        <x:f>"0x037B"</x:f>
        <x:v>0x037B</x:v>
      </x:c>
      <x:c r="D893" s="21" t="str">
        <x:v>&lt;SPEAKER&gt;「いちど どこかの商人が
大空をとぶ じゅうたんを
持ってきたのですが・・・&lt;WAIT&gt;&lt;SPEAKER&gt;「魔法の 力は すでに
きえうせて とぶことは
できませんでした・・・</x:v>
      </x:c>
      <x:c r="E893" s="19" t="str">
        <x:v>&lt;SPEAKER&gt;Once, a merchant
brought us a carpet that
could fly through the sky.&lt;WAIT&gt;&lt;SPEAKER&gt;But its magic had already
faded, so it could no longer fly...</x:v>
      </x:c>
      <x:c r="F893" s="20" t="str"/>
      <x:c r="G893" s="20" t="str"/>
      <x:c r="H893" s="23" t="str">
        <x:v>SPEAKER NEWLINE NEWLINE WAIT SPEAKER NEWLINE END</x:v>
      </x:c>
      <x:c r="I893" s="23" t="str">
        <x:v>EA:F984</x:v>
      </x:c>
      <x:c r="J893" s="23" t="str">
        <x:v>CC 4F 6E 63 65 2C 01 61 01 6D 65 72 63 68 61 6E 74 C8 62 72 6F 75 67 68 74 01 75 73 01 61 01 63 61 72 70 65 74 01 74 68 61 74 C8 63 6F 75 6C 64 01 66 6C 79 01 74 68 72 6F 75 67 68 01 74 68 65 01 73 6B 79 2E C5 CC 42 75 74 01 69 74 73 01 6D 61 67 69 63 01 68 61 64 01 61 6C 72 65 61 64 79 C8 66 61 64 65 64 2C 01 73 6F 01 69 74 01 63 6F 75 6C 64 01 6E 6F 01 6C 6F 6E 67 65 72 01 66 6C 79 2E 2E 2E C0</x:v>
      </x:c>
      <x:c r="K893" s="23" t="str">
        <x:v>1CC 011 020 084 023 001 084 023 019 015 028 109 091 084 015 1C8 0AC 156 03C 023 084 02B 001 084 01B 040 012 01F 03D 03C 1C8 0D3 03E 022 016 01F 028 084 022 01C 084 015 081 081 081 1C5 1CC 09A 157 028 001 107 029 001 01C 084 022 025 1C8 016 013 012 01D 022 001 023 084 02B 019 023 029 1C8 084 022 016 02E 01D 03D 084 022 01B 01F 081 081 081 1C0</x:v>
      </x:c>
    </x:row>
    <x:row r="894">
      <x:c r="A894" s="22" t="str">
        <x:f>"03"</x:f>
        <x:v>03</x:v>
      </x:c>
      <x:c r="B894" s="22" t="str">
        <x:f>"7C"</x:f>
        <x:v>7C</x:v>
      </x:c>
      <x:c r="C894" s="22" t="str">
        <x:f>"0x037C"</x:f>
        <x:v>0x037C</x:v>
      </x:c>
      <x:c r="D894" s="21" t="str">
        <x:v>&lt;SPEAKER&gt;「この塔は 14階まである&lt;WAIT&gt;&lt;SPEAKER&gt;「最上階の ラムス王が
大空へ まいあがり
バロンロックに わたったとき&lt;WAIT&gt;&lt;SPEAKER&gt;「われらは かいほうされるのだ</x:v>
      </x:c>
      <x:c r="E894" s="19" t="str">
        <x:v>&lt;SPEAKER&gt;This tower
has fourteen floors.&lt;WAIT&gt;&lt;SPEAKER&gt;When King Ramus reaches
the top, takes to the sky,
and crosses to Baron Rock...&lt;WAIT&gt;&lt;SPEAKER&gt;we will
finally be released.</x:v>
      </x:c>
      <x:c r="F894" s="20" t="str"/>
      <x:c r="G894" s="20" t="str"/>
      <x:c r="H894" s="23" t="str">
        <x:v>SPEAKER NEWLINE WAIT SPEAKER NEWLINE NEWLINE WAIT SPEAKER NEWLINE END</x:v>
      </x:c>
      <x:c r="I894" s="23" t="str">
        <x:v>EA:FA09</x:v>
      </x:c>
      <x:c r="J894" s="23" t="str">
        <x:v>CC 54 68 69 73 01 74 6F 77 65 72 C8 68 61 73 01 66 6F 75 72 74 65 65 6E 01 66 6C 6F 6F 72 73 2E C5 CC 57 68 65 6E 01 4B 69 6E 67 01 52 61 6D 75 73 01 72 65 61 63 68 65 73 C8 74 68 65 01 74 6F 70 2C 01 74 61 6B 65 73 01 74 6F 01 74 68 65 01 73 6B 79 2C C8 61 6E 64 01 63 72 6F 73 73 65 73 01 74 6F 01 42 61 72 6F 6E 01 52 6F 63 6B 2E 2E 2E C5 CC 77 65 01 77 69 6C 6C C8 66 69 6E 61 6C 6C 79 01 62 65 01 72 65 6C 65 61 73 65 64 2E C0</x:v>
      </x:c>
      <x:c r="K894" s="23" t="str">
        <x:v>1CC 019 028 154 029 001 003 006 15F 02E 084 022 010 038 1C5 1CC 18A 128 15F 028 001 068 062 04E 155 084 015 1C8 0AC 156 02C 001 02E 011 010 084 015 037 1C8 084 05B 06C 06F 06C 070 049 025 001 03B 01F 03E 01F 023 016 1C5 1CC 03B 039 036 029 001 015 011 02D 012 01A 039 038 028 084 01F 1C0</x:v>
      </x:c>
    </x:row>
    <x:row r="895">
      <x:c r="A895" s="22" t="str">
        <x:f>"03"</x:f>
        <x:v>03</x:v>
      </x:c>
      <x:c r="B895" s="22" t="str">
        <x:f>"7D"</x:f>
        <x:v>7D</x:v>
      </x:c>
      <x:c r="C895" s="22" t="str">
        <x:f>"0x037D"</x:f>
        <x:v>0x037D</x:v>
      </x:c>
      <x:c r="D895" s="21" t="str">
        <x:v>&lt;SPEAKER&gt;「この塔の中には
ラムス王の 集めたものが
たくさん まだ あります&lt;WAIT&gt;&lt;SPEAKER&gt;「その中に 空をとぶものは
ないのでしょうか?</x:v>
      </x:c>
      <x:c r="E895" s="19" t="str">
        <x:v>&lt;SPEAKER&gt;Many things collected
by King Ramus still
remain inside this tower.&lt;WAIT&gt;&lt;SPEAKER&gt;Could one of them
be something that can fly?</x:v>
      </x:c>
      <x:c r="F895" s="20" t="str"/>
      <x:c r="G895" s="20" t="str"/>
      <x:c r="H895" s="23" t="str">
        <x:v>SPEAKER NEWLINE NEWLINE WAIT SPEAKER NEWLINE END</x:v>
      </x:c>
      <x:c r="I895" s="23" t="str">
        <x:v>EA:FA99</x:v>
      </x:c>
      <x:c r="J895" s="23" t="str">
        <x:v>CC 4D 61 6E 79 01 74 68 69 6E 67 73 01 63 6F 6C 6C 65 63 74 65 64 C8 62 79 01 4B 69 6E 67 01 52 61 6D 75 73 01 73 74 69 6C 6C C8 72 65 6D 61 69 6E 01 69 6E 73 69 64 65 01 74 68 69 73 01 74 6F 77 65 72 2E C5 CC 43 6F 75 6C 64 01 6F 6E 65 01 6F 66 01 74 68 65 6D C8 62 65 01 73 6F 6D 65 74 68 69 6E 67 01 74 68 61 74 01 63 61 6E 01 66 6C 79 3F C0</x:v>
      </x:c>
      <x:c r="K895" s="23" t="str">
        <x:v>1CC 019 028 154 028 0A1 025 029 1C8 068 062 04E 155 028 001 1AC 031 01F 032 028 084 015 1C8 01F 017 01A 03D 001 02E 084 01F 001 010 037 02E 01C 1C5 1CC 01E 028 0A1 025 001 156 03C 023 084 02B 032 028 029 1C8 024 011 028 084 022 01B 041 012 015 079 1C0</x:v>
      </x:c>
    </x:row>
    <x:row r="896">
      <x:c r="A896" s="22" t="str">
        <x:f>"03"</x:f>
        <x:v>03</x:v>
      </x:c>
      <x:c r="B896" s="22" t="str">
        <x:f>"7E"</x:f>
        <x:v>7E</x:v>
      </x:c>
      <x:c r="C896" s="22" t="str">
        <x:f>"0x037E"</x:f>
        <x:v>0x037E</x:v>
      </x:c>
      <x:c r="D896" s="21" t="str">
        <x:v>&lt;CLEAR&gt;
かべに スイッチがあります
おしますか?</x:v>
      </x:c>
      <x:c r="E896" s="19" t="str">
        <x:v>&lt;CLEAR&gt;There is a switch on
the wall. Press it?</x:v>
      </x:c>
      <x:c r="F896" s="20" t="str"/>
      <x:c r="G896" s="20" t="str"/>
      <x:c r="H896" s="23" t="str">
        <x:v>CLEAR NEWLINE END</x:v>
      </x:c>
      <x:c r="I896" s="23" t="str">
        <x:v>EA:FB0C</x:v>
      </x:c>
      <x:c r="J896" s="23" t="str">
        <x:v>D0 54 68 65 72 65 01 69 73 01 61 01 73 77 69 74 63 68 01 6F 6E C8 74 68 65 01 77 61 6C 6C 2E 01 50 72 65 73 73 01 69 74 3F C0</x:v>
      </x:c>
      <x:c r="K896" s="23" t="str">
        <x:v>1D0 015 084 02C 025 001 04E 043 070 052 084 015 010 037 02E 01C 1C8 014 01B 02E 01C 015 079 1C0</x:v>
      </x:c>
    </x:row>
    <x:row r="897">
      <x:c r="A897" s="22" t="str">
        <x:f>"03"</x:f>
        <x:v>03</x:v>
      </x:c>
      <x:c r="B897" s="22" t="str">
        <x:f>"7F"</x:f>
        <x:v>7F</x:v>
      </x:c>
      <x:c r="C897" s="22" t="str">
        <x:f>"0x037F"</x:f>
        <x:v>0x037F</x:v>
      </x:c>
      <x:c r="D897" s="21" t="str">
        <x:v>&lt;CLEAR&gt;
かべに スイッチがある
スイッチは おされている</x:v>
      </x:c>
      <x:c r="E897" s="19" t="str">
        <x:v>&lt;CLEAR&gt;There is a switch on the wall.
It has already been pressed.</x:v>
      </x:c>
      <x:c r="F897" s="20" t="str"/>
      <x:c r="G897" s="20" t="str"/>
      <x:c r="H897" s="23" t="str">
        <x:v>CLEAR NEWLINE END</x:v>
      </x:c>
      <x:c r="I897" s="23" t="str">
        <x:v>EA:FB36</x:v>
      </x:c>
      <x:c r="J897" s="23" t="str">
        <x:v>D0 54 68 65 72 65 01 69 73 01 61 01 73 77 69 74 63 68 01 6F 6E 01 74 68 65 01 77 61 6C 6C 2E C8 49 74 01 68 61 73 01 61 6C 72 65 61 64 79 01 62 65 65 6E 01 70 72 65 73 73 65 64 2E C0</x:v>
      </x:c>
      <x:c r="K897" s="23" t="str">
        <x:v>1D0 015 084 02C 025 001 04E 043 070 052 084 015 010 038 1C8 04E 043 070 052 029 001 014 01A 039 022 011 038 1C0</x:v>
      </x:c>
    </x:row>
    <x:row r="898">
      <x:c r="A898" s="22" t="str">
        <x:f>"03"</x:f>
        <x:v>03</x:v>
      </x:c>
      <x:c r="B898" s="22" t="str">
        <x:f>"80"</x:f>
        <x:v>80</x:v>
      </x:c>
      <x:c r="C898" s="22" t="str">
        <x:f>"0x0380"</x:f>
        <x:v>0x0380</x:v>
      </x:c>
      <x:c r="D898" s="21" t="str">
        <x:v>&lt;SPEAKER&gt;「わが名は ラムス・・・
わが のぞみは 大空に まい
バロンロックまで ゆくこと・・&lt;WAIT&gt;&lt;SPEAKER&gt;「わしは 待った・・・・
200年も・・・だが 誰ひとり
空とぶ道具を 持っていなかった&lt;WAIT&gt;&lt;SPEAKER&gt;「このままでは 死んでも
死にきれん! なんとか わしを
バロンロックまで つれていってくれ!&lt;WAIT&gt;&lt;SPEAKER&gt;「あうううう ぐいああああ!
バ&lt;PAUSE_30&gt; ロ&lt;PAUSE_30&gt; ン&lt;PAUSE_30&gt; ロ&lt;PAUSE_30&gt; ッ&lt;PAUSE_30&gt; クううう &lt;PAUSE_30&gt;ええ&lt;PAUSE_30&gt;
いいい ぐううう ぐあああ!</x:v>
      </x:c>
      <x:c r="E898" s="19" t="str">
        <x:v>&lt;SPEAKER&gt;My name is Ramus...
My wish is to soar through
the sky and reach Baron Rock...&lt;WAIT&gt;&lt;SPEAKER&gt;I waited two
hundred years... but no
one brought a way to fly.&lt;WAIT&gt;&lt;SPEAKER&gt;I cannot rest,
even in death! Please
take me to Baron Rock!&lt;WAIT&gt;&lt;SPEAKER&gt;Auuuugh! Gyaaah! Ba&lt;PAUSE_30&gt;-ron&lt;PAUSE_30&gt;
Ro&lt;PAUSE_30&gt;-ck&lt;PAUSE_30&gt;!&lt;PAUSE_30&gt; Aaaah&lt;PAUSE_30&gt;!&lt;PAUSE_30&gt; Guuuh! GRAAAH!</x:v>
      </x:c>
      <x:c r="F898" s="20" t="str"/>
      <x:c r="G898" s="20" t="str"/>
      <x:c r="H898" s="23" t="str">
        <x:v>SPEAKER NEWLINE NEWLINE WAIT SPEAKER NEWLINE NEWLINE WAIT SPEAKER NEWLINE NEWLINE WAIT SPEAKER PAUSE_30 PAUSE_30 NEWLINE PAUSE_30 PAUSE_30 PAUSE_30 PAUSE_30 PAUSE_30 END</x:v>
      </x:c>
      <x:c r="I898" s="23" t="str">
        <x:v>EA:FB73</x:v>
      </x:c>
      <x:c r="J898" s="23" t="str">
        <x:v>CC 4D 79 01 6E 61 6D 65 01 69 73 01 52 61 6D 75 73 2E 2E 2E C8 4D 79 01 77 69 73 68 01 69 73 01 74 6F 01 73 6F 61 72 01 74 68 72 6F 75 67 68 C8 74 68 65 01 73 6B 79 01 61 6E 64 01 72 65 61 63 68 01 42 61 72 6F 6E 01 52 6F 63 6B 2E 2E 2E C5 CC 49 01 77 61 69 74 65 64 01 74 77 6F C8 68 75 6E 64 72 65 64 01 79 65 61 72 73 2E 2E 2E 01 62 75 74 01 6E 6F C8 6F 6E 65 01 62 72 6F 75 67 68 74 01 61 01 77 61 79 01 74 6F 01 66 6C 79 2E C5 CC 49 01 63 61 6E 6E 6F 74 01 72 65 73 74 2C C8 65 76 65 6E 01 69 6E 01 64 65 61 74 68 21 01 50 6C 65 61 73 65 C8 74 61 6B 65 01 6D 65 01 74 6F 01 42 61 72 6F 6E 01 52 6F 63 6B 21 C5 CC 41 75 75 75 75 67 68 21 01 47 79 61 61 61 68 21 01 42 61 CD 2D 72 6F 6E CD C8 52 6F CD 2D 63 6B CD 21 CD 01 41 61 61 61 68 CD 21 CD 01 47 75 75 75 68 21 01 47 52 41 41 41 48 21 C0</x:v>
      </x:c>
      <x:c r="K898" s="23" t="str">
        <x:v>1CC 03B 084 015 0CD 029 001 068 062 04E 081 081 081 1C8 03B 084 015 001 028 084 01E 02F 029 001 0AC 156 025 001 02E 011 1C8 084 05B 06C 06F 06C 070 049 02E 084 022 001 034 017 019 023 081 081 1C5 1CC 03B 01B 029 001 16B 03E 01F 081 081 081 081 1C8 004 002 002 0CA 032 081 081 081 084 01F 084 015 001 0FA 02A 023 037 1C8 156 023 084 02B 0C7 124 03C 001 0D3 03E 022 011 024 015 03E 01F 1C5 1CC 019 028 02E 02E 084 022 029 001 0D6 03D 084 022 032 1C8 0D6 025 016 039 03D 07A 001 024 03D 023 015 001 03B 01B 03C 1C8 084 05B 06C 06F 06C 070 049 02E 084 022 001 021 039 022 011 03E 022 017 039 07A 1C5 1CC 010 012 012 012 012 001 084 017 011 010 010 010 010 07A 1C8 084 05B 1CD 001 06C 1CD 001 06F 1CD 001 06C 1CD 001 070 1CD 001 049 012 012 012 001 1CD 013 013 1CD 1C8 011 011 011 001 084 017 012 012 012 001 084 017 010 010 010 07A 1C0</x:v>
      </x:c>
    </x:row>
    <x:row r="899">
      <x:c r="A899" s="22" t="str">
        <x:f>"03"</x:f>
        <x:v>03</x:v>
      </x:c>
      <x:c r="B899" s="22" t="str">
        <x:f>"81"</x:f>
        <x:v>81</x:v>
      </x:c>
      <x:c r="C899" s="22" t="str">
        <x:f>"0x0381"</x:f>
        <x:v>0x0381</x:v>
      </x:c>
      <x:c r="D899" s="21" t="str">
        <x:v>&lt;CLEAR&gt;
古代の いぶつが ある&lt;WAIT&gt;
&lt;CLEAR&gt;
古い 石像や 家具のようだ</x:v>
      </x:c>
      <x:c r="E899" s="19" t="str">
        <x:v>&lt;CLEAR&gt;There are ancient relics here.&lt;WAIT&gt;&lt;CLEAR&gt;They look like old
statues and furniture.</x:v>
      </x:c>
      <x:c r="F899" s="20" t="str"/>
      <x:c r="G899" s="20" t="str"/>
      <x:c r="H899" s="23" t="str">
        <x:v>CLEAR WAIT CLEAR NEWLINE END</x:v>
      </x:c>
      <x:c r="I899" s="23" t="str">
        <x:v>EA:FC7D</x:v>
      </x:c>
      <x:c r="J899" s="23" t="str">
        <x:v>D0 54 68 65 72 65 01 61 72 65 01 61 6E 63 69 65 6E 74 01 72 65 6C 69 63 73 01 68 65 72 65 2E C5 D0 54 68 65 79 01 6C 6F 6F 6B 01 6C 69 6B 65 01 6F 6C 64 C8 73 74 61 74 75 65 73 01 61 6E 64 01 66 75 72 6E 69 74 75 72 65 2E C0</x:v>
      </x:c>
      <x:c r="K899" s="23" t="str">
        <x:v>1D0 096 09F 028 001 011 084 02B 021 084 015 001 010 038 1C5 1D0 096 011 001 09D 159 033 001 161 124 028 035 012 084 01F 1C0</x:v>
      </x:c>
    </x:row>
    <x:row r="900">
      <x:c r="A900" s="22" t="str">
        <x:f>"03"</x:f>
        <x:v>03</x:v>
      </x:c>
      <x:c r="B900" s="22" t="str">
        <x:f>"82"</x:f>
        <x:v>82</x:v>
      </x:c>
      <x:c r="C900" s="22" t="str">
        <x:f>"0x0382"</x:f>
        <x:v>0x0382</x:v>
      </x:c>
      <x:c r="D900" s="21" t="str">
        <x:v>&lt;CLEAR&gt;
「光の道は ガヌビスの道
しるしなき者の 侵入を ゆるさず</x:v>
      </x:c>
      <x:c r="E900" s="19" t="str">
        <x:v>&lt;CLEAR&gt;"THE PATH OF LIGHT IS
GANUBIS'S PATH. THOSE WITHOUT
THE MARK MAY NOT ENTER."</x:v>
      </x:c>
      <x:c r="F900" s="20" t="str"/>
      <x:c r="G900" s="20" t="str"/>
      <x:c r="H900" s="23" t="str">
        <x:v>CLEAR NEWLINE NEWLINE END</x:v>
      </x:c>
      <x:c r="I900" s="23" t="str">
        <x:v>EA:FCC8</x:v>
      </x:c>
      <x:c r="J900" s="23" t="str">
        <x:v>D0 22 54 48 45 01 50 41 54 48 01 4F 46 01 4C 49 47 48 54 01 49 53 C8 47 41 4E 55 42 49 53 27 53 01 50 41 54 48 2E 01 54 48 4F 53 45 01 57 49 54 48 4F 55 54 C8 54 48 45 01 4D 41 52 4B 01 4D 41 59 01 4E 4F 54 01 45 4E 54 45 52 2E 22 C0</x:v>
      </x:c>
      <x:c r="K900" s="23" t="str">
        <x:v>1D0 07D 14A 028 0C7 029 001 084 047 058 084 05C 04E 028 0C7 1C8 01B 038 01B 024 016 0A7 028 001 14D 08E 03C 001 034 038 01A 084 01C 1C0</x:v>
      </x:c>
    </x:row>
    <x:row r="901">
      <x:c r="A901" s="22" t="str">
        <x:f>"03"</x:f>
        <x:v>03</x:v>
      </x:c>
      <x:c r="B901" s="22" t="str">
        <x:f>"83"</x:f>
        <x:v>83</x:v>
      </x:c>
      <x:c r="C901" s="22" t="str">
        <x:f>"0x0383"</x:f>
        <x:v>0x0383</x:v>
      </x:c>
      <x:c r="D901" s="21" t="str">
        <x:v>&lt;CLEAR&gt;
ガラスに ひびが はいっている!</x:v>
      </x:c>
      <x:c r="E901" s="19" t="str">
        <x:v>&lt;CLEAR&gt;The glass is cracked!</x:v>
      </x:c>
      <x:c r="F901" s="20" t="str"/>
      <x:c r="G901" s="20" t="str"/>
      <x:c r="H901" s="23" t="str">
        <x:v>CLEAR END</x:v>
      </x:c>
      <x:c r="I901" s="23" t="str">
        <x:v>EA:FD16</x:v>
      </x:c>
      <x:c r="J901" s="23" t="str">
        <x:v>D0 54 68 65 01 67 6C 61 73 73 01 69 73 01 63 72 61 63 6B 65 64 21 C0</x:v>
      </x:c>
      <x:c r="K901" s="23" t="str">
        <x:v>1D0 084 047 068 04E 025 001 02A 084 02A 084 015 001 029 011 03E 022 011 038 07A 1C0</x:v>
      </x:c>
    </x:row>
    <x:row r="902">
      <x:c r="A902" s="22" t="str">
        <x:f>"03"</x:f>
        <x:v>03</x:v>
      </x:c>
      <x:c r="B902" s="22" t="str">
        <x:f>"84"</x:f>
        <x:v>84</x:v>
      </x:c>
      <x:c r="C902" s="22" t="str">
        <x:f>"0x0384"</x:f>
        <x:v>0x0384</x:v>
      </x:c>
      <x:c r="D902" s="21" t="str">
        <x:v>&lt;CLEAR&gt;
石板が かべに 埋めこんである</x:v>
      </x:c>
      <x:c r="E902" s="19" t="str">
        <x:v>&lt;CLEAR&gt;A stone tablet is
embedded in the wall.</x:v>
      </x:c>
      <x:c r="F902" s="20" t="str"/>
      <x:c r="G902" s="20" t="str"/>
      <x:c r="H902" s="23" t="str">
        <x:v>CLEAR NEWLINE END</x:v>
      </x:c>
      <x:c r="I902" s="23" t="str">
        <x:v>EA:FD2D</x:v>
      </x:c>
      <x:c r="J902" s="23" t="str">
        <x:v>D0 41 01 73 74 6F 6E 65 01 74 61 62 6C 65 74 01 69 73 C8 65 6D 62 65 64 64 65 64 01 69 6E 01 74 68 65 01 77 61 6C 6C 2E C0</x:v>
      </x:c>
      <x:c r="K902" s="23" t="str">
        <x:v>1D0 09D 147 084 015 001 015 084 02C 025 001 1A8 031 019 03D 084 022 010 038 1C0</x:v>
      </x:c>
    </x:row>
    <x:row r="903">
      <x:c r="A903" s="22" t="str">
        <x:f>"03"</x:f>
        <x:v>03</x:v>
      </x:c>
      <x:c r="B903" s="22" t="str">
        <x:f>"85"</x:f>
        <x:v>85</x:v>
      </x:c>
      <x:c r="C903" s="22" t="str">
        <x:f>"0x0385"</x:f>
        <x:v>0x0385</x:v>
      </x:c>
      <x:c r="D903" s="21" t="str">
        <x:v>&lt;CLEAR&gt;
石板には 古代文字が かかれている
ヨシオが 読んでくれた</x:v>
      </x:c>
      <x:c r="E903" s="19" t="str">
        <x:v>&lt;CLEAR&gt;Ancient writing covers the
tablet. Yoshio reads it aloud.&lt;LINE&gt;</x:v>
      </x:c>
      <x:c r="F903" s="20" t="str"/>
      <x:c r="G903" s="20" t="str"/>
      <x:c r="H903" s="23" t="str">
        <x:v>CLEAR NEWLINE LINE END</x:v>
      </x:c>
      <x:c r="I903" s="23" t="str">
        <x:v>EA:FD56</x:v>
      </x:c>
      <x:c r="J903" s="23" t="str">
        <x:v>D0 41 6E 63 69 65 6E 74 01 77 72 69 74 69 6E 67 01 63 6F 76 65 72 73 01 74 68 65 C8 74 61 62 6C 65 74 2E 01 59 6F 73 68 69 6F 01 72 65 61 64 73 01 69 74 01 61 6C 6F 75 64 2E C3 C0</x:v>
      </x:c>
      <x:c r="K903" s="23" t="str">
        <x:v>1D0 09D 147 025 029 001 096 09F 152 153 084 015 001 015 015 039 022 011 038 1C8 067 04D 046 084 015 001 118 03D 084 022 017 039 01F 1C3 1C0</x:v>
      </x:c>
    </x:row>
    <x:row r="904">
      <x:c r="A904" s="22" t="str">
        <x:f>"03"</x:f>
        <x:v>03</x:v>
      </x:c>
      <x:c r="B904" s="22" t="str">
        <x:f>"86"</x:f>
        <x:v>86</x:v>
      </x:c>
      <x:c r="C904" s="22" t="str">
        <x:f>"0x0386"</x:f>
        <x:v>0x0386</x:v>
      </x:c>
      <x:c r="D904" s="21" t="str">
        <x:v>&lt;CLEAR&gt;
石板には 古代文字が かかれている
ヨシオの たましいが おたけびをあげた!</x:v>
      </x:c>
      <x:c r="E904" s="19" t="str">
        <x:v>&lt;CLEAR&gt;Ancient writing covers the tablet.
Yoshio's soul gives a mighty roar!&lt;LINE&gt;</x:v>
      </x:c>
      <x:c r="F904" s="20" t="str"/>
      <x:c r="G904" s="20" t="str"/>
      <x:c r="H904" s="23" t="str">
        <x:v>CLEAR NEWLINE LINE END</x:v>
      </x:c>
      <x:c r="I904" s="23" t="str">
        <x:v>EA:FD92</x:v>
      </x:c>
      <x:c r="J904" s="23" t="str">
        <x:v>D0 41 6E 63 69 65 6E 74 01 77 72 69 74 69 6E 67 01 63 6F 76 65 72 73 01 74 68 65 01 74 61 62 6C 65 74 2E C8 59 6F 73 68 69 6F 27 73 01 73 6F 75 6C 01 67 69 76 65 73 01 61 01 6D 69 67 68 74 79 01 72 6F 61 72 21 C3 C0</x:v>
      </x:c>
      <x:c r="K904" s="23" t="str">
        <x:v>1D0 09D 147 025 029 001 096 09F 152 153 084 015 001 015 015 039 022 011 038 1C8 067 04D 046 028 001 01F 02E 01B 011 084 015 001 014 01F 018 084 02A 03C 010 084 018 01F 07A 1C3 1C0</x:v>
      </x:c>
    </x:row>
    <x:row r="905">
      <x:c r="A905" s="22" t="str">
        <x:f>"03"</x:f>
        <x:v>03</x:v>
      </x:c>
      <x:c r="B905" s="22" t="str">
        <x:f>"87"</x:f>
        <x:v>87</x:v>
      </x:c>
      <x:c r="C905" s="22" t="str">
        <x:f>"0x0387"</x:f>
        <x:v>0x0387</x:v>
      </x:c>
      <x:c r="D905" s="21" t="str">
        <x:v>&lt;SPEAKER&gt;「いつの日か おとずれる
いだいなる 後継者へ&lt;WAIT&gt;&lt;SPEAKER&gt;「巨大な 魔物どもに
とうとう かこまれてしまった&lt;WAIT&gt;&lt;SPEAKER&gt;「ここで みずから つくった
化け物どもに 食われてしまっては
&lt;ICON_170&gt;&lt;ICON_171&gt;&lt;ICON_172&gt;&lt;ICON_173&gt;&lt;ICON_1AF&gt;&lt;ICON_174&gt;の 名がすたる・・・&lt;WAIT&gt;&lt;SPEAKER&gt;「・・・ここから 下は
かけてますな</x:v>
      </x:c>
      <x:c r="E905" s="19" t="str">
        <x:v>&lt;SPEAKER&gt;To the great successor
who will one day come here...&lt;WAIT&gt;&lt;SPEAKER&gt;I have finally
been surrounded by the
giant monsters I created.&lt;WAIT&gt;&lt;SPEAKER&gt;If I am eaten by
my own creations, my very
name will be disgraced...&lt;WAIT&gt;&lt;SPEAKER&gt;...The tablet
is broken below here.</x:v>
      </x:c>
      <x:c r="F905" s="20" t="str"/>
      <x:c r="G905" s="20" t="str"/>
      <x:c r="H905" s="23" t="str">
        <x:v>SPEAKER NEWLINE WAIT SPEAKER NEWLINE NEWLINE WAIT SPEAKER NEWLINE NEWLINE WAIT SPEAKER NEWLINE END</x:v>
      </x:c>
      <x:c r="I905" s="23" t="str">
        <x:v>EA:FDDA</x:v>
      </x:c>
      <x:c r="J905" s="23" t="str">
        <x:v>CC 54 6F 01 74 68 65 01 67 72 65 61 74 01 73 75 63 63 65 73 73 6F 72 C8 77 68 6F 01 77 69 6C 6C 01 6F 6E 65 01 64 61 79 01 63 6F 6D 65 01 68 65 72 65 2E 2E 2E C5 CC 49 01 68 61 76 65 01 66 69 6E 61 6C 6C 79 C8 62 65 65 6E 01 73 75 72 72 6F 75 6E 64 65 64 01 62 79 01 74 68 65 C8 67 69 61 6E 74 01 6D 6F 6E 73 74 65 72 73 01 49 01 63 72 65 61 74 65 64 2E C5 CC 49 66 01 49 01 61 6D 01 65 61 74 65 6E 01 62 79 C8 6D 79 01 6F 77 6E 01 63 72 65 61 74 69 6F 6E 73 2C 01 6D 79 01 76 65 72 79 C8 6E 61 6D 65 01 77 69 6C 6C 01 62 65 01 64 69 73 67 72 61 63 65 64 2E 2E 2E C5 CC 2E 2E 2E 54 68 65 01 74 61 62 6C 65 74 C8 69 73 01 62 72 6F 6B 65 6E 01 62 65 6C 6F 77 01 68 65 72 65 2E C0</x:v>
      </x:c>
      <x:c r="K905" s="23" t="str">
        <x:v>1CC 011 021 028 120 015 001 014 023 084 01C 039 038 1C8 011 084 01F 011 024 038 001 1A6 1A5 0A7 02C 1C5 1CC 0CC 0AC 024 001 09A 08B 084 023 032 025 1C8 023 012 023 012 001 015 019 02E 039 022 01B 02E 03E 01F 1C5 1CC 019 019 084 022 001 02F 084 01C 015 036 001 021 017 03E 01F 1C8 09E 018 08B 084 023 032 025 001 0E4 03B 039 022 01B 02E 03E 022 029 1C8 170 171 172 173 1AF 174 028 001 0CD 084 015 01C 01F 038 081 081 081 1C5 1CC 081 081 081 019 019 015 036 001 0B8 029 1C8 015 018 022 02E 01C 024 1C0</x:v>
      </x:c>
    </x:row>
    <x:row r="906">
      <x:c r="A906" s="22" t="str">
        <x:f>"03"</x:f>
        <x:v>03</x:v>
      </x:c>
      <x:c r="B906" s="22" t="str">
        <x:f>"88"</x:f>
        <x:v>88</x:v>
      </x:c>
      <x:c r="C906" s="22" t="str">
        <x:f>"0x0388"</x:f>
        <x:v>0x0388</x:v>
      </x:c>
      <x:c r="D906" s="21" t="str">
        <x:v>&lt;CLEAR&gt;
ボールをささげる 台がある
石板とおなじ 古代文字が
しるされている&lt;WAIT&gt;
&lt;CLEAR&gt;
「ボールをささげ わが名を しめすべし</x:v>
      </x:c>
      <x:c r="E906" s="19" t="str">
        <x:v>&lt;CLEAR&gt;There is a pedestal for offering
a ball. It bears the same
ancient writing as the tablet.&lt;WAIT&gt;&lt;CLEAR&gt;"OFFER THE BALL AND
REVEAL MY NAME."</x:v>
      </x:c>
      <x:c r="F906" s="20" t="str"/>
      <x:c r="G906" s="20" t="str"/>
      <x:c r="H906" s="23" t="str">
        <x:v>CLEAR NEWLINE NEWLINE WAIT CLEAR NEWLINE END</x:v>
      </x:c>
      <x:c r="I906" s="23" t="str">
        <x:v>EA:FEBC</x:v>
      </x:c>
      <x:c r="J906" s="23" t="str">
        <x:v>D0 54 68 65 72 65 01 69 73 01 61 01 70 65 64 65 73 74 61 6C 01 66 6F 72 01 6F 66 66 65 72 69 6E 67 C8 61 01 62 61 6C 6C 2E 01 49 74 01 62 65 61 72 73 01 74 68 65 01 73 61 6D 65 C8 61 6E 63 69 65 6E 74 01 77 72 69 74 69 6E 67 01 61 73 01 74 68 65 01 74 61 62 6C 65 74 2E C5 D0 22 4F 46 46 45 52 01 54 48 45 01 42 41 4C 4C 01 41 4E 44 C8 52 45 56 45 41 4C 01 4D 59 01 4E 41 4D 45 2E 22 C0</x:v>
      </x:c>
      <x:c r="K906" s="23" t="str">
        <x:v>1D0 084 05F 078 06A 03C 01A 01A 084 018 038 001 1B7 084 015 010 038 1C8 09D 147 023 014 024 084 01B 001 096 09F 152 153 084 015 1C8 01B 038 01A 039 022 011 038 1C5 1D0 07D 084 05F 078 06A 03C 01A 01A 084 018 001 03B 084 015 0CD 03C 001 01B 031 01C 084 02C 01B 1C0</x:v>
      </x:c>
    </x:row>
    <x:row r="907">
      <x:c r="A907" s="22" t="str">
        <x:f>"03"</x:f>
        <x:v>03</x:v>
      </x:c>
      <x:c r="B907" s="22" t="str">
        <x:f>"89"</x:f>
        <x:v>89</x:v>
      </x:c>
      <x:c r="C907" s="22" t="str">
        <x:f>"0x0389"</x:f>
        <x:v>0x0389</x:v>
      </x:c>
      <x:c r="D907" s="21" t="str">
        <x:v>&lt;CLEAR&gt;
ヨシオの たましいが おたけびをあげた!</x:v>
      </x:c>
      <x:c r="E907" s="19" t="str">
        <x:v>&lt;CLEAR&gt;Yoshio's soul lets
out a mighty roar!</x:v>
      </x:c>
      <x:c r="F907" s="20" t="str"/>
      <x:c r="G907" s="20" t="str"/>
      <x:c r="H907" s="23" t="str">
        <x:v>CLEAR NEWLINE END</x:v>
      </x:c>
      <x:c r="I907" s="23" t="str">
        <x:v>EA:FF3D</x:v>
      </x:c>
      <x:c r="J907" s="23" t="str">
        <x:v>D0 59 6F 73 68 69 6F 27 73 01 73 6F 75 6C 01 6C 65 74 73 C8 6F 75 74 01 61 01 6D 69 67 68 74 79 01 72 6F 61 72 21 C0</x:v>
      </x:c>
      <x:c r="K907" s="23" t="str">
        <x:v>1D0 067 04D 046 028 001 01F 02E 01B 011 084 015 001 014 01F 018 084 02A 03C 010 084 018 01F 07A 1C0</x:v>
      </x:c>
    </x:row>
    <x:row r="908">
      <x:c r="A908" s="22" t="str">
        <x:f>"03"</x:f>
        <x:v>03</x:v>
      </x:c>
      <x:c r="B908" s="22" t="str">
        <x:f>"8A"</x:f>
        <x:v>8A</x:v>
      </x:c>
      <x:c r="C908" s="22" t="str">
        <x:f>"0x038A"</x:f>
        <x:v>0x038A</x:v>
      </x:c>
      <x:c r="D908" s="21" t="str">
        <x:v>&lt;SPEAKER&gt;「うおおー・・・
お嬢さま・・・
わしの意見を 聞いてくだされ・・・</x:v>
      </x:c>
      <x:c r="E908" s="19" t="str">
        <x:v>&lt;SPEAKER&gt;Oooooh... Lady...
Please listen to my opinion...</x:v>
      </x:c>
      <x:c r="F908" s="20" t="str"/>
      <x:c r="G908" s="20" t="str"/>
      <x:c r="H908" s="23" t="str">
        <x:v>SPEAKER NEWLINE END</x:v>
      </x:c>
      <x:c r="I908" s="23" t="str">
        <x:v>EA:FF64</x:v>
      </x:c>
      <x:c r="J908" s="23" t="str">
        <x:v>CC 4F 6F 6F 6F 6F 68 2E 2E 2E 01 4C 61 64 79 2E 2E 2E C8 50 6C 65 61 73 65 01 6C 69 73 74 65 6E 01 74 6F 01 6D 79 01 6F 70 69 6E 69 6F 6E 2E 2E 2E C0</x:v>
      </x:c>
      <x:c r="K908" s="23" t="str">
        <x:v>1CC 012 014 014 078 081 081 081 1C8 014 0D8 01A 02E 081 081 081 1C8 03B 01B 028 131 090 03C 001 0A6 011 022 017 084 01F 01A 039 081 081 081 1C0</x:v>
      </x:c>
    </x:row>
    <x:row r="909">
      <x:c r="A909" s="22" t="str">
        <x:f>"03"</x:f>
        <x:v>03</x:v>
      </x:c>
      <x:c r="B909" s="22" t="str">
        <x:f>"8B"</x:f>
        <x:v>8B</x:v>
      </x:c>
      <x:c r="C909" s="22" t="str">
        <x:f>"0x038B"</x:f>
        <x:v>0x038B</x:v>
      </x:c>
      <x:c r="D909" s="21" t="str">
        <x:v>&lt;CLEAR&gt;
ヨシオの意見を 聞きますか?</x:v>
      </x:c>
      <x:c r="E909" s="19" t="str">
        <x:v>&lt;CLEAR&gt;Listen to Yoshio's opinion?</x:v>
      </x:c>
      <x:c r="F909" s="20" t="str"/>
      <x:c r="G909" s="20" t="str"/>
      <x:c r="H909" s="23" t="str">
        <x:v>CLEAR END</x:v>
      </x:c>
      <x:c r="I909" s="23" t="str">
        <x:v>EA:FF96</x:v>
      </x:c>
      <x:c r="J909" s="23" t="str">
        <x:v>D0 4C 69 73 74 65 6E 01 74 6F 01 59 6F 73 68 69 6F 27 73 01 6F 70 69 6E 69 6F 6E 3F C0</x:v>
      </x:c>
      <x:c r="K909" s="23" t="str">
        <x:v>1D0 067 04D 046 028 131 090 03C 001 0A6 016 02E 01C 015 079 1C0</x:v>
      </x:c>
    </x:row>
    <x:row r="910">
      <x:c r="A910" s="22" t="str">
        <x:f>"03"</x:f>
        <x:v>03</x:v>
      </x:c>
      <x:c r="B910" s="22" t="str">
        <x:f>"8C"</x:f>
        <x:v>8C</x:v>
      </x:c>
      <x:c r="C910" s="22" t="str">
        <x:f>"0x038C"</x:f>
        <x:v>0x038C</x:v>
      </x:c>
      <x:c r="D910" s="21" t="str">
        <x:v>&lt;SPEAKER&gt;「なんらかの方法で 誰かの名前を
あらわし しかるのちに ここに
ボールをおけ ということでしょうな</x:v>
      </x:c>
      <x:c r="E910" s="19" t="str">
        <x:v>&lt;SPEAKER&gt;It says to show
someone's name somehow,
then place the ball here.</x:v>
      </x:c>
      <x:c r="F910" s="20" t="str"/>
      <x:c r="G910" s="20" t="str"/>
      <x:c r="H910" s="23" t="str">
        <x:v>SPEAKER NEWLINE NEWLINE END</x:v>
      </x:c>
      <x:c r="I910" s="23" t="str">
        <x:v>EA:FFB3</x:v>
      </x:c>
      <x:c r="J910" s="23" t="str">
        <x:v>CC 49 74 01 73 61 79 73 01 74 6F 01 73 68 6F 77 C8 73 6F 6D 65 6F 6E 65 27 73 01 6E 61 6D 65 01 73 6F 6D 65 68 6F 77 2C C8 74 68 65 6E 01 70 6C 61 63 65 01 74 68 65 01 62 61 6C 6C 01 68 65 72 65 2E C0</x:v>
      </x:c>
      <x:c r="K910" s="23" t="str">
        <x:v>1CC 024 03D 036 015 028 0B9 157 084 022 001 0FA 015 028 0CD 0C3 03C 1C8 010 036 03B 01B 001 01B 015 038 028 020 025 001 019 019 025 1C8 084 05F 078 06A 03C 014 018 001 023 011 012 019 023 084 022 01B 041 012 024 1C0</x:v>
      </x:c>
    </x:row>
    <x:row r="911">
      <x:c r="A911" s="22" t="str">
        <x:f>"03"</x:f>
        <x:v>03</x:v>
      </x:c>
      <x:c r="B911" s="22" t="str">
        <x:f>"8D"</x:f>
        <x:v>8D</x:v>
      </x:c>
      <x:c r="C911" s="22" t="str">
        <x:f>"0x038D"</x:f>
        <x:v>0x038D</x:v>
      </x:c>
      <x:c r="D911" s="21" t="str">
        <x:v>&lt;CLEAR&gt;
もっと ヨシオの意見を 聞きますか?</x:v>
      </x:c>
      <x:c r="E911" s="19" t="str">
        <x:v>&lt;CLEAR&gt;Hear more of Yoshio's opinion?</x:v>
      </x:c>
      <x:c r="F911" s="20" t="str"/>
      <x:c r="G911" s="20" t="str"/>
      <x:c r="H911" s="23" t="str">
        <x:v>CLEAR END</x:v>
      </x:c>
      <x:c r="I911" s="23" t="str">
        <x:v>E9:4000</x:v>
      </x:c>
      <x:c r="J911" s="23" t="str">
        <x:v>D0 48 65 61 72 01 6D 6F 72 65 01 6F 66 01 59 6F 73 68 69 6F 27 73 01 6F 70 69 6E 69 6F 6E 3F C0</x:v>
      </x:c>
      <x:c r="K911" s="23" t="str">
        <x:v>1D0 032 03E 023 001 067 04D 046 028 131 090 03C 001 0A6 016 02E 01C 015 079 1C0</x:v>
      </x:c>
    </x:row>
    <x:row r="912">
      <x:c r="A912" s="22" t="str">
        <x:f>"03"</x:f>
        <x:v>03</x:v>
      </x:c>
      <x:c r="B912" s="22" t="str">
        <x:f>"8E"</x:f>
        <x:v>8E</x:v>
      </x:c>
      <x:c r="C912" s="22" t="str">
        <x:f>"0x038E"</x:f>
        <x:v>0x038E</x:v>
      </x:c>
      <x:c r="D912" s="21" t="str">
        <x:v>&lt;SPEAKER&gt;「このばあい 誰か というのは
とうぜん キングバロンでしょう&lt;WAIT&gt;&lt;SPEAKER&gt;「もんだいは いかにして
ということですが・・・</x:v>
      </x:c>
      <x:c r="E912" s="19" t="str">
        <x:v>&lt;SPEAKER&gt;In this case, that someone
must obviously be King Baron.&lt;WAIT&gt;&lt;SPEAKER&gt;The question
is how to display it...</x:v>
      </x:c>
      <x:c r="F912" s="20" t="str"/>
      <x:c r="G912" s="20" t="str"/>
      <x:c r="H912" s="23" t="str">
        <x:v>SPEAKER NEWLINE WAIT SPEAKER NEWLINE END</x:v>
      </x:c>
      <x:c r="I912" s="23" t="str">
        <x:v>E9:4020</x:v>
      </x:c>
      <x:c r="J912" s="23" t="str">
        <x:v>CC 49 6E 01 74 68 69 73 01 63 61 73 65 2C 01 74 68 61 74 01 73 6F 6D 65 6F 6E 65 C8 6D 75 73 74 01 6F 62 76 69 6F 75 73 6C 79 01 62 65 01 4B 69 6E 67 01 42 61 72 6F 6E 2E C5 CC 54 68 65 01 71 75 65 73 74 69 6F 6E C8 69 73 01 68 6F 77 01 74 6F 01 64 69 73 70 6C 61 79 01 69 74 2E 2E 2E C0</x:v>
      </x:c>
      <x:c r="K912" s="23" t="str">
        <x:v>1CC 019 028 084 029 010 011 001 0FA 015 001 023 011 012 028 029 1C8 023 012 084 01D 03D 001 048 06F 084 049 084 05B 06C 06F 084 022 01B 041 012 1C5 1CC 032 03D 084 01F 011 029 001 011 015 025 01B 022 1C8 023 011 012 019 023 084 022 01C 084 015 081 081 081 1C0</x:v>
      </x:c>
    </x:row>
    <x:row r="913">
      <x:c r="A913" s="22" t="str">
        <x:f>"03"</x:f>
        <x:v>03</x:v>
      </x:c>
      <x:c r="B913" s="22" t="str">
        <x:f>"8F"</x:f>
        <x:v>8F</x:v>
      </x:c>
      <x:c r="C913" s="22" t="str">
        <x:f>"0x038F"</x:f>
        <x:v>0x038F</x:v>
      </x:c>
      <x:c r="D913" s="21" t="str">
        <x:v>&lt;SPEAKER&gt;「ゆかの もようは
古代文字を モチーフに
しておるようです&lt;WAIT&gt;&lt;SPEAKER&gt;「さてと・・・ どこかに
古代文字で キングバロンと
かいて ありませんでしたかな?</x:v>
      </x:c>
      <x:c r="E913" s="19" t="str">
        <x:v>&lt;SPEAKER&gt;The floor pattern
seems to use ancient
characters as its motif.&lt;WAIT&gt;&lt;SPEAKER&gt;Now then... Was King
Baron written in ancient
characters somewhere?</x:v>
      </x:c>
      <x:c r="F913" s="20" t="str"/>
      <x:c r="G913" s="20" t="str"/>
      <x:c r="H913" s="23" t="str">
        <x:v>SPEAKER NEWLINE NEWLINE WAIT SPEAKER NEWLINE NEWLINE END</x:v>
      </x:c>
      <x:c r="I913" s="23" t="str">
        <x:v>E9:4080</x:v>
      </x:c>
      <x:c r="J913" s="23" t="str">
        <x:v>CC 54 68 65 01 66 6C 6F 6F 72 01 70 61 74 74 65 72 6E C8 73 65 65 6D 73 01 74 6F 01 75 73 65 01 61 6E 63 69 65 6E 74 C8 63 68 61 72 61 63 74 65 72 73 01 61 73 01 69 74 73 01 6D 6F 74 69 66 2E C5 CC 4E 6F 77 01 74 68 65 6E 2E 2E 2E 01 57 61 73 01 4B 69 6E 67 C8 42 61 72 6F 6E 01 77 72 69 74 74 65 6E 01 69 6E 01 61 6E 63 69 65 6E 74 C8 63 68 61 72 61 63 74 65 72 73 01 73 6F 6D 65 77 68 65 72 65 3F C0</x:v>
      </x:c>
      <x:c r="K913" s="23" t="str">
        <x:v>1CC 034 015 028 001 032 035 012 029 1C8 096 09F 152 153 03C 001 064 052 078 05D 025 1C8 01B 022 014 038 035 012 084 022 01C 1C5 1CC 01A 022 023 081 081 081 001 084 023 019 015 025 1C8 096 09F 152 153 084 022 001 048 06F 084 049 084 05B 06C 06F 023 1C8 015 011 022 001 010 037 02E 01D 03D 084 022 01B 01F 015 024 079 1C0</x:v>
      </x:c>
    </x:row>
    <x:row r="914">
      <x:c r="A914" s="22" t="str">
        <x:f>"03"</x:f>
        <x:v>03</x:v>
      </x:c>
      <x:c r="B914" s="22" t="str">
        <x:f>"90"</x:f>
        <x:v>90</x:v>
      </x:c>
      <x:c r="C914" s="22" t="str">
        <x:f>"0x0390"</x:f>
        <x:v>0x0390</x:v>
      </x:c>
      <x:c r="D914" s="21" t="str">
        <x:v>&lt;SPEAKER&gt;「ドラゴンの石像が 6つ
おちておりますな&lt;WAIT&gt;&lt;SPEAKER&gt;「キングバロンという 名前も
古代文字でかけば 6文字
はたして ぐうぜんでしょうかな?</x:v>
      </x:c>
      <x:c r="E914" s="19" t="str">
        <x:v>&lt;SPEAKER&gt;There are
six dragon statues.&lt;WAIT&gt;&lt;SPEAKER&gt;King Baron is six
symbols in the ancient script
too. Coincidence, I wonder?</x:v>
      </x:c>
      <x:c r="F914" s="20" t="str"/>
      <x:c r="G914" s="20" t="str"/>
      <x:c r="H914" s="23" t="str">
        <x:v>SPEAKER NEWLINE WAIT SPEAKER NEWLINE NEWLINE END</x:v>
      </x:c>
      <x:c r="I914" s="23" t="str">
        <x:v>E9:4106</x:v>
      </x:c>
      <x:c r="J914" s="23" t="str">
        <x:v>CC 54 68 65 72 65 01 61 72 65 C8 73 69 78 01 64 72 61 67 6F 6E 01 73 74 61 74 75 65 73 2E C5 CC 4B 69 6E 67 01 42 61 72 6F 6E 01 69 73 01 73 69 78 C8 73 79 6D 62 6F 6C 73 01 69 6E 01 74 68 65 01 61 6E 63 69 65 6E 74 01 73 63 72 69 70 74 C8 74 6F 6F 2E 01 43 6F 69 6E 63 69 64 65 6E 63 65 2C 01 49 01 77 6F 6E 64 65 72 3F C0</x:v>
      </x:c>
      <x:c r="K914" s="23" t="str">
        <x:v>1CC 084 055 068 084 04B 06F 028 09D 159 084 015 001 008 021 1C8 014 020 022 014 037 02E 01C 024 1C5 1CC 048 06F 084 049 084 05B 06C 06F 023 011 012 001 0CD 0C3 032 1C8 096 09F 152 153 084 022 015 018 084 029 001 008 152 153 1C8 029 01F 01B 022 001 084 017 012 084 01D 03D 084 022 01B 041 012 015 024 079 1C0</x:v>
      </x:c>
    </x:row>
    <x:row r="915">
      <x:c r="A915" s="22" t="str">
        <x:f>"03"</x:f>
        <x:v>03</x:v>
      </x:c>
      <x:c r="B915" s="22" t="str">
        <x:f>"91"</x:f>
        <x:v>91</x:v>
      </x:c>
      <x:c r="C915" s="22" t="str">
        <x:f>"0x0391"</x:f>
        <x:v>0x0391</x:v>
      </x:c>
      <x:c r="D915" s="21" t="str">
        <x:v>&lt;SPEAKER&gt;「石板には ガヌビスに
名前を しめせ・・・
と ありましたな&lt;WAIT&gt;&lt;SPEAKER&gt;「さいだんの上に ずらっと
ならんでいるのが その
ガヌビスの像です&lt;WAIT&gt;&lt;SPEAKER&gt;「像から見て 読めるように・・・
というふうに とるべきでしょうな</x:v>
      </x:c>
      <x:c r="E915" s="19" t="str">
        <x:v>&lt;SPEAKER&gt;The tablet said to
reveal the name to Ganubis.&lt;WAIT&gt;&lt;SPEAKER&gt;Those statues
lined across the altar are
the figures of Ganubis.&lt;WAIT&gt;&lt;SPEAKER&gt;So I think the
name must be arranged so
the statues can read it.</x:v>
      </x:c>
      <x:c r="F915" s="20" t="str"/>
      <x:c r="G915" s="20" t="str"/>
      <x:c r="H915" s="23" t="str">
        <x:v>SPEAKER NEWLINE WAIT SPEAKER NEWLINE NEWLINE WAIT SPEAKER NEWLINE NEWLINE END</x:v>
      </x:c>
      <x:c r="I915" s="23" t="str">
        <x:v>E9:4172</x:v>
      </x:c>
      <x:c r="J915" s="23" t="str">
        <x:v>CC 54 68 65 01 74 61 62 6C 65 74 01 73 61 69 64 01 74 6F C8 72 65 76 65 61 6C 01 74 68 65 01 6E 61 6D 65 01 74 6F 01 47 61 6E 75 62 69 73 2E C5 CC 54 68 6F 73 65 01 73 74 61 74 75 65 73 C8 6C 69 6E 65 64 01 61 63 72 6F 73 73 01 74 68 65 01 61 6C 74 61 72 01 61 72 65 C8 74 68 65 01 66 69 67 75 72 65 73 01 6F 66 01 47 61 6E 75 62 69 73 2E C5 CC 53 6F 01 49 01 74 68 69 6E 6B 01 74 68 65 C8 6E 61 6D 65 01 6D 75 73 74 01 62 65 01 61 72 72 61 6E 67 65 64 01 73 6F C8 74 68 65 01 73 74 61 74 75 65 73 01 63 61 6E 01 72 65 61 64 01 69 74 2E C0</x:v>
      </x:c>
      <x:c r="K915" s="23" t="str">
        <x:v>1CC 09D 147 025 029 001 084 047 058 084 05C 04E 025 1C8 0CD 0C3 03C 001 01B 031 01D 081 081 081 1C8 023 001 010 037 02E 01B 01F 024 1C5 1CC 01A 011 084 01F 03D 028 128 025 001 084 01C 036 03E 023 1C8 024 036 03D 084 022 011 038 028 084 015 001 01E 028 1C8 084 047 058 084 05C 04E 028 159 084 022 01C 1C5 1CC 159 015 036 090 022 001 118 031 038 035 012 025 081 081 081 1C8 023 011 012 02B 012 025 001 023 038 084 02C 016 084 022 01B 041 012 024 1C0</x:v>
      </x:c>
    </x:row>
    <x:row r="916">
      <x:c r="A916" s="22" t="str">
        <x:f>"03"</x:f>
        <x:v>03</x:v>
      </x:c>
      <x:c r="B916" s="22" t="str">
        <x:f>"92"</x:f>
        <x:v>92</x:v>
      </x:c>
      <x:c r="C916" s="22" t="str">
        <x:f>"0x0392"</x:f>
        <x:v>0x0392</x:v>
      </x:c>
      <x:c r="D916" s="21" t="str">
        <x:v>&lt;CLEAR&gt;
ヨシオは はなしつかれて
かたで いきをしている
&lt;WAIT&gt;
&lt;CLEAR&gt;
すこし 休ませてあげないと
いけないようだ・・・</x:v>
      </x:c>
      <x:c r="E916" s="19" t="str">
        <x:v>&lt;CLEAR&gt;Yoshio is exhausted from
talking and breathing heavily.&lt;LINE&gt;&lt;WAIT&gt;&lt;CLEAR&gt;You should let him
rest for a while...&lt;LINE&gt;</x:v>
      </x:c>
      <x:c r="F916" s="20" t="str"/>
      <x:c r="G916" s="20" t="str"/>
      <x:c r="H916" s="23" t="str">
        <x:v>CLEAR NEWLINE LINE WAIT CLEAR NEWLINE LINE END</x:v>
      </x:c>
      <x:c r="I916" s="23" t="str">
        <x:v>E9:4226</x:v>
      </x:c>
      <x:c r="J916" s="23" t="str">
        <x:v>D0 59 6F 73 68 69 6F 01 69 73 01 65 78 68 61 75 73 74 65 64 01 66 72 6F 6D C8 74 61 6C 6B 69 6E 67 01 61 6E 64 01 62 72 65 61 74 68 69 6E 67 01 68 65 61 76 69 6C 79 2E C3 C5 D0 59 6F 75 01 73 68 6F 75 6C 64 01 6C 65 74 01 68 69 6D C8 72 65 73 74 01 66 6F 72 01 61 01 77 68 69 6C 65 2E 2E 2E C3 C0</x:v>
      </x:c>
      <x:c r="K916" s="23" t="str">
        <x:v>1D0 067 04D 046 029 001 029 024 01B 021 015 039 022 1C8 015 01F 084 022 001 011 016 03C 01B 022 011 038 1C3 1C5 1D0 01C 019 01B 001 140 02E 01D 022 010 084 018 024 011 023 1C8 011 018 024 011 035 012 084 01F 081 081 081 1C3 1C0</x:v>
      </x:c>
    </x:row>
    <x:row r="917">
      <x:c r="A917" s="22" t="str">
        <x:f>"03"</x:f>
        <x:v>03</x:v>
      </x:c>
      <x:c r="B917" s="22" t="str">
        <x:f>"93"</x:f>
        <x:v>93</x:v>
      </x:c>
      <x:c r="C917" s="22" t="str">
        <x:f>"0x0393"</x:f>
        <x:v>0x0393</x:v>
      </x:c>
      <x:c r="D917" s="21" t="str">
        <x:v>&lt;CLEAR&gt;
ボールをささげる 台がある
ホワイトボールが ささげられている</x:v>
      </x:c>
      <x:c r="E917" s="19" t="str">
        <x:v>&lt;CLEAR&gt;There is a pedestal for offering
a ball. A White Ball rests on it.</x:v>
      </x:c>
      <x:c r="F917" s="20" t="str"/>
      <x:c r="G917" s="20" t="str"/>
      <x:c r="H917" s="23" t="str">
        <x:v>CLEAR NEWLINE END</x:v>
      </x:c>
      <x:c r="I917" s="23" t="str">
        <x:v>E9:4289</x:v>
      </x:c>
      <x:c r="J917" s="23" t="str">
        <x:v>D0 54 68 65 72 65 01 69 73 01 61 01 70 65 64 65 73 74 61 6C 01 66 6F 72 01 6F 66 66 65 72 69 6E 67 C8 61 01 62 61 6C 6C 2E 01 41 01 57 68 69 74 65 01 42 61 6C 6C 01 72 65 73 74 73 01 6F 6E 01 69 74 2E C0</x:v>
      </x:c>
      <x:c r="K917" s="23" t="str">
        <x:v>1D0 084 05F 078 06A 03C 01A 01A 084 018 038 001 1B7 084 015 010 038 1C8 05F 06D 043 055 084 05F 078 06A 084 015 001 01A 01A 084 018 036 039 022 011 038 1C0</x:v>
      </x:c>
    </x:row>
    <x:row r="918">
      <x:c r="A918" s="22" t="str">
        <x:f>"03"</x:f>
        <x:v>03</x:v>
      </x:c>
      <x:c r="B918" s="22" t="str">
        <x:f>"94"</x:f>
        <x:v>94</x:v>
      </x:c>
      <x:c r="C918" s="22" t="str">
        <x:f>"0x0394"</x:f>
        <x:v>0x0394</x:v>
      </x:c>
      <x:c r="D918" s="21" t="str">
        <x:v>&lt;SPEAKER&gt;「やあ しばらくです お嬢さん
そのせつは どうも
お世話になりまして・・・&lt;WAIT&gt;&lt;SPEAKER&gt;「わたし ラムスの塔の神官です&lt;WAIT&gt;&lt;SPEAKER&gt;「ラムス王が ゆめを はたされたので
わたしも 塔の呪いから
解きはなたれたのですが・・・&lt;WAIT&gt;&lt;SPEAKER&gt;「なんだか お嬢さんの
これからが 気になって 気になって
おちつかないんですよ&lt;WAIT&gt;&lt;SPEAKER&gt;「で ラムス王に たのんで
天に めされる前に ここまで
はこんでもらったんです&lt;WAIT&gt;&lt;SPEAKER&gt;「あんな みがってな人でも
200年も つかえてみると
けっこう いいとこ あるもんです&lt;WAIT&gt;&lt;SPEAKER&gt;「おかげで わたしも お嬢さんに
おんがえしが できるというものです
させてくれますよね?&lt;WAIT&gt;&lt;SPEAKER&gt;「では そういうことで
今後とも よろしく
えー オホン それでは</x:v>
      </x:c>
      <x:c r="E918" s="19" t="str">
        <x:v>&lt;SPEAKER&gt;Ah, young lady! Been a
while. Thank you for before...&lt;WAIT&gt;&lt;SPEAKER&gt;I'm the priest
from Ramus Tower.&lt;WAIT&gt;&lt;SPEAKER&gt;King Ramus
fulfilled his dream, so the
tower's curse freed me.&lt;WAIT&gt;&lt;SPEAKER&gt;But I couldn't stop
worrying about what awaited you.&lt;WAIT&gt;&lt;SPEAKER&gt;So I asked King
Ramus to bring me here
before he went to heaven.&lt;WAIT&gt;&lt;SPEAKER&gt;He was selfish, but
after 200 years of serving
him, I saw his good side too.&lt;WAIT&gt;&lt;SPEAKER&gt;Now I can repay my
debt to you. You'll let me, right?&lt;WAIT&gt;&lt;SPEAKER&gt;Then it's settled.
I look forward to helping
you. Ahem... Now then...</x:v>
      </x:c>
      <x:c r="F918" s="20" t="str"/>
      <x:c r="G918" s="20" t="str"/>
      <x:c r="H918" s="23" t="str">
        <x:v>SPEAKER NEWLINE WAIT SPEAKER NEWLINE WAIT SPEAKER NEWLINE NEWLINE WAIT SPEAKER NEWLINE WAIT SPEAKER NEWLINE NEWLINE WAIT SPEAKER NEWLINE NEWLINE WAIT SPEAKER NEWLINE WAIT SPEAKER NEWLINE NEWLINE END</x:v>
      </x:c>
      <x:c r="I918" s="23" t="str">
        <x:v>E9:42CD</x:v>
      </x:c>
      <x:c r="J918" s="23" t="str">
        <x:v>CC 41 68 2C 01 79 6F 75 6E 67 01 6C 61 64 79 21 01 42 65 65 6E 01 61 C8 77 68 69 6C 65 2E 01 54 68 61 6E 6B 01 79 6F 75 01 66 6F 72 01 62 65 66 6F 72 65 2E 2E 2E C5 CC 49 27 6D 01 74 68 65 01 70 72 69 65 73 74 C8 66 72 6F 6D 01 52 61 6D 75 73 01 54 6F 77 65 72 2E C5 CC 4B 69 6E 67 01 52 61 6D 75 73 C8 66 75 6C 66 69 6C 6C 65 64 01 68 69 73 01 64 72 65 61 6D 2C 01 73 6F 01 74 68 65 C8 74 6F 77 65 72 27 73 01 63 75 72 73 65 01 66 72 65 65 64 01 6D 65 2E C5 CC 42 75 74 01 49 01 63 6F 75 6C 64 6E 27 74 01 73 74 6F 70 C8 77 6F 72 72 79 69 6E 67 01 61 62 6F 75 74 01 77 68 61 74 01 61 77 61 69 74 65 64 01 79 6F 75 2E C5 CC 53 6F 01 49 01 61 73 6B 65 64 01 4B 69 6E 67 C8 52 61 6D 75 73 01 74 6F 01 62 72 69 6E 67 01 6D 65 01 68 65 72 65 C8 62 65 66 6F 72 65 01 68 65 01 77 65 6E 74 01 74 6F 01 68 65 61 76 65 6E 2E C5 CC 48 65 01 77 61 73 01 73 65 6C 66 69 73 68 2C 01 62 75 74 C8 61 66 74 65 72 01 32 30 30 01 79 65 61 72 73 01 6F 66 01 73 65 72 76 69 6E 67 C8 68 69 6D 2C 01 49 01 73 61 77 01 68 69 73 01 67 6F 6F 64 01 73 69 64 65 01 74 6F 6F 2E C5 CC 4E 6F 77 01 49 01 63 61 6E 01 72 65 70 61 79 01 6D 79 C8 64 65 62 74 01 74 6F 01 79 6F 75 2E 01 59 6F 75 27 6C 6C 01 6C 65 74 01 6D 65 2C 01 72 69 67 68 74 3F C5 CC 54 68 65 6E 01 69 74 27 73 01 73 65 74 74 6C 65 64 2E C8 49 01 6C 6F 6F 6B 01 66 6F 72 77 61 72 64 01 74 6F 01 68 65 6C 70 69 6E 67 C8 79 6F 75 2E 01 41 68 65 6D 2E 2E 2E 01 4E 6F 77 01 74 68 65 6E 2E 2E 2E C0</x:v>
      </x:c>
      <x:c r="K918" s="23" t="str">
        <x:v>1CC 033 010 001 01B 084 029 036 017 084 022 01C 001 014 0D8 01A 03D 1C8 01E 028 01D 021 029 001 084 023 012 032 1C8 014 0A9 0A0 025 024 037 02E 01B 022 081 081 081 1C5 1CC 03B 01F 01B 001 068 062 04E 028 154 028 0DC 136 084 022 01C 1C5 1CC 068 062 04E 155 084 015 001 034 031 03C 001 029 01F 01A 039 01F 028 084 022 1C8 03B 01F 01B 032 001 154 028 12D 011 015 036 1C8 0FE 016 029 024 01F 039 01F 028 084 022 01C 084 015 081 081 081 1C5 1CC 024 03D 084 01F 015 001 014 0D8 01A 03D 028 1C8 019 039 015 036 084 015 001 099 025 024 03E 022 001 099 025 024 03E 022 1C8 014 020 021 015 024 011 03D 084 022 01C 035 1C5 1CC 084 022 001 068 062 04E 155 025 001 01F 028 03D 084 022 1C8 0C5 025 001 031 01A 039 038 0C3 025 001 019 019 02E 084 022 1C8 029 019 03D 084 022 032 036 03E 01F 03D 084 022 01C 1C5 1CC 010 03D 024 001 02F 084 015 03E 022 024 091 084 022 032 1C8 004 002 002 0CA 032 001 021 015 013 022 02F 038 023 1C8 018 03E 019 012 001 011 011 023 019 001 010 038 032 03D 084 022 01C 1C5 1CC 014 015 084 018 084 022 001 03B 01F 01B 032 001 014 0D8 01A 03D 025 1C8 014 03D 084 015 013 01B 084 015 001 084 022 016 038 023 011 012 032 028 084 022 01C 1C8 01A 01D 022 017 039 02E 01C 035 027 079 1C5 1CC 084 022 029 001 01E 012 011 012 019 023 084 022 1C8 150 1A6 023 032 001 035 03A 01B 017 1C8 013 078 001 046 05F 06F 001 01E 039 084 022 029 1C0</x:v>
      </x:c>
    </x:row>
    <x:row r="919">
      <x:c r="A919" s="22" t="str">
        <x:f>"03"</x:f>
        <x:v>03</x:v>
      </x:c>
      <x:c r="B919" s="22" t="str">
        <x:f>"95"</x:f>
        <x:v>95</x:v>
      </x:c>
      <x:c r="C919" s="22" t="str">
        <x:f>"0x0395"</x:f>
        <x:v>0x0395</x:v>
      </x:c>
      <x:c r="D919" s="21" t="str">
        <x:v>&lt;CLEAR&gt;
ドラゴンの像がある&lt;WAIT&gt;
&lt;CLEAR&gt;
像は もう
何も かたろうとしない・・・</x:v>
      </x:c>
      <x:c r="E919" s="19" t="str">
        <x:v>&lt;CLEAR&gt;There is a dragon statue.&lt;WAIT&gt;&lt;CLEAR&gt;The statue has
nothing more to say...&lt;LINE&gt;</x:v>
      </x:c>
      <x:c r="F919" s="20" t="str"/>
      <x:c r="G919" s="20" t="str"/>
      <x:c r="H919" s="23" t="str">
        <x:v>CLEAR WAIT CLEAR NEWLINE LINE END</x:v>
      </x:c>
      <x:c r="I919" s="23" t="str">
        <x:v>E9:44AA</x:v>
      </x:c>
      <x:c r="J919" s="23" t="str">
        <x:v>D0 54 68 65 72 65 01 69 73 01 61 01 64 72 61 67 6F 6E 01 73 74 61 74 75 65 2E C5 D0 54 68 65 01 73 74 61 74 75 65 01 68 61 73 C8 6E 6F 74 68 69 6E 67 01 6D 6F 72 65 01 74 6F 01 73 61 79 2E 2E 2E C3 C0</x:v>
      </x:c>
      <x:c r="K919" s="23" t="str">
        <x:v>1D0 084 055 068 084 04B 06F 028 159 084 015 010 038 1C5 1D0 159 029 001 032 012 1C8 093 032 001 015 01F 03A 012 023 01B 024 011 081 081 081 1C3 1C0</x:v>
      </x:c>
    </x:row>
    <x:row r="920">
      <x:c r="A920" s="22" t="str">
        <x:f>"03"</x:f>
        <x:v>03</x:v>
      </x:c>
      <x:c r="B920" s="22" t="str">
        <x:f>"96"</x:f>
        <x:v>96</x:v>
      </x:c>
      <x:c r="C920" s="22" t="str">
        <x:f>"0x0396"</x:f>
        <x:v>0x0396</x:v>
      </x:c>
      <x:c r="D920" s="21" t="str">
        <x:v>&lt;SPEAKER&gt;「ひひひひひ・・・
絵を かんせいさせるのじゃ!
いひひひひ&lt;WAIT&gt;&lt;SPEAKER&gt;「絵が かんせいすれば
キングバロンさまが あんたを
ここから 出してくださるよ&lt;WAIT&gt;&lt;SPEAKER&gt;「いひひひひ・・・・・・
のたれ死にか 絵をかくかじゃ
いひひひひ・・・・・</x:v>
      </x:c>
      <x:c r="E920" s="19" t="str">
        <x:v>&lt;SPEAKER&gt;Hee hee hee...
Finish the painting!&lt;WAIT&gt;&lt;SPEAKER&gt;Once it is complete, King
Baron will let you out of here.&lt;WAIT&gt;&lt;SPEAKER&gt;Hee hee... Either finish the
picture or rot here until you die!</x:v>
      </x:c>
      <x:c r="F920" s="20" t="str"/>
      <x:c r="G920" s="20" t="str"/>
      <x:c r="H920" s="23" t="str">
        <x:v>SPEAKER NEWLINE WAIT SPEAKER NEWLINE WAIT SPEAKER NEWLINE END</x:v>
      </x:c>
      <x:c r="I920" s="23" t="str">
        <x:v>E9:44ED</x:v>
      </x:c>
      <x:c r="J920" s="23" t="str">
        <x:v>CC 48 65 65 01 68 65 65 01 68 65 65 2E 2E 2E C8 46 69 6E 69 73 68 01 74 68 65 01 70 61 69 6E 74 69 6E 67 21 C5 CC 4F 6E 63 65 01 69 74 01 69 73 01 63 6F 6D 70 6C 65 74 65 2C 01 4B 69 6E 67 C8 42 61 72 6F 6E 01 77 69 6C 6C 01 6C 65 74 01 79 6F 75 01 6F 75 74 01 6F 66 01 68 65 72 65 2E C5 CC 48 65 65 01 68 65 65 2E 2E 2E 01 45 69 74 68 65 72 01 66 69 6E 69 73 68 01 74 68 65 C8 70 69 63 74 75 72 65 01 6F 72 01 72 6F 74 01 68 65 72 65 01 75 6E 74 69 6C 01 79 6F 75 01 64 69 65 21 C0</x:v>
      </x:c>
      <x:c r="K920" s="23" t="str">
        <x:v>1CC 02A 02A 02A 02A 02A 081 081 081 1C8 191 03C 001 015 03D 01D 011 01A 01D 038 028 084 01B 03F 07A 1C8 011 02A 02A 02A 02A 1C5 1CC 191 084 015 001 015 03D 01D 011 01C 039 084 029 1C8 048 06F 084 049 084 05B 06C 06F 01A 02E 084 015 001 010 03D 01F 03C 1C8 019 019 015 036 001 106 01B 022 017 084 01F 01A 038 035 1C5 1CC 011 02A 02A 02A 02A 081 081 081 081 081 081 1C8 028 01F 039 0D6 025 015 001 191 03C 015 017 015 084 01B 03F 1C8 011 02A 02A 02A 02A 081 081 081 081 081 1C0</x:v>
      </x:c>
    </x:row>
    <x:row r="921">
      <x:c r="A921" s="22" t="str">
        <x:f>"03"</x:f>
        <x:v>03</x:v>
      </x:c>
      <x:c r="B921" s="22" t="str">
        <x:f>"97"</x:f>
        <x:v>97</x:v>
      </x:c>
      <x:c r="C921" s="22" t="str">
        <x:f>"0x0397"</x:f>
        <x:v>0x0397</x:v>
      </x:c>
      <x:c r="D921" s="21" t="str">
        <x:v>&lt;CLEAR&gt;
みかんせいの 大きな絵がある</x:v>
      </x:c>
      <x:c r="E921" s="19" t="str">
        <x:v>&lt;CLEAR&gt;There is a large
unfinished painting.</x:v>
      </x:c>
      <x:c r="F921" s="20" t="str"/>
      <x:c r="G921" s="20" t="str"/>
      <x:c r="H921" s="23" t="str">
        <x:v>CLEAR NEWLINE END</x:v>
      </x:c>
      <x:c r="I921" s="23" t="str">
        <x:v>E9:458E</x:v>
      </x:c>
      <x:c r="J921" s="23" t="str">
        <x:v>D0 54 68 65 72 65 01 69 73 01 61 01 6C 61 72 67 65 C8 75 6E 66 69 6E 69 73 68 65 64 01 70 61 69 6E 74 69 6E 67 2E C0</x:v>
      </x:c>
      <x:c r="K921" s="23" t="str">
        <x:v>1D0 02F 015 03D 01D 011 028 001 0AC 016 024 191 084 015 010 038 1C0</x:v>
      </x:c>
    </x:row>
    <x:row r="922">
      <x:c r="A922" s="22" t="str">
        <x:f>"03"</x:f>
        <x:v>03</x:v>
      </x:c>
      <x:c r="B922" s="22" t="str">
        <x:f>"98"</x:f>
        <x:v>98</x:v>
      </x:c>
      <x:c r="C922" s="22" t="str">
        <x:f>"0x0398"</x:f>
        <x:v>0x0398</x:v>
      </x:c>
      <x:c r="D922" s="21" t="str">
        <x:v>&lt;CLEAR&gt;
ろうそくの 絵がある</x:v>
      </x:c>
      <x:c r="E922" s="19" t="str">
        <x:v>&lt;CLEAR&gt;There is a painting of a candle.</x:v>
      </x:c>
      <x:c r="F922" s="20" t="str"/>
      <x:c r="G922" s="20" t="str"/>
      <x:c r="H922" s="23" t="str">
        <x:v>CLEAR END</x:v>
      </x:c>
      <x:c r="I922" s="23" t="str">
        <x:v>E9:45B5</x:v>
      </x:c>
      <x:c r="J922" s="23" t="str">
        <x:v>D0 54 68 65 72 65 01 69 73 01 61 01 70 61 69 6E 74 69 6E 67 01 6F 66 01 61 01 63 61 6E 64 6C 65 2E C0</x:v>
      </x:c>
      <x:c r="K922" s="23" t="str">
        <x:v>1D0 03A 012 01E 017 028 001 191 084 015 010 038 1C0</x:v>
      </x:c>
    </x:row>
    <x:row r="923">
      <x:c r="A923" s="22" t="str">
        <x:f>"03"</x:f>
        <x:v>03</x:v>
      </x:c>
      <x:c r="B923" s="22" t="str">
        <x:f>"99"</x:f>
        <x:v>99</x:v>
      </x:c>
      <x:c r="C923" s="22" t="str">
        <x:f>"0x0399"</x:f>
        <x:v>0x0399</x:v>
      </x:c>
      <x:c r="D923" s="21" t="str">
        <x:v>&lt;CLEAR&gt;
いすの 絵がある</x:v>
      </x:c>
      <x:c r="E923" s="19" t="str">
        <x:v>&lt;CLEAR&gt;There is a painting of a chair.</x:v>
      </x:c>
      <x:c r="F923" s="20" t="str"/>
      <x:c r="G923" s="20" t="str"/>
      <x:c r="H923" s="23" t="str">
        <x:v>CLEAR END</x:v>
      </x:c>
      <x:c r="I923" s="23" t="str">
        <x:v>E9:45D7</x:v>
      </x:c>
      <x:c r="J923" s="23" t="str">
        <x:v>D0 54 68 65 72 65 01 69 73 01 61 01 70 61 69 6E 74 69 6E 67 01 6F 66 01 61 01 63 68 61 69 72 2E C0</x:v>
      </x:c>
      <x:c r="K923" s="23" t="str">
        <x:v>1D0 011 01C 028 001 191 084 015 010 038 1C0</x:v>
      </x:c>
    </x:row>
    <x:row r="924">
      <x:c r="A924" s="22" t="str">
        <x:f>"03"</x:f>
        <x:v>03</x:v>
      </x:c>
      <x:c r="B924" s="22" t="str">
        <x:f>"9A"</x:f>
        <x:v>9A</x:v>
      </x:c>
      <x:c r="C924" s="22" t="str">
        <x:f>"0x039A"</x:f>
        <x:v>0x039A</x:v>
      </x:c>
      <x:c r="D924" s="21" t="str">
        <x:v>&lt;CLEAR&gt;
どこかへとつづく 道の絵がある</x:v>
      </x:c>
      <x:c r="E924" s="19" t="str">
        <x:v>&lt;CLEAR&gt;There is a painting of a
road leading somewhere.</x:v>
      </x:c>
      <x:c r="F924" s="20" t="str"/>
      <x:c r="G924" s="20" t="str"/>
      <x:c r="H924" s="23" t="str">
        <x:v>CLEAR NEWLINE END</x:v>
      </x:c>
      <x:c r="I924" s="23" t="str">
        <x:v>E9:45F8</x:v>
      </x:c>
      <x:c r="J924" s="23" t="str">
        <x:v>D0 54 68 65 72 65 01 69 73 01 61 01 70 61 69 6E 74 69 6E 67 01 6F 66 01 61 C8 72 6F 61 64 01 6C 65 61 64 69 6E 67 01 73 6F 6D 65 77 68 65 72 65 2E C0</x:v>
      </x:c>
      <x:c r="K924" s="23" t="str">
        <x:v>1D0 084 023 019 015 02C 023 021 084 021 017 001 0C7 028 191 084 015 010 038 1C0</x:v>
      </x:c>
    </x:row>
    <x:row r="925">
      <x:c r="A925" s="22" t="str">
        <x:f>"03"</x:f>
        <x:v>03</x:v>
      </x:c>
      <x:c r="B925" s="22" t="str">
        <x:f>"9B"</x:f>
        <x:v>9B</x:v>
      </x:c>
      <x:c r="C925" s="22" t="str">
        <x:f>"0x039B"</x:f>
        <x:v>0x039B</x:v>
      </x:c>
      <x:c r="D925" s="21" t="str">
        <x:v>&lt;CLEAR&gt;
宝ばこは あいている</x:v>
      </x:c>
      <x:c r="E925" s="19" t="str">
        <x:v>&lt;CLEAR&gt;The treasure chest is open.</x:v>
      </x:c>
      <x:c r="F925" s="20" t="str"/>
      <x:c r="G925" s="20" t="str"/>
      <x:c r="H925" s="23" t="str">
        <x:v>CLEAR END</x:v>
      </x:c>
      <x:c r="I925" s="23" t="str">
        <x:v>E9:462A</x:v>
      </x:c>
      <x:c r="J925" s="23" t="str">
        <x:v>D0 54 68 65 01 74 72 65 61 73 75 72 65 01 63 68 65 73 74 01 69 73 01 6F 70 65 6E 2E C0</x:v>
      </x:c>
      <x:c r="K925" s="23" t="str">
        <x:v>1D0 095 084 029 019 029 001 010 011 022 011 038 1C0</x:v>
      </x:c>
    </x:row>
    <x:row r="926">
      <x:c r="A926" s="22" t="str">
        <x:f>"03"</x:f>
        <x:v>03</x:v>
      </x:c>
      <x:c r="B926" s="22" t="str">
        <x:f>"9C"</x:f>
        <x:v>9C</x:v>
      </x:c>
      <x:c r="C926" s="22" t="str">
        <x:f>"0x039C"</x:f>
        <x:v>0x039C</x:v>
      </x:c>
      <x:c r="D926" s="21" t="str">
        <x:v>&lt;CLEAR&gt;
レディは
500000000エンドル 見つけた</x:v>
      </x:c>
      <x:c r="E926" s="19" t="str">
        <x:v>&lt;CLEAR&gt;Lady found 500,000,000 Endol!</x:v>
      </x:c>
      <x:c r="F926" s="20" t="str"/>
      <x:c r="G926" s="20" t="str"/>
      <x:c r="H926" s="23" t="str">
        <x:v>CLEAR END</x:v>
      </x:c>
      <x:c r="I926" s="23" t="str">
        <x:v>E9:4647</x:v>
      </x:c>
      <x:c r="J926" s="23" t="str">
        <x:v>D0 4C 61 64 79 01 66 6F 75 6E 64 01 35 30 30 2C 30 30 30 2C 30 30 30 01 45 6E 64 6F 6C 21 C0</x:v>
      </x:c>
      <x:c r="K926" s="23" t="str">
        <x:v>1D0 06B 084 054 075 029 1C8 007 002 002 002 002 002 002 002 002 045 06F 084 055 06A 001 090 021 018 01F 1C0</x:v>
      </x:c>
    </x:row>
    <x:row r="927">
      <x:c r="A927" s="22" t="str">
        <x:f>"03"</x:f>
        <x:v>03</x:v>
      </x:c>
      <x:c r="B927" s="22" t="str">
        <x:f>"9D"</x:f>
        <x:v>9D</x:v>
      </x:c>
      <x:c r="C927" s="22" t="str">
        <x:f>"0x039D"</x:f>
        <x:v>0x039D</x:v>
      </x:c>
      <x:c r="D927" s="21" t="str">
        <x:v>&lt;CLEAR&gt;
レディは
ひかるビーダマを 4000コ
手に入れた</x:v>
      </x:c>
      <x:c r="E927" s="19" t="str">
        <x:v>&lt;CLEAR&gt;Lady obtained 4,000
Shining Marbles!</x:v>
      </x:c>
      <x:c r="F927" s="20" t="str"/>
      <x:c r="G927" s="20" t="str"/>
      <x:c r="H927" s="23" t="str">
        <x:v>CLEAR NEWLINE END</x:v>
      </x:c>
      <x:c r="I927" s="23" t="str">
        <x:v>E9:4666</x:v>
      </x:c>
      <x:c r="J927" s="23" t="str">
        <x:v>D0 4C 61 64 79 01 6F 62 74 61 69 6E 65 64 01 34 2C 30 30 30 C8 53 68 69 6E 69 6E 67 01 4D 61 72 62 6C 65 73 21 C0</x:v>
      </x:c>
      <x:c r="K927" s="23" t="str">
        <x:v>1D0 06B 084 054 075 029 1C8 02A 015 038 084 05C 078 084 051 060 03C 001 006 002 002 002 04B 1C8 177 025 08E 039 01F 1C0</x:v>
      </x:c>
    </x:row>
    <x:row r="928">
      <x:c r="A928" s="22" t="str">
        <x:f>"03"</x:f>
        <x:v>03</x:v>
      </x:c>
      <x:c r="B928" s="22" t="str">
        <x:f>"9E"</x:f>
        <x:v>9E</x:v>
      </x:c>
      <x:c r="C928" s="22" t="str">
        <x:f>"0x039E"</x:f>
        <x:v>0x039E</x:v>
      </x:c>
      <x:c r="D928" s="21" t="str">
        <x:v>&lt;CLEAR&gt;
レディは
みなごろしのティーバックを
手に入れた</x:v>
      </x:c>
      <x:c r="E928" s="19" t="str">
        <x:v>&lt;CLEAR&gt;Lady obtained the
Massacre Teabag!</x:v>
      </x:c>
      <x:c r="F928" s="20" t="str"/>
      <x:c r="G928" s="20" t="str"/>
      <x:c r="H928" s="23" t="str">
        <x:v>CLEAR NEWLINE END</x:v>
      </x:c>
      <x:c r="I928" s="23" t="str">
        <x:v>E9:468C</x:v>
      </x:c>
      <x:c r="J928" s="23" t="str">
        <x:v>D0 4C 61 64 79 01 6F 62 74 61 69 6E 65 64 01 74 68 65 C8 4D 61 73 73 61 63 72 65 01 54 65 61 62 61 67 21 C0</x:v>
      </x:c>
      <x:c r="K928" s="23" t="str">
        <x:v>1D0 06B 084 054 075 029 1C8 02F 024 084 019 03A 01B 028 054 075 078 084 05B 070 049 03C 1C8 177 025 08E 039 01F 1C0</x:v>
      </x:c>
    </x:row>
    <x:row r="929">
      <x:c r="A929" s="22" t="str">
        <x:f>"03"</x:f>
        <x:v>03</x:v>
      </x:c>
      <x:c r="B929" s="22" t="str">
        <x:f>"9F"</x:f>
        <x:v>9F</x:v>
      </x:c>
      <x:c r="C929" s="22" t="str">
        <x:f>"0x039F"</x:f>
        <x:v>0x039F</x:v>
      </x:c>
      <x:c r="D929" s="21" t="str">
        <x:v>&lt;CLEAR&gt;
この像の 向こう側から
カタカタという 音が聞こえる</x:v>
      </x:c>
      <x:c r="E929" s="19" t="str">
        <x:v>&lt;CLEAR&gt;You hear a rattling sound
from behind this statue.</x:v>
      </x:c>
      <x:c r="F929" s="20" t="str"/>
      <x:c r="G929" s="20" t="str"/>
      <x:c r="H929" s="23" t="str">
        <x:v>CLEAR NEWLINE END</x:v>
      </x:c>
      <x:c r="I929" s="23" t="str">
        <x:v>E9:46B0</x:v>
      </x:c>
      <x:c r="J929" s="23" t="str">
        <x:v>D0 59 6F 75 01 68 65 61 72 01 61 01 72 61 74 74 6C 69 6E 67 01 73 6F 75 6E 64 C8 66 72 6F 6D 01 62 65 68 69 6E 64 01 74 68 69 73 01 73 74 61 74 75 65 2E C0</x:v>
      </x:c>
      <x:c r="K929" s="23" t="str">
        <x:v>1D0 019 028 159 028 001 1AB 019 012 0BE 015 036 1C8 047 051 047 051 023 011 012 001 0E0 084 015 0A6 019 013 038 1C0</x:v>
      </x:c>
    </x:row>
    <x:row r="930">
      <x:c r="A930" s="22" t="str">
        <x:f>"03"</x:f>
        <x:v>03</x:v>
      </x:c>
      <x:c r="B930" s="22" t="str">
        <x:f>"A0"</x:f>
        <x:v>A0</x:v>
      </x:c>
      <x:c r="C930" s="22" t="str">
        <x:f>"0x03A0"</x:f>
        <x:v>0x03A0</x:v>
      </x:c>
      <x:c r="D930" s="21" t="str">
        <x:v>&lt;CLEAR&gt;
像の 向こう側から
光が もれてきている&lt;WAIT&gt;
&lt;CLEAR&gt;
強い 光のようだ</x:v>
      </x:c>
      <x:c r="E930" s="19" t="str">
        <x:v>&lt;CLEAR&gt;Light is leaking from
behind the statue.&lt;WAIT&gt;&lt;CLEAR&gt;It seems very bright.</x:v>
      </x:c>
      <x:c r="F930" s="20" t="str"/>
      <x:c r="G930" s="20" t="str"/>
      <x:c r="H930" s="23" t="str">
        <x:v>CLEAR NEWLINE WAIT CLEAR END</x:v>
      </x:c>
      <x:c r="I930" s="23" t="str">
        <x:v>E9:46E4</x:v>
      </x:c>
      <x:c r="J930" s="23" t="str">
        <x:v>D0 4C 69 67 68 74 01 69 73 01 6C 65 61 6B 69 6E 67 01 66 72 6F 6D C8 62 65 68 69 6E 64 01 74 68 65 01 73 74 61 74 75 65 2E C5 D0 49 74 01 73 65 65 6D 73 01 76 65 72 79 01 62 72 69 67 68 74 2E C0</x:v>
      </x:c>
      <x:c r="K930" s="23" t="str">
        <x:v>1D0 159 028 001 1AB 019 012 0BE 015 036 1C8 14A 084 015 001 032 039 022 016 022 011 038 1C5 1D0 138 011 001 14A 028 035 012 084 01F 1C0</x:v>
      </x:c>
    </x:row>
    <x:row r="931">
      <x:c r="A931" s="22" t="str">
        <x:f>"03"</x:f>
        <x:v>03</x:v>
      </x:c>
      <x:c r="B931" s="22" t="str">
        <x:f>"A1"</x:f>
        <x:v>A1</x:v>
      </x:c>
      <x:c r="C931" s="22" t="str">
        <x:f>"0x03A1"</x:f>
        <x:v>0x03A1</x:v>
      </x:c>
      <x:c r="D931" s="21" t="str">
        <x:v>&lt;CLEAR&gt;
像の 向こう側に
きみょうな 道具が 見える</x:v>
      </x:c>
      <x:c r="E931" s="19" t="str">
        <x:v>&lt;CLEAR&gt;You can see a strange
device behind the statue.</x:v>
      </x:c>
      <x:c r="F931" s="20" t="str"/>
      <x:c r="G931" s="20" t="str"/>
      <x:c r="H931" s="23" t="str">
        <x:v>CLEAR NEWLINE END</x:v>
      </x:c>
      <x:c r="I931" s="23" t="str">
        <x:v>E9:4725</x:v>
      </x:c>
      <x:c r="J931" s="23" t="str">
        <x:v>D0 59 6F 75 01 63 61 6E 01 73 65 65 01 61 01 73 74 72 61 6E 67 65 C8 64 65 76 69 63 65 01 62 65 68 69 6E 64 01 74 68 65 01 73 74 61 74 75 65 2E C0</x:v>
      </x:c>
      <x:c r="K931" s="23" t="str">
        <x:v>1D0 159 028 001 1AB 019 012 0BE 025 1C8 016 02F 041 012 024 001 0C7 124 084 015 001 090 013 038 1C0</x:v>
      </x:c>
    </x:row>
    <x:row r="932">
      <x:c r="A932" s="22" t="str">
        <x:f>"03"</x:f>
        <x:v>03</x:v>
      </x:c>
      <x:c r="B932" s="22" t="str">
        <x:f>"A2"</x:f>
        <x:v>A2</x:v>
      </x:c>
      <x:c r="C932" s="22" t="str">
        <x:f>"0x03A2"</x:f>
        <x:v>0x03A2</x:v>
      </x:c>
      <x:c r="D932" s="21" t="str">
        <x:v>&lt;CLEAR&gt;
ほこりだらけの 絵がある&lt;WAIT&gt;
&lt;CLEAR&gt;
そうじをすれば 絵が見られそうだ</x:v>
      </x:c>
      <x:c r="E932" s="19" t="str">
        <x:v>&lt;CLEAR&gt;There is a dust-covered painting.&lt;WAIT&gt;&lt;CLEAR&gt;If you clean it, you should
be able to see the picture.</x:v>
      </x:c>
      <x:c r="F932" s="20" t="str"/>
      <x:c r="G932" s="20" t="str"/>
      <x:c r="H932" s="23" t="str">
        <x:v>CLEAR WAIT CLEAR NEWLINE END</x:v>
      </x:c>
      <x:c r="I932" s="23" t="str">
        <x:v>E9:4756</x:v>
      </x:c>
      <x:c r="J932" s="23" t="str">
        <x:v>D0 54 68 65 72 65 01 69 73 01 61 01 64 75 73 74 2D 63 6F 76 65 72 65 64 01 70 61 69 6E 74 69 6E 67 2E C5 D0 49 66 01 79 6F 75 01 63 6C 65 61 6E 01 69 74 2C 01 79 6F 75 01 73 68 6F 75 6C 64 C8 62 65 01 61 62 6C 65 01 74 6F 01 73 65 65 01 74 68 65 01 70 69 63 74 75 72 65 2E C0</x:v>
      </x:c>
      <x:c r="K932" s="23" t="str">
        <x:v>1D0 02D 019 037 084 01F 036 018 028 001 191 084 015 010 038 1C5 1D0 01E 012 084 01B 03C 01C 039 084 029 001 191 084 015 090 036 039 01E 012 084 01F 1C0</x:v>
      </x:c>
    </x:row>
    <x:row r="933">
      <x:c r="A933" s="22" t="str">
        <x:f>"03"</x:f>
        <x:v>03</x:v>
      </x:c>
      <x:c r="B933" s="22" t="str">
        <x:f>"A3"</x:f>
        <x:v>A3</x:v>
      </x:c>
      <x:c r="C933" s="22" t="str">
        <x:f>"0x03A3"</x:f>
        <x:v>0x03A3</x:v>
      </x:c>
      <x:c r="D933" s="21" t="str">
        <x:v>&lt;CLEAR&gt;
きみょうな 道具が 動いている!
むこうの 部屋に 何かを
うつしているようだ!</x:v>
      </x:c>
      <x:c r="E933" s="19" t="str">
        <x:v>&lt;CLEAR&gt;A strange device is operating!
It seems to be projecting
something into the next room!</x:v>
      </x:c>
      <x:c r="F933" s="20" t="str"/>
      <x:c r="G933" s="20" t="str"/>
      <x:c r="H933" s="23" t="str">
        <x:v>CLEAR NEWLINE NEWLINE END</x:v>
      </x:c>
      <x:c r="I933" s="23" t="str">
        <x:v>E9:47B2</x:v>
      </x:c>
      <x:c r="J933" s="23" t="str">
        <x:v>D0 41 01 73 74 72 61 6E 67 65 01 64 65 76 69 63 65 01 69 73 01 6F 70 65 72 61 74 69 6E 67 21 C8 49 74 01 73 65 65 6D 73 01 74 6F 01 62 65 01 70 72 6F 6A 65 63 74 69 6E 67 C8 73 6F 6D 65 74 68 69 6E 67 01 69 6E 74 6F 01 74 68 65 01 6E 65 78 74 01 72 6F 6F 6D 21 C0</x:v>
      </x:c>
      <x:c r="K933" s="23" t="str">
        <x:v>1D0 016 02F 041 012 024 001 0C7 124 084 015 001 0B1 011 022 011 038 07A 1C8 030 019 012 028 001 0DA 0B3 025 001 093 015 03C 1C8 012 021 01B 022 011 038 035 012 084 01F 07A 1C0</x:v>
      </x:c>
    </x:row>
    <x:row r="934">
      <x:c r="A934" s="22" t="str">
        <x:f>"03"</x:f>
        <x:v>03</x:v>
      </x:c>
      <x:c r="B934" s="22" t="str">
        <x:f>"A4"</x:f>
        <x:v>A4</x:v>
      </x:c>
      <x:c r="C934" s="22" t="str">
        <x:f>"0x03A4"</x:f>
        <x:v>0x03A4</x:v>
      </x:c>
      <x:c r="D934" s="21" t="str">
        <x:v>&lt;CLEAR&gt;
きみょうな 道具は とまっている・・・</x:v>
      </x:c>
      <x:c r="E934" s="19" t="str">
        <x:v>&lt;CLEAR&gt;The strange device is stopped...</x:v>
      </x:c>
      <x:c r="F934" s="20" t="str"/>
      <x:c r="G934" s="20" t="str"/>
      <x:c r="H934" s="23" t="str">
        <x:v>CLEAR END</x:v>
      </x:c>
      <x:c r="I934" s="23" t="str">
        <x:v>E9:480A</x:v>
      </x:c>
      <x:c r="J934" s="23" t="str">
        <x:v>D0 54 68 65 01 73 74 72 61 6E 67 65 01 64 65 76 69 63 65 01 69 73 01 73 74 6F 70 70 65 64 2E 2E 2E C0</x:v>
      </x:c>
      <x:c r="K934" s="23" t="str">
        <x:v>1D0 016 02F 041 012 024 001 0C7 124 029 001 023 02E 03E 022 011 038 081 081 081 1C0</x:v>
      </x:c>
    </x:row>
    <x:row r="935">
      <x:c r="A935" s="22" t="str">
        <x:f>"03"</x:f>
        <x:v>03</x:v>
      </x:c>
      <x:c r="B935" s="22" t="str">
        <x:f>"A5"</x:f>
        <x:v>A5</x:v>
      </x:c>
      <x:c r="C935" s="22" t="str">
        <x:f>"0x03A5"</x:f>
        <x:v>0x03A5</x:v>
      </x:c>
      <x:c r="D935" s="21" t="str">
        <x:v>&lt;CLEAR&gt;
くらやみの中に スイッチがある
おしてみますか?</x:v>
      </x:c>
      <x:c r="E935" s="19" t="str">
        <x:v>&lt;CLEAR&gt;There is a switch in
the darkness. Press it?</x:v>
      </x:c>
      <x:c r="F935" s="20" t="str"/>
      <x:c r="G935" s="20" t="str"/>
      <x:c r="H935" s="23" t="str">
        <x:v>CLEAR NEWLINE END</x:v>
      </x:c>
      <x:c r="I935" s="23" t="str">
        <x:v>E9:482C</x:v>
      </x:c>
      <x:c r="J935" s="23" t="str">
        <x:v>D0 54 68 65 72 65 01 69 73 01 61 01 73 77 69 74 63 68 01 69 6E C8 74 68 65 01 64 61 72 6B 6E 65 73 73 2E 01 50 72 65 73 73 01 69 74 3F C0</x:v>
      </x:c>
      <x:c r="K935" s="23" t="str">
        <x:v>1D0 017 036 033 02F 028 0A1 025 001 04E 043 070 052 084 015 010 038 1C8 014 01B 022 02F 02E 01C 015 079 1C0</x:v>
      </x:c>
    </x:row>
    <x:row r="936">
      <x:c r="A936" s="22" t="str">
        <x:f>"03"</x:f>
        <x:v>03</x:v>
      </x:c>
      <x:c r="B936" s="22" t="str">
        <x:f>"A6"</x:f>
        <x:v>A6</x:v>
      </x:c>
      <x:c r="C936" s="22" t="str">
        <x:f>"0x03A6"</x:f>
        <x:v>0x03A6</x:v>
      </x:c>
      <x:c r="D936" s="21" t="str">
        <x:v>&lt;CLEAR&gt;
レディは スイッチを おした!</x:v>
      </x:c>
      <x:c r="E936" s="19" t="str">
        <x:v>&lt;CLEAR&gt;Lady presses the switch!</x:v>
      </x:c>
      <x:c r="F936" s="20" t="str"/>
      <x:c r="G936" s="20" t="str"/>
      <x:c r="H936" s="23" t="str">
        <x:v>CLEAR END</x:v>
      </x:c>
      <x:c r="I936" s="23" t="str">
        <x:v>E9:485A</x:v>
      </x:c>
      <x:c r="J936" s="23" t="str">
        <x:v>D0 4C 61 64 79 01 70 72 65 73 73 65 73 01 74 68 65 01 73 77 69 74 63 68 21 C0</x:v>
      </x:c>
      <x:c r="K936" s="23" t="str">
        <x:v>1D0 06B 084 054 075 029 001 04E 043 070 052 03C 001 014 01B 01F 07A 1C0</x:v>
      </x:c>
    </x:row>
    <x:row r="937">
      <x:c r="A937" s="22" t="str">
        <x:f>"03"</x:f>
        <x:v>03</x:v>
      </x:c>
      <x:c r="B937" s="22" t="str">
        <x:f>"A7"</x:f>
        <x:v>A7</x:v>
      </x:c>
      <x:c r="C937" s="22" t="str">
        <x:f>"0x03A7"</x:f>
        <x:v>0x03A7</x:v>
      </x:c>
      <x:c r="D937" s="21" t="str">
        <x:v>&lt;CLEAR&gt;
スイッチがある
スイッチはおされている</x:v>
      </x:c>
      <x:c r="E937" s="19" t="str">
        <x:v>&lt;CLEAR&gt;There is a switch here. It
has already been pressed.</x:v>
      </x:c>
      <x:c r="F937" s="20" t="str"/>
      <x:c r="G937" s="20" t="str"/>
      <x:c r="H937" s="23" t="str">
        <x:v>CLEAR NEWLINE END</x:v>
      </x:c>
      <x:c r="I937" s="23" t="str">
        <x:v>E9:4874</x:v>
      </x:c>
      <x:c r="J937" s="23" t="str">
        <x:v>D0 54 68 65 72 65 01 69 73 01 61 01 73 77 69 74 63 68 01 68 65 72 65 2E 01 49 74 C8 68 61 73 01 61 6C 72 65 61 64 79 01 62 65 65 6E 01 70 72 65 73 73 65 64 2E C0</x:v>
      </x:c>
      <x:c r="K937" s="23" t="str">
        <x:v>1D0 04E 043 070 052 084 015 010 038 1C8 04E 043 070 052 029 014 01A 039 022 011 038 1C0</x:v>
      </x:c>
    </x:row>
    <x:row r="938">
      <x:c r="A938" s="22" t="str">
        <x:f>"03"</x:f>
        <x:v>03</x:v>
      </x:c>
      <x:c r="B938" s="22" t="str">
        <x:f>"A8"</x:f>
        <x:v>A8</x:v>
      </x:c>
      <x:c r="C938" s="22" t="str">
        <x:f>"0x03A8"</x:f>
        <x:v>0x03A8</x:v>
      </x:c>
      <x:c r="D938" s="21" t="str">
        <x:v>&lt;CLEAR&gt;
レディは くらやみを
探ってみたが ここには
何も ないようだ</x:v>
      </x:c>
      <x:c r="E938" s="19" t="str">
        <x:v>&lt;CLEAR&gt;Lady feels around in
the darkness, but there
seems to be nothing here.</x:v>
      </x:c>
      <x:c r="F938" s="20" t="str"/>
      <x:c r="G938" s="20" t="str"/>
      <x:c r="H938" s="23" t="str">
        <x:v>CLEAR NEWLINE NEWLINE END</x:v>
      </x:c>
      <x:c r="I938" s="23" t="str">
        <x:v>E9:48AA</x:v>
      </x:c>
      <x:c r="J938" s="23" t="str">
        <x:v>D0 4C 61 64 79 01 66 65 65 6C 73 01 61 72 6F 75 6E 64 01 69 6E C8 74 68 65 01 64 61 72 6B 6E 65 73 73 2C 01 62 75 74 01 74 68 65 72 65 C8 73 65 65 6D 73 01 74 6F 01 62 65 01 6E 6F 74 68 69 6E 67 01 68 65 72 65 2E C0</x:v>
      </x:c>
      <x:c r="K938" s="23" t="str">
        <x:v>1D0 06B 084 054 075 029 001 017 036 033 02F 03C 1C8 184 03E 022 02F 01F 084 015 001 019 019 025 029 1C8 093 032 001 024 011 035 012 084 01F 1C0</x:v>
      </x:c>
    </x:row>
    <x:row r="939">
      <x:c r="A939" s="22" t="str">
        <x:f>"03"</x:f>
        <x:v>03</x:v>
      </x:c>
      <x:c r="B939" s="22" t="str">
        <x:f>"A9"</x:f>
        <x:v>A9</x:v>
      </x:c>
      <x:c r="C939" s="22" t="str">
        <x:f>"0x03A9"</x:f>
        <x:v>0x03A9</x:v>
      </x:c>
      <x:c r="D939" s="21" t="str">
        <x:v>&lt;SPEAKER&gt;「ああ お嬢さん ごぶじでしたか
それは なにより・・・
わたし ラムスの塔の神官ですよ&lt;WAIT&gt;&lt;SPEAKER&gt;「このあたりの ひどい
だんがいぜっぺきは とても 人間の
しのびこめる所では ありませんが&lt;WAIT&gt;&lt;SPEAKER&gt;「ほら わたし ごらんの通りですから&lt;WAIT&gt;&lt;SPEAKER&gt;「ひとつだけ あいている
まどを 見つけたので
入ってきてしまいました&lt;WAIT&gt;&lt;SPEAKER&gt;「ちょっと こわかったですけど
いまさら 命の しんぱいをしても
しかたありませんしね・・・はは・・・</x:v>
      </x:c>
      <x:c r="E939" s="19" t="str">
        <x:v>&lt;SPEAKER&gt;Ah, young lady! You
are safe. What a relief. I am
a priest from Ramus Tower.&lt;WAIT&gt;&lt;SPEAKER&gt;These sheer cliffs
are impossible for an
ordinary human to cross.&lt;WAIT&gt;&lt;SPEAKER&gt;But as you can
see, I am not human.&lt;WAIT&gt;&lt;SPEAKER&gt;I found one open window
and slipped inside through it.&lt;WAIT&gt;&lt;SPEAKER&gt;It was a little frightening,
but worrying about my life
now would be pointless. Ha ha...</x:v>
      </x:c>
      <x:c r="F939" s="20" t="str"/>
      <x:c r="G939" s="20" t="str"/>
      <x:c r="H939" s="23" t="str">
        <x:v>SPEAKER NEWLINE NEWLINE WAIT SPEAKER NEWLINE NEWLINE WAIT SPEAKER NEWLINE WAIT SPEAKER NEWLINE WAIT SPEAKER NEWLINE NEWLINE END</x:v>
      </x:c>
      <x:c r="I939" s="23" t="str">
        <x:v>E9:48F2</x:v>
      </x:c>
      <x:c r="J939" s="23" t="str">
        <x:v>CC 41 68 2C 01 79 6F 75 6E 67 01 6C 61 64 79 21 01 59 6F 75 C8 61 72 65 01 73 61 66 65 2E 01 57 68 61 74 01 61 01 72 65 6C 69 65 66 2E 01 49 01 61 6D C8 61 01 70 72 69 65 73 74 01 66 72 6F 6D 01 52 61 6D 75 73 01 54 6F 77 65 72 2E C5 CC 54 68 65 73 65 01 73 68 65 65 72 01 63 6C 69 66 66 73 C8 61 72 65 01 69 6D 70 6F 73 73 69 62 6C 65 01 66 6F 72 01 61 6E C8 6F 72 64 69 6E 61 72 79 01 68 75 6D 61 6E 01 74 6F 01 63 72 6F 73 73 2E C5 CC 42 75 74 01 61 73 01 79 6F 75 01 63 61 6E C8 73 65 65 2C 01 49 01 61 6D 01 6E 6F 74 01 68 75 6D 61 6E 2E C5 CC 49 01 66 6F 75 6E 64 01 6F 6E 65 01 6F 70 65 6E 01 77 69 6E 64 6F 77 C8 61 6E 64 01 73 6C 69 70 70 65 64 01 69 6E 73 69 64 65 01 74 68 72 6F 75 67 68 01 69 74 2E C5 CC 49 74 01 77 61 73 01 61 01 6C 69 74 74 6C 65 01 66 72 69 67 68 74 65 6E 69 6E 67 2C C8 62 75 74 01 77 6F 72 72 79 69 6E 67 01 61 62 6F 75 74 01 6D 79 01 6C 69 66 65 C8 6E 6F 77 01 77 6F 75 6C 64 01 62 65 01 70 6F 69 6E 74 6C 65 73 73 2E 01 48 61 01 68 61 2E 2E 2E C0</x:v>
      </x:c>
      <x:c r="K939" s="23" t="str">
        <x:v>1CC 010 010 001 014 0D8 01A 03D 001 084 019 084 02B 084 01B 084 022 01B 01F 015 1C8 01E 039 029 001 024 025 035 037 081 081 081 1C8 03B 01F 01B 001 068 062 04E 028 154 028 0DC 136 084 022 01C 035 1C5 1CC 019 028 010 01F 037 028 001 02A 084 023 011 1C8 084 01F 03D 084 015 011 084 01D 03E 083 02C 016 029 001 023 022 032 001 091 0E3 028 1C8 01B 028 084 02A 019 031 038 12F 084 022 029 001 010 037 02E 01D 03D 084 015 1C5 1CC 02D 036 001 03B 01F 01B 001 084 019 036 03D 028 12E 037 084 022 01C 015 036 1C5 1CC 02A 023 021 084 01F 018 001 010 011 022 011 038 1C8 02E 084 023 03C 001 090 021 018 01F 028 084 022 1C8 08E 03E 022 016 022 01B 02E 011 02E 01B 01F 1C5 1CC 020 041 03E 023 001 019 03B 015 03E 01F 084 022 01C 018 084 023 1C8 011 02E 01A 036 001 0EE 028 001 01B 03D 083 029 011 03C 01B 022 032 1C8 01B 015 01F 010 037 02E 01D 03D 01B 027 081 081 081 029 029 081 081 081 1C0</x:v>
      </x:c>
    </x:row>
    <x:row r="940">
      <x:c r="A940" s="22" t="str">
        <x:f>"03"</x:f>
        <x:v>03</x:v>
      </x:c>
      <x:c r="B940" s="22" t="str">
        <x:f>"AA"</x:f>
        <x:v>AA</x:v>
      </x:c>
      <x:c r="C940" s="22" t="str">
        <x:f>"0x03AA"</x:f>
        <x:v>0x03AA</x:v>
      </x:c>
      <x:c r="D940" s="21" t="str">
        <x:v>&lt;SPEAKER&gt;「ここは 古き伝説の館
何千年もの間 たちいる人間の
なかった場所・・・&lt;WAIT&gt;&lt;SPEAKER&gt;「おたがい 大変な所に
来てしまったものですが
神のしもべが お力になれますか?</x:v>
      </x:c>
      <x:c r="E940" s="19" t="str">
        <x:v>&lt;SPEAKER&gt;This is the Hall of
Ancient Legend, untouched by
humans for thousands of years...&lt;WAIT&gt;&lt;SPEAKER&gt;We have both come
somewhere dangerous. Can this
servant of God be of help?</x:v>
      </x:c>
      <x:c r="F940" s="20" t="str"/>
      <x:c r="G940" s="20" t="str"/>
      <x:c r="H940" s="23" t="str">
        <x:v>SPEAKER NEWLINE NEWLINE WAIT SPEAKER NEWLINE NEWLINE END</x:v>
      </x:c>
      <x:c r="I940" s="23" t="str">
        <x:v>E9:4A3A</x:v>
      </x:c>
      <x:c r="J940" s="23" t="str">
        <x:v>CC 54 68 69 73 01 69 73 01 74 68 65 01 48 61 6C 6C 01 6F 66 C8 41 6E 63 69 65 6E 74 01 4C 65 67 65 6E 64 2C 01 75 6E 74 6F 75 63 68 65 64 01 62 79 C8 68 75 6D 61 6E 73 01 66 6F 72 01 74 68 6F 75 73 61 6E 64 73 01 6F 66 01 79 65 61 72 73 2E 2E 2E C5 CC 57 65 01 68 61 76 65 01 62 6F 74 68 01 63 6F 6D 65 C8 73 6F 6D 65 77 68 65 72 65 01 64 61 6E 67 65 72 6F 75 73 2E 01 43 61 6E 01 74 68 69 73 C8 73 65 72 76 61 6E 74 01 6F 66 01 47 6F 64 01 62 65 01 6F 66 01 68 65 6C 70 3F C0</x:v>
      </x:c>
      <x:c r="K940" s="23" t="str">
        <x:v>1CC 019 019 029 001 096 016 092 08F 028 0A3 1C8 093 0BC 0CA 032 028 0E3 001 01F 020 011 038 091 0E3 028 1C8 024 015 03E 01F 0A5 12F 081 081 081 1C5 1CC 014 01F 084 015 011 001 0AC 178 024 12F 025 1C8 097 022 01B 02E 03E 01F 032 028 084 022 01C 084 015 1C8 0DC 028 01B 032 084 02C 084 015 001 014 107 025 024 039 02E 01C 015 079 1C0</x:v>
      </x:c>
    </x:row>
    <x:row r="941">
      <x:c r="A941" s="22" t="str">
        <x:f>"03"</x:f>
        <x:v>03</x:v>
      </x:c>
      <x:c r="B941" s="22" t="str">
        <x:f>"AB"</x:f>
        <x:v>AB</x:v>
      </x:c>
      <x:c r="C941" s="22" t="str">
        <x:f>"0x03AB"</x:f>
        <x:v>0x03AB</x:v>
      </x:c>
      <x:c r="D941" s="21" t="str">
        <x:v>&lt;CLEAR&gt;
 ↖ エンジェルロック
 ↘ バロンの塔</x:v>
      </x:c>
      <x:c r="E941" s="19" t="str">
        <x:v>&lt;CLEAR&gt;NW: ANGEL ROCK
SE: BARON TOWER</x:v>
      </x:c>
      <x:c r="F941" s="20" t="str"/>
      <x:c r="G941" s="20" t="str"/>
      <x:c r="H941" s="23" t="str">
        <x:v>CLEAR NEWLINE END</x:v>
      </x:c>
      <x:c r="I941" s="23" t="str">
        <x:v>E9:4AD9</x:v>
      </x:c>
      <x:c r="J941" s="23" t="str">
        <x:v>D0 4E 57 3A 01 41 4E 47 45 4C 01 52 4F 43 4B C8 53 45 3A 01 42 41 52 4F 4E 01 54 4F 57 45 52 C0</x:v>
      </x:c>
      <x:c r="K941" s="23" t="str">
        <x:v>1D0 001 1A1 001 045 06F 084 04D 076 06A 06C 070 049 1C8 001 1A0 001 084 05B 06C 06F 028 154 1C0</x:v>
      </x:c>
    </x:row>
    <x:row r="942">
      <x:c r="A942" s="22" t="str">
        <x:f>"03"</x:f>
        <x:v>03</x:v>
      </x:c>
      <x:c r="B942" s="22" t="str">
        <x:f>"AC"</x:f>
        <x:v>AC</x:v>
      </x:c>
      <x:c r="C942" s="22" t="str">
        <x:f>"0x03AC"</x:f>
        <x:v>0x03AC</x:v>
      </x:c>
      <x:c r="D942" s="21" t="str">
        <x:v>&lt;CLEAR&gt;
大きな ガラスがある
たいあたりをすれば つきやぶれそうだ</x:v>
      </x:c>
      <x:c r="E942" s="19" t="str">
        <x:v>&lt;CLEAR&gt;There is a large pane of
glass. A running charge
could break through it.</x:v>
      </x:c>
      <x:c r="F942" s="20" t="str"/>
      <x:c r="G942" s="20" t="str"/>
      <x:c r="H942" s="23" t="str">
        <x:v>CLEAR NEWLINE NEWLINE END</x:v>
      </x:c>
      <x:c r="I942" s="23" t="str">
        <x:v>E9:4AF9</x:v>
      </x:c>
      <x:c r="J942" s="23" t="str">
        <x:v>D0 54 68 65 72 65 01 69 73 01 61 01 6C 61 72 67 65 01 70 61 6E 65 01 6F 66 C8 67 6C 61 73 73 2E 01 41 01 72 75 6E 6E 69 6E 67 01 63 68 61 72 67 65 C8 63 6F 75 6C 64 01 62 72 65 61 6B 01 74 68 72 6F 75 67 68 01 69 74 2E C0</x:v>
      </x:c>
      <x:c r="K942" s="23" t="str">
        <x:v>1D0 0AC 016 024 001 084 047 068 04E 084 015 010 038 1C8 01F 011 010 01F 037 03C 01C 039 084 029 001 021 016 033 084 02B 039 01E 012 084 01F 1C0</x:v>
      </x:c>
    </x:row>
    <x:row r="943">
      <x:c r="A943" s="22" t="str">
        <x:f>"03"</x:f>
        <x:v>03</x:v>
      </x:c>
      <x:c r="B943" s="22" t="str">
        <x:f>"AD"</x:f>
        <x:v>AD</x:v>
      </x:c>
      <x:c r="C943" s="22" t="str">
        <x:f>"0x03AD"</x:f>
        <x:v>0x03AD</x:v>
      </x:c>
      <x:c r="D943" s="21" t="str">
        <x:v>&lt;CLEAR&gt;
大きな ガラスがある
たいあたりをすれば つきやぶれそうだ&lt;WAIT&gt;
&lt;CLEAR&gt;
・・・だが ダッシュするほど
ひろさに よゆうがないようだ</x:v>
      </x:c>
      <x:c r="E943" s="19" t="str">
        <x:v>&lt;CLEAR&gt;There is a large pane of
glass. A running charge
could break through it.&lt;WAIT&gt;&lt;CLEAR&gt;...But there is not enough
room to build up a dash.&lt;LINE&gt;</x:v>
      </x:c>
      <x:c r="F943" s="20" t="str"/>
      <x:c r="G943" s="20" t="str"/>
      <x:c r="H943" s="23" t="str">
        <x:v>CLEAR NEWLINE NEWLINE WAIT CLEAR NEWLINE LINE END</x:v>
      </x:c>
      <x:c r="I943" s="23" t="str">
        <x:v>E9:4B43</x:v>
      </x:c>
      <x:c r="J943" s="23" t="str">
        <x:v>D0 54 68 65 72 65 01 69 73 01 61 01 6C 61 72 67 65 01 70 61 6E 65 01 6F 66 C8 67 6C 61 73 73 2E 01 41 01 72 75 6E 6E 69 6E 67 01 63 68 61 72 67 65 C8 63 6F 75 6C 64 01 62 72 65 61 6B 01 74 68 72 6F 75 67 68 01 69 74 2E C5 D0 2E 2E 2E 42 75 74 01 74 68 65 72 65 01 69 73 01 6E 6F 74 01 65 6E 6F 75 67 68 C8 72 6F 6F 6D 01 74 6F 01 62 75 69 6C 64 01 75 70 01 61 01 64 61 73 68 2E C3 C0</x:v>
      </x:c>
      <x:c r="K943" s="23" t="str">
        <x:v>1D0 0AC 016 024 001 084 047 068 04E 084 015 010 038 1C8 01F 011 010 01F 037 03C 01C 039 084 029 001 021 016 033 084 02B 039 01E 012 084 01F 1C5 1D0 081 081 081 084 01F 084 015 001 084 051 070 04D 072 01C 038 02D 084 023 1C8 02A 03A 01A 025 001 035 034 012 084 015 024 011 035 012 084 01F 1C3 1C0</x:v>
      </x:c>
    </x:row>
    <x:row r="944">
      <x:c r="A944" s="22" t="str">
        <x:f>"03"</x:f>
        <x:v>03</x:v>
      </x:c>
      <x:c r="B944" s="22" t="str">
        <x:f>"AE"</x:f>
        <x:v>AE</x:v>
      </x:c>
      <x:c r="C944" s="22" t="str">
        <x:f>"0x03AE"</x:f>
        <x:v>0x03AE</x:v>
      </x:c>
      <x:c r="D944" s="21" t="str">
        <x:v>&lt;CLEAR&gt;
「わるフェアリー
と かいてある</x:v>
      </x:c>
      <x:c r="E944" s="19" t="str">
        <x:v>&lt;CLEAR&gt;"BAD FAIRY" is written here.</x:v>
      </x:c>
      <x:c r="F944" s="20" t="str"/>
      <x:c r="G944" s="20" t="str"/>
      <x:c r="H944" s="23" t="str">
        <x:v>CLEAR END</x:v>
      </x:c>
      <x:c r="I944" s="23" t="str">
        <x:v>E9:4BC3</x:v>
      </x:c>
      <x:c r="J944" s="23" t="str">
        <x:v>D0 22 42 41 44 01 46 41 49 52 59 22 01 69 73 01 77 72 69 74 74 65 6E 01 68 65 72 65 2E C0</x:v>
      </x:c>
      <x:c r="K944" s="23" t="str">
        <x:v>1D0 07D 03B 038 05D 076 042 069 078 1C8 023 001 015 011 022 010 038 1C0</x:v>
      </x:c>
    </x:row>
    <x:row r="945">
      <x:c r="A945" s="22" t="str">
        <x:f>"03"</x:f>
        <x:v>03</x:v>
      </x:c>
      <x:c r="B945" s="22" t="str">
        <x:f>"AF"</x:f>
        <x:v>AF</x:v>
      </x:c>
      <x:c r="C945" s="22" t="str">
        <x:f>"0x03AF"</x:f>
        <x:v>0x03AF</x:v>
      </x:c>
      <x:c r="D945" s="21" t="str">
        <x:v>&lt;SPEAKER&gt;「キイキイ たすけてくれよう!
ジェ ジェイビーさまに
とじこめられたんだ&lt;WAIT&gt;&lt;SPEAKER&gt;「ぼく ジェイビーさまの
めいれいどおりに 人間を
おそっていたのに!&lt;WAIT&gt;&lt;SPEAKER&gt;「なんで こんな ひどいめに
あわなきゃいけないんだよー</x:v>
      </x:c>
      <x:c r="E945" s="19" t="str">
        <x:v>&lt;SPEAKER&gt;Eeek! Help me! L-Lord
J.B. locked me in here!&lt;WAIT&gt;&lt;SPEAKER&gt;I attacked humans exactly
like Lord J.B. ordered me to!&lt;WAIT&gt;&lt;SPEAKER&gt;Why do I deserve
something this horrible?!</x:v>
      </x:c>
      <x:c r="F945" s="20" t="str"/>
      <x:c r="G945" s="20" t="str"/>
      <x:c r="H945" s="23" t="str">
        <x:v>SPEAKER NEWLINE WAIT SPEAKER NEWLINE WAIT SPEAKER NEWLINE END</x:v>
      </x:c>
      <x:c r="I945" s="23" t="str">
        <x:v>E9:4BE1</x:v>
      </x:c>
      <x:c r="J945" s="23" t="str">
        <x:v>CC 45 65 65 6B 21 01 48 65 6C 70 01 6D 65 21 01 4C 2D 4C 6F 72 64 C8 4A 2E 42 2E 01 6C 6F 63 6B 65 64 01 6D 65 01 69 6E 01 68 65 72 65 21 C5 CC 49 01 61 74 74 61 63 6B 65 64 01 68 75 6D 61 6E 73 01 65 78 61 63 74 6C 79 C8 6C 69 6B 65 01 4C 6F 72 64 01 4A 2E 42 2E 01 6F 72 64 65 72 65 64 01 6D 65 01 74 6F 21 C5 CC 57 68 79 01 64 6F 01 49 01 64 65 73 65 72 76 65 C8 73 6F 6D 65 74 68 69 6E 67 01 74 68 69 73 01 68 6F 72 72 69 62 6C 65 3F 21 C0</x:v>
      </x:c>
      <x:c r="K945" s="23" t="str">
        <x:v>1CC 048 043 048 043 001 01F 01C 018 022 017 039 035 012 07A 1C8 084 04D 076 001 084 04D 076 043 084 05C 078 01A 02E 025 1C8 023 084 01B 019 031 036 039 01F 03D 084 01F 1C5 1CC 084 02D 017 001 084 04D 076 043 084 05C 078 01A 02E 028 1C8 031 011 039 011 084 023 014 037 025 001 091 0E3 03C 1C8 014 01E 03E 022 011 01F 028 025 07A 1C5 1CC 024 03D 084 022 001 019 03D 024 001 02A 084 023 011 031 025 1C8 010 03B 024 016 03F 011 018 024 011 03D 084 01F 035 078 1C0</x:v>
      </x:c>
    </x:row>
    <x:row r="946">
      <x:c r="A946" s="22" t="str">
        <x:f>"03"</x:f>
        <x:v>03</x:v>
      </x:c>
      <x:c r="B946" s="22" t="str">
        <x:f>"B0"</x:f>
        <x:v>B0</x:v>
      </x:c>
      <x:c r="C946" s="22" t="str">
        <x:f>"0x03B0"</x:f>
        <x:v>0x03B0</x:v>
      </x:c>
      <x:c r="D946" s="21" t="str">
        <x:v>&lt;SPEAKER&gt;「キイキイ おいトマトン!
おまえ こんなとこに いちゃ
いけないよ!&lt;WAIT&gt;&lt;SPEAKER&gt;「ちょっと みぎのほうに
からっぽの おりが あるだろ?
おまえの なかまが いたんだよ&lt;WAIT&gt;&lt;SPEAKER&gt;「ついさっき えたいのしれない
きかいに すいこまれて
どこかへ いっちまったんだよー</x:v>
      </x:c>
      <x:c r="E946" s="19" t="str">
        <x:v>&lt;SPEAKER&gt;Eeek! Hey, Tomaton!
You should not be in here!&lt;WAIT&gt;&lt;SPEAKER&gt;See the empty cage
a little to the right? One
of your kind was in there.&lt;WAIT&gt;&lt;SPEAKER&gt;Just now, some
strange machine sucked it
up and carried it away!</x:v>
      </x:c>
      <x:c r="F946" s="20" t="str"/>
      <x:c r="G946" s="20" t="str"/>
      <x:c r="H946" s="23" t="str">
        <x:v>SPEAKER NEWLINE WAIT SPEAKER NEWLINE NEWLINE WAIT SPEAKER NEWLINE NEWLINE END</x:v>
      </x:c>
      <x:c r="I946" s="23" t="str">
        <x:v>E9:4C75</x:v>
      </x:c>
      <x:c r="J946" s="23" t="str">
        <x:v>CC 45 65 65 6B 21 01 48 65 79 2C 01 54 6F 6D 61 74 6F 6E 21 C8 59 6F 75 01 73 68 6F 75 6C 64 01 6E 6F 74 01 62 65 01 69 6E 01 68 65 72 65 21 C5 CC 53 65 65 01 74 68 65 01 65 6D 70 74 79 01 63 61 67 65 C8 61 01 6C 69 74 74 6C 65 01 74 6F 01 74 68 65 01 72 69 67 68 74 3F 01 4F 6E 65 C8 6F 66 01 79 6F 75 72 01 6B 69 6E 64 01 77 61 73 01 69 6E 01 74 68 65 72 65 2E C5 CC 4A 75 73 74 01 6E 6F 77 2C 01 73 6F 6D 65 C8 73 74 72 61 6E 67 65 01 6D 61 63 68 69 6E 65 01 73 75 63 6B 65 64 01 69 74 C8 75 70 01 61 6E 64 01 63 61 72 72 69 65 64 01 69 74 01 61 77 61 79 21 C0</x:v>
      </x:c>
      <x:c r="K946" s="23" t="str">
        <x:v>1CC 048 043 048 043 001 014 011 055 060 055 06F 07A 1C8 014 02E 013 001 019 03D 024 023 019 025 001 011 020 03F 1C8 011 018 024 011 035 07A 1C5 1CC 020 041 03E 023 001 02F 084 016 028 02D 012 025 1C8 015 036 03E 083 02D 028 001 014 037 084 015 001 010 038 084 01F 03A 079 1C8 014 02E 013 028 001 024 015 02E 084 015 001 011 01F 03D 084 01F 035 1C5 1CC 021 011 01A 03E 016 001 013 01F 011 028 01B 039 024 011 1C8 016 015 011 025 001 01C 011 019 02E 039 022 1C8 084 023 019 015 02C 001 011 03E 020 02E 03E 01F 03D 084 01F 035 078 1C0</x:v>
      </x:c>
    </x:row>
    <x:row r="947">
      <x:c r="A947" s="22" t="str">
        <x:f>"03"</x:f>
        <x:v>03</x:v>
      </x:c>
      <x:c r="B947" s="22" t="str">
        <x:f>"B1"</x:f>
        <x:v>B1</x:v>
      </x:c>
      <x:c r="C947" s="22" t="str">
        <x:f>"0x03B1"</x:f>
        <x:v>0x03B1</x:v>
      </x:c>
      <x:c r="D947" s="21" t="str">
        <x:v>&lt;CLEAR&gt;
「ベビーバロン
と かいてある</x:v>
      </x:c>
      <x:c r="E947" s="19" t="str">
        <x:v>&lt;CLEAR&gt;"BABY BARON" is written here.</x:v>
      </x:c>
      <x:c r="F947" s="20" t="str"/>
      <x:c r="G947" s="20" t="str"/>
      <x:c r="H947" s="23" t="str">
        <x:v>CLEAR END</x:v>
      </x:c>
      <x:c r="I947" s="23" t="str">
        <x:v>E9:4D31</x:v>
      </x:c>
      <x:c r="J947" s="23" t="str">
        <x:v>D0 22 42 41 42 59 01 42 41 52 4F 4E 22 01 69 73 01 77 72 69 74 74 65 6E 01 68 65 72 65 2E C0</x:v>
      </x:c>
      <x:c r="K947" s="23" t="str">
        <x:v>1D0 07D 084 05E 084 05C 078 084 05B 06C 06F 1C8 023 001 015 011 022 010 038 1C0</x:v>
      </x:c>
    </x:row>
    <x:row r="948">
      <x:c r="A948" s="22" t="str">
        <x:f>"03"</x:f>
        <x:v>03</x:v>
      </x:c>
      <x:c r="B948" s="22" t="str">
        <x:f>"B2"</x:f>
        <x:v>B2</x:v>
      </x:c>
      <x:c r="C948" s="22" t="str">
        <x:f>"0x03B2"</x:f>
        <x:v>0x03B2</x:v>
      </x:c>
      <x:c r="D948" s="21" t="str">
        <x:v>&lt;SPEAKER&gt;「ぼくたちは バカだったよ!&lt;WAIT&gt;&lt;SPEAKER&gt;「ジェイビーさまを しんじて
つくしてきたのに このざまさ!&lt;WAIT&gt;&lt;SPEAKER&gt;「古代の装置が 復活したとたん
ぼくたちは 実験ざいりょうさ!
ふん わらいたければ わらえよ!&lt;WAIT&gt;&lt;SPEAKER&gt;「え? 古代の装置の場所?
さあね この塔の どこかから
行けるらしいけど しらないね</x:v>
      </x:c>
      <x:c r="E948" s="19" t="str">
        <x:v>&lt;SPEAKER&gt;We were fools!&lt;WAIT&gt;&lt;SPEAKER&gt;We trusted Lord J.B.,
served him, and look at us now!&lt;WAIT&gt;&lt;SPEAKER&gt;Once the ancient
device worked, we became
test subjects! Go ahead, laugh!&lt;WAIT&gt;&lt;SPEAKER&gt;Where is it? I don't
know. Somewhere in this
tower leads there, apparently.</x:v>
      </x:c>
      <x:c r="F948" s="20" t="str"/>
      <x:c r="G948" s="20" t="str"/>
      <x:c r="H948" s="23" t="str">
        <x:v>SPEAKER WAIT SPEAKER NEWLINE WAIT SPEAKER NEWLINE NEWLINE WAIT SPEAKER NEWLINE NEWLINE END</x:v>
      </x:c>
      <x:c r="I948" s="23" t="str">
        <x:v>E9:4D50</x:v>
      </x:c>
      <x:c r="J948" s="23" t="str">
        <x:v>CC 57 65 01 77 65 72 65 01 66 6F 6F 6C 73 21 C5 CC 57 65 01 74 72 75 73 74 65 64 01 4C 6F 72 64 01 4A 2E 42 2E 2C C8 73 65 72 76 65 64 01 68 69 6D 2C 01 61 6E 64 01 6C 6F 6F 6B 01 61 74 01 75 73 01 6E 6F 77 21 C5 CC 4F 6E 63 65 01 74 68 65 01 61 6E 63 69 65 6E 74 C8 64 65 76 69 63 65 01 77 6F 72 6B 65 64 2C 01 77 65 01 62 65 63 61 6D 65 C8 74 65 73 74 01 73 75 62 6A 65 63 74 73 21 01 47 6F 01 61 68 65 61 64 2C 01 6C 61 75 67 68 21 C5 CC 57 68 65 72 65 01 69 73 01 69 74 3F 01 49 01 64 6F 6E 27 74 C8 6B 6E 6F 77 2E 01 53 6F 6D 65 77 68 65 72 65 01 69 6E 01 74 68 69 73 C8 74 6F 77 65 72 01 6C 65 61 64 73 01 74 68 65 72 65 2C 01 61 70 70 61 72 65 6E 74 6C 79 2E C0</x:v>
      </x:c>
      <x:c r="K948" s="23" t="str">
        <x:v>1CC 084 02D 017 01F 020 029 001 084 05B 047 084 01F 03E 01F 035 07A 1C5 1CC 084 04D 076 043 084 05C 078 01A 02E 03C 001 01B 03D 084 01B 022 1C8 021 017 01B 022 016 01F 028 025 001 019 028 084 01A 02E 01A 07A 1C5 1CC 096 09F 028 0C2 19F 084 015 001 18B 0B4 01B 01F 023 01F 03D 1C8 084 02D 017 01F 020 029 001 0DD 0F3 084 01A 011 037 041 012 01A 07A 1C8 02B 03D 001 03B 036 011 01F 018 039 084 029 001 03B 036 013 035 07A 1C5 1CC 013 079 001 096 09F 028 0C2 19F 028 0A5 12F 079 1C8 01A 010 027 001 019 028 154 028 001 084 023 019 015 015 036 1C8 08D 018 038 036 01B 011 018 084 023 001 01B 036 024 011 027 1C0</x:v>
      </x:c>
    </x:row>
    <x:row r="949">
      <x:c r="A949" s="22" t="str">
        <x:f>"03"</x:f>
        <x:v>03</x:v>
      </x:c>
      <x:c r="B949" s="22" t="str">
        <x:f>"B3"</x:f>
        <x:v>B3</x:v>
      </x:c>
      <x:c r="C949" s="22" t="str">
        <x:f>"0x03B3"</x:f>
        <x:v>0x03B3</x:v>
      </x:c>
      <x:c r="D949" s="21" t="str">
        <x:v>&lt;CLEAR&gt;
「スナイパー
と かいてある</x:v>
      </x:c>
      <x:c r="E949" s="19" t="str">
        <x:v>&lt;CLEAR&gt;"SNIPER" is written here.</x:v>
      </x:c>
      <x:c r="F949" s="20" t="str"/>
      <x:c r="G949" s="20" t="str"/>
      <x:c r="H949" s="23" t="str">
        <x:v>CLEAR END</x:v>
      </x:c>
      <x:c r="I949" s="23" t="str">
        <x:v>E9:4E2F</x:v>
      </x:c>
      <x:c r="J949" s="23" t="str">
        <x:v>D0 22 53 4E 49 50 45 52 22 01 69 73 01 77 72 69 74 74 65 6E 01 68 65 72 65 2E C0</x:v>
      </x:c>
      <x:c r="K949" s="23" t="str">
        <x:v>1D0 07D 04E 056 043 083 05B 078 1C8 023 001 015 011 022 010 038 1C0</x:v>
      </x:c>
    </x:row>
    <x:row r="950">
      <x:c r="A950" s="22" t="str">
        <x:f>"03"</x:f>
        <x:v>03</x:v>
      </x:c>
      <x:c r="B950" s="22" t="str">
        <x:f>"B4"</x:f>
        <x:v>B4</x:v>
      </x:c>
      <x:c r="C950" s="22" t="str">
        <x:f>"0x03B4"</x:f>
        <x:v>0x03B4</x:v>
      </x:c>
      <x:c r="D950" s="21" t="str">
        <x:v>&lt;SPEAKER&gt;「ひでえこと しやがるよ はふはふ&lt;WAIT&gt;&lt;SPEAKER&gt;「ジェイビーさまが 水の中の
魔物が りくの上で どれくらい
生きられるかって はふはふはふ&lt;WAIT&gt;&lt;SPEAKER&gt;「いきなり こんなとこへ
入れるんだよ
たすけてくれー はふはふはふ</x:v>
      </x:c>
      <x:c r="E950" s="19" t="str">
        <x:v>&lt;SPEAKER&gt;This is
horrible... Gasp, gasp...&lt;WAIT&gt;&lt;SPEAKER&gt;Lord J.B. wanted to
see how long water monsters
could survive on land.&lt;WAIT&gt;&lt;SPEAKER&gt;So he just threw me
in here! Help me! Gasp, gasp!</x:v>
      </x:c>
      <x:c r="F950" s="20" t="str"/>
      <x:c r="G950" s="20" t="str"/>
      <x:c r="H950" s="23" t="str">
        <x:v>SPEAKER NEWLINE WAIT SPEAKER NEWLINE NEWLINE WAIT SPEAKER NEWLINE END</x:v>
      </x:c>
      <x:c r="I950" s="23" t="str">
        <x:v>E9:4E4A</x:v>
      </x:c>
      <x:c r="J950" s="23" t="str">
        <x:v>CC 54 68 69 73 01 69 73 C8 68 6F 72 72 69 62 6C 65 2E 2E 2E 01 47 61 73 70 2C 01 67 61 73 70 2E 2E 2E C5 CC 4C 6F 72 64 01 4A 2E 42 2E 01 77 61 6E 74 65 64 01 74 6F C8 73 65 65 01 68 6F 77 01 6C 6F 6E 67 01 77 61 74 65 72 01 6D 6F 6E 73 74 65 72 73 C8 63 6F 75 6C 64 01 73 75 72 76 69 76 65 01 6F 6E 01 6C 61 6E 64 2E C5 CC 53 6F 01 68 65 01 6A 75 73 74 01 74 68 72 65 77 01 6D 65 C8 69 6E 01 68 65 72 65 21 01 48 65 6C 70 01 6D 65 21 01 47 61 73 70 2C 01 67 61 73 70 21 C0</x:v>
      </x:c>
      <x:c r="K950" s="23" t="str">
        <x:v>1CC 02A 084 022 013 019 023 001 01B 033 084 015 038 035 001 029 02B 029 02B 1C5 1CC 084 04D 076 043 084 05C 078 01A 02E 084 015 001 0B2 028 0A1 028 1C8 09A 08B 084 015 001 037 017 028 128 084 022 001 084 023 039 017 036 011 1C8 09B 016 036 039 038 015 03E 022 001 029 02B 029 02B 029 02B 1C5 1CC 011 016 024 037 001 019 03D 024 023 019 02C 1C8 08E 039 038 03D 084 01F 035 1C8 01F 01C 018 022 017 039 078 001 029 02B 029 02B 029 02B 1C0</x:v>
      </x:c>
    </x:row>
    <x:row r="951">
      <x:c r="A951" s="22" t="str">
        <x:f>"03"</x:f>
        <x:v>03</x:v>
      </x:c>
      <x:c r="B951" s="22" t="str">
        <x:f>"B5"</x:f>
        <x:v>B5</x:v>
      </x:c>
      <x:c r="C951" s="22" t="str">
        <x:f>"0x03B5"</x:f>
        <x:v>0x03B5</x:v>
      </x:c>
      <x:c r="D951" s="21" t="str">
        <x:v>&lt;CLEAR&gt;
「ジャンボトマト
と かいてある</x:v>
      </x:c>
      <x:c r="E951" s="19" t="str">
        <x:v>&lt;CLEAR&gt;"JUMBO TOMATO" is written here.</x:v>
      </x:c>
      <x:c r="F951" s="20" t="str"/>
      <x:c r="G951" s="20" t="str"/>
      <x:c r="H951" s="23" t="str">
        <x:v>CLEAR END</x:v>
      </x:c>
      <x:c r="I951" s="23" t="str">
        <x:v>E9:4EE8</x:v>
      </x:c>
      <x:c r="J951" s="23" t="str">
        <x:v>D0 22 4A 55 4D 42 4F 01 54 4F 4D 41 54 4F 22 01 69 73 01 77 72 69 74 74 65 6E 01 68 65 72 65 2E C0</x:v>
      </x:c>
      <x:c r="K951" s="23" t="str">
        <x:v>1D0 07D 084 04D 071 06F 084 05F 055 060 055 1C8 023 001 015 011 022 010 038 1C0</x:v>
      </x:c>
    </x:row>
    <x:row r="952">
      <x:c r="A952" s="22" t="str">
        <x:f>"03"</x:f>
        <x:v>03</x:v>
      </x:c>
      <x:c r="B952" s="22" t="str">
        <x:f>"B6"</x:f>
        <x:v>B6</x:v>
      </x:c>
      <x:c r="C952" s="22" t="str">
        <x:f>"0x03B6"</x:f>
        <x:v>0x03B6</x:v>
      </x:c>
      <x:c r="D952" s="21" t="str">
        <x:v>&lt;SPEAKER&gt;「ぐぎゃー ぐぎゃあ
ぐぎぎぎ ぎゃーすっ
ぐぎ どろどろどろ</x:v>
      </x:c>
      <x:c r="E952" s="19" t="str">
        <x:v>&lt;SPEAKER&gt;Gyaaah... Gyaaaah...
Grrr... GYAAH! Gurgle... gurgle...</x:v>
      </x:c>
      <x:c r="F952" s="20" t="str"/>
      <x:c r="G952" s="20" t="str"/>
      <x:c r="H952" s="23" t="str">
        <x:v>SPEAKER NEWLINE END</x:v>
      </x:c>
      <x:c r="I952" s="23" t="str">
        <x:v>E9:4F09</x:v>
      </x:c>
      <x:c r="J952" s="23" t="str">
        <x:v>CC 47 79 61 61 61 68 2E 2E 2E 01 47 79 61 61 61 61 68 2E 2E 2E C8 47 72 72 72 2E 2E 2E 01 47 59 41 41 48 21 01 47 75 72 67 6C 65 2E 2E 2E 01 67 75 72 67 6C 65 2E 2E 2E C0</x:v>
      </x:c>
      <x:c r="K952" s="23" t="str">
        <x:v>1CC 084 017 084 016 03F 078 001 084 017 084 016 03F 010 1C8 084 017 084 016 084 016 084 016 001 084 016 03F 078 01C 03E 1C8 084 017 084 016 001 084 023 03A 084 023 03A 084 023 03A 1C0</x:v>
      </x:c>
    </x:row>
    <x:row r="953">
      <x:c r="A953" s="22" t="str">
        <x:f>"03"</x:f>
        <x:v>03</x:v>
      </x:c>
      <x:c r="B953" s="22" t="str">
        <x:f>"B7"</x:f>
        <x:v>B7</x:v>
      </x:c>
      <x:c r="C953" s="22" t="str">
        <x:f>"0x03B7"</x:f>
        <x:v>0x03B7</x:v>
      </x:c>
      <x:c r="D953" s="21" t="str">
        <x:v>&lt;CLEAR&gt;
かんぜんに 目が 死んでいる
何か くすりのような物を
のまされているようだ</x:v>
      </x:c>
      <x:c r="E953" s="19" t="str">
        <x:v>&lt;CLEAR&gt;Its eyes are completely dead.
It seems to have been forced
to drink some kind of drug.</x:v>
      </x:c>
      <x:c r="F953" s="20" t="str"/>
      <x:c r="G953" s="20" t="str"/>
      <x:c r="H953" s="23" t="str">
        <x:v>CLEAR NEWLINE NEWLINE END</x:v>
      </x:c>
      <x:c r="I953" s="23" t="str">
        <x:v>E9:4F42</x:v>
      </x:c>
      <x:c r="J953" s="23" t="str">
        <x:v>D0 49 74 73 01 65 79 65 73 01 61 72 65 01 63 6F 6D 70 6C 65 74 65 6C 79 01 64 65 61 64 2E C8 49 74 01 73 65 65 6D 73 01 74 6F 01 68 61 76 65 01 62 65 65 6E 01 66 6F 72 63 65 64 C8 74 6F 01 64 72 69 6E 6B 01 73 6F 6D 65 01 6B 69 6E 64 01 6F 66 01 64 72 75 67 2E C0</x:v>
      </x:c>
      <x:c r="K953" s="23" t="str">
        <x:v>1D0 015 03D 084 01D 03D 025 001 0B6 084 015 001 0D6 03D 084 022 011 038 1C8 093 015 001 017 01C 037 028 035 012 024 08B 03C 1C8 028 02E 01A 039 022 011 038 035 012 084 01F 1C0</x:v>
      </x:c>
    </x:row>
    <x:row r="954">
      <x:c r="A954" s="22" t="str">
        <x:f>"03"</x:f>
        <x:v>03</x:v>
      </x:c>
      <x:c r="B954" s="22" t="str">
        <x:f>"B8"</x:f>
        <x:v>B8</x:v>
      </x:c>
      <x:c r="C954" s="22" t="str">
        <x:f>"0x03B8"</x:f>
        <x:v>0x03B8</x:v>
      </x:c>
      <x:c r="D954" s="21" t="str">
        <x:v>&lt;CLEAR&gt;
「トマトン
と かいてある</x:v>
      </x:c>
      <x:c r="E954" s="19" t="str">
        <x:v>&lt;CLEAR&gt;"TOMATON" is written here.</x:v>
      </x:c>
      <x:c r="F954" s="20" t="str"/>
      <x:c r="G954" s="20" t="str"/>
      <x:c r="H954" s="23" t="str">
        <x:v>CLEAR END</x:v>
      </x:c>
      <x:c r="I954" s="23" t="str">
        <x:v>E9:4F9A</x:v>
      </x:c>
      <x:c r="J954" s="23" t="str">
        <x:v>D0 22 54 4F 4D 41 54 4F 4E 22 01 69 73 01 77 72 69 74 74 65 6E 01 68 65 72 65 2E C0</x:v>
      </x:c>
      <x:c r="K954" s="23" t="str">
        <x:v>1D0 07D 055 060 055 06F 1C8 023 001 015 011 022 010 038 1C0</x:v>
      </x:c>
    </x:row>
    <x:row r="955">
      <x:c r="A955" s="22" t="str">
        <x:f>"03"</x:f>
        <x:v>03</x:v>
      </x:c>
      <x:c r="B955" s="22" t="str">
        <x:f>"B9"</x:f>
        <x:v>B9</x:v>
      </x:c>
      <x:c r="C955" s="22" t="str">
        <x:f>"0x03B9"</x:f>
        <x:v>0x03B9</x:v>
      </x:c>
      <x:c r="D955" s="21" t="str">
        <x:v>&lt;CLEAR&gt;
「ゴールドトマト
と かいてある</x:v>
      </x:c>
      <x:c r="E955" s="19" t="str">
        <x:v>&lt;CLEAR&gt;"GOLD TOMATO" is written here.</x:v>
      </x:c>
      <x:c r="F955" s="20" t="str"/>
      <x:c r="G955" s="20" t="str"/>
      <x:c r="H955" s="23" t="str">
        <x:v>CLEAR END</x:v>
      </x:c>
      <x:c r="I955" s="23" t="str">
        <x:v>E9:4FB6</x:v>
      </x:c>
      <x:c r="J955" s="23" t="str">
        <x:v>D0 22 47 4F 4C 44 01 54 4F 4D 41 54 4F 22 01 69 73 01 77 72 69 74 74 65 6E 01 68 65 72 65 2E C0</x:v>
      </x:c>
      <x:c r="K955" s="23" t="str">
        <x:v>1D0 07D 084 04B 078 06A 084 055 055 060 055 1C8 023 001 015 011 022 010 038 1C0</x:v>
      </x:c>
    </x:row>
    <x:row r="956">
      <x:c r="A956" s="22" t="str">
        <x:f>"03"</x:f>
        <x:v>03</x:v>
      </x:c>
      <x:c r="B956" s="22" t="str">
        <x:f>"BA"</x:f>
        <x:v>BA</x:v>
      </x:c>
      <x:c r="C956" s="22" t="str">
        <x:f>"0x03BA"</x:f>
        <x:v>0x03BA</x:v>
      </x:c>
      <x:c r="D956" s="21" t="str">
        <x:v>&lt;SPEAKER&gt;「われこそは トマトン大王
ポンム・ド・ロワ二世である!</x:v>
      </x:c>
      <x:c r="E956" s="19" t="str">
        <x:v>&lt;SPEAKER&gt;I am the great King
of Tomatons, Pomme de Roi II!</x:v>
      </x:c>
      <x:c r="F956" s="20" t="str"/>
      <x:c r="G956" s="20" t="str"/>
      <x:c r="H956" s="23" t="str">
        <x:v>SPEAKER NEWLINE END</x:v>
      </x:c>
      <x:c r="I956" s="23" t="str">
        <x:v>E9:4FD6</x:v>
      </x:c>
      <x:c r="J956" s="23" t="str">
        <x:v>CC 49 01 61 6D 01 74 68 65 01 67 72 65 61 74 01 4B 69 6E 67 C8 6F 66 01 54 6F 6D 61 74 6F 6E 73 2C 01 50 6F 6D 6D 65 01 64 65 01 52 6F 69 01 49 49 21 C0</x:v>
      </x:c>
      <x:c r="K956" s="23" t="str">
        <x:v>1CC 03B 039 019 01E 029 001 055 060 055 06F 0AC 155 1C8 083 05F 06F 062 081 084 055 081 06C 06D 189 0A9 084 022 010 038 07A 1C0</x:v>
      </x:c>
    </x:row>
    <x:row r="957">
      <x:c r="A957" s="22" t="str">
        <x:f>"03"</x:f>
        <x:v>03</x:v>
      </x:c>
      <x:c r="B957" s="22" t="str">
        <x:f>"BB"</x:f>
        <x:v>BB</x:v>
      </x:c>
      <x:c r="C957" s="22" t="str">
        <x:f>"0x03BB"</x:f>
        <x:v>0x03BB</x:v>
      </x:c>
      <x:c r="D957" s="21" t="str">
        <x:v>&lt;SPEAKER&gt;「ながらく とじこめられておる!
いちぞくの者に 会いたいのう!</x:v>
      </x:c>
      <x:c r="E957" s="19" t="str">
        <x:v>&lt;SPEAKER&gt;I have been imprisoned
here for far too long! I long to
see the members of my clan!</x:v>
      </x:c>
      <x:c r="F957" s="20" t="str"/>
      <x:c r="G957" s="20" t="str"/>
      <x:c r="H957" s="23" t="str">
        <x:v>SPEAKER NEWLINE NEWLINE END</x:v>
      </x:c>
      <x:c r="I957" s="23" t="str">
        <x:v>E9:5009</x:v>
      </x:c>
      <x:c r="J957" s="23" t="str">
        <x:v>CC 49 01 68 61 76 65 01 62 65 65 6E 01 69 6D 70 72 69 73 6F 6E 65 64 C8 68 65 72 65 01 66 6F 72 01 66 61 72 01 74 6F 6F 01 6C 6F 6E 67 21 01 49 01 6C 6F 6E 67 01 74 6F C8 73 65 65 01 74 68 65 01 6D 65 6D 62 65 72 73 01 6F 66 01 6D 79 01 63 6C 61 6E 21 C0</x:v>
      </x:c>
      <x:c r="K957" s="23" t="str">
        <x:v>1CC 024 084 015 036 017 001 023 084 01B 019 031 036 039 022 014 038 07A 1C8 011 020 084 01E 017 028 0A7 025 001 11E 011 01F 011 028 012 07A 1C0</x:v>
      </x:c>
    </x:row>
    <x:row r="958">
      <x:c r="A958" s="22" t="str">
        <x:f>"03"</x:f>
        <x:v>03</x:v>
      </x:c>
      <x:c r="B958" s="22" t="str">
        <x:f>"BC"</x:f>
        <x:v>BC</x:v>
      </x:c>
      <x:c r="C958" s="22" t="str">
        <x:f>"0x03BC"</x:f>
        <x:v>0x03BC</x:v>
      </x:c>
      <x:c r="D958" s="21" t="str">
        <x:v>&lt;SPEAKER&gt;「ある者は 戦いにたおれ
またある者は 実験ざいりょう
にされて・・・・&lt;WAIT&gt;&lt;SPEAKER&gt;「わしら ゴールドトマトも
いまや ぜつめつすんぜんと
なってしまった!&lt;WAIT&gt;&lt;SPEAKER&gt;「わしも このありさまでは
もはや みらいは くらいと
いわざるをえん!&lt;WAIT&gt;&lt;SPEAKER&gt;「心残りは 王家のあかし
この チャイナブーツの
ことなのだ・・・</x:v>
      </x:c>
      <x:c r="E958" s="19" t="str">
        <x:v>&lt;SPEAKER&gt;Some fell in battle. Others
were used as test subjects...&lt;WAIT&gt;&lt;SPEAKER&gt;Now we Gold
Tomatoes are on the
very brink of extinction!&lt;WAIT&gt;&lt;SPEAKER&gt;With me reduced
to this state, I must admit
our future looks grim.&lt;WAIT&gt;&lt;SPEAKER&gt;My one regret
concerns this symbol of the
royal line: the China Boots...</x:v>
      </x:c>
      <x:c r="F958" s="20" t="str"/>
      <x:c r="G958" s="20" t="str"/>
      <x:c r="H958" s="23" t="str">
        <x:v>SPEAKER NEWLINE WAIT SPEAKER NEWLINE NEWLINE WAIT SPEAKER NEWLINE NEWLINE WAIT SPEAKER NEWLINE NEWLINE END</x:v>
      </x:c>
      <x:c r="I958" s="23" t="str">
        <x:v>E9:505E</x:v>
      </x:c>
      <x:c r="J958" s="23" t="str">
        <x:v>CC 53 6F 6D 65 01 66 65 6C 6C 01 69 6E 01 62 61 74 74 6C 65 2E 01 4F 74 68 65 72 73 C8 77 65 72 65 01 75 73 65 64 01 61 73 01 74 65 73 74 01 73 75 62 6A 65 63 74 73 2E 2E 2E C5 CC 4E 6F 77 01 77 65 01 47 6F 6C 64 C8 54 6F 6D 61 74 6F 65 73 01 61 72 65 01 6F 6E 01 74 68 65 C8 76 65 72 79 01 62 72 69 6E 6B 01 6F 66 01 65 78 74 69 6E 63 74 69 6F 6E 21 C5 CC 57 69 74 68 01 6D 65 01 72 65 64 75 63 65 64 C8 74 6F 01 74 68 69 73 01 73 74 61 74 65 2C 01 49 01 6D 75 73 74 01 61 64 6D 69 74 C8 6F 75 72 01 66 75 74 75 72 65 01 6C 6F 6F 6B 73 01 67 72 69 6D 2E C5 CC 4D 79 01 6F 6E 65 01 72 65 67 72 65 74 C8 63 6F 6E 63 65 72 6E 73 01 74 68 69 73 01 73 79 6D 62 6F 6C 01 6F 66 01 74 68 65 C8 72 6F 79 61 6C 01 6C 69 6E 65 3A 01 74 68 65 01 43 68 69 6E 61 01 42 6F 6F 74 73 2E 2E 2E C0</x:v>
      </x:c>
      <x:c r="K958" s="23" t="str">
        <x:v>1CC 010 038 0A7 029 001 10D 011 025 01F 014 039 1C8 02E 01F 010 038 0A7 029 001 0DD 0F3 084 01A 011 037 041 012 1C8 025 01A 039 022 081 081 081 081 1C5 1CC 03B 01B 036 001 084 04B 078 06A 084 055 055 060 055 032 1C8 011 02E 033 001 084 01D 021 031 021 01C 03D 084 01D 03D 023 1C8 024 03E 022 01B 02E 03E 01F 07A 1C5 1CC 03B 01B 032 001 019 028 010 037 01A 02E 084 022 029 1C8 032 029 033 001 02F 036 011 029 001 017 036 011 023 1C8 011 03B 084 01A 038 03C 013 03D 07A 1C5 1CC 0D4 142 037 029 001 155 161 028 010 015 01B 1C8 019 028 001 052 071 043 056 084 05D 078 053 028 1C8 019 023 024 028 084 01F 081 081 081 1C0</x:v>
      </x:c>
    </x:row>
    <x:row r="959">
      <x:c r="A959" s="22" t="str">
        <x:f>"03"</x:f>
        <x:v>03</x:v>
      </x:c>
      <x:c r="B959" s="22" t="str">
        <x:f>"BD"</x:f>
        <x:v>BD</x:v>
      </x:c>
      <x:c r="C959" s="22" t="str">
        <x:f>"0x03BD"</x:f>
        <x:v>0x03BD</x:v>
      </x:c>
      <x:c r="D959" s="21" t="str">
        <x:v>&lt;SPEAKER&gt;「そこな ゆうかんなる わかき
ゴールドトマトよ! このブーツを
たくされてくれぬか?</x:v>
      </x:c>
      <x:c r="E959" s="19" t="str">
        <x:v>&lt;SPEAKER&gt;Brave young Gold
Tomato! Will you accept
these boots from me?</x:v>
      </x:c>
      <x:c r="F959" s="20" t="str"/>
      <x:c r="G959" s="20" t="str"/>
      <x:c r="H959" s="23" t="str">
        <x:v>SPEAKER NEWLINE NEWLINE END</x:v>
      </x:c>
      <x:c r="I959" s="23" t="str">
        <x:v>E9:5162</x:v>
      </x:c>
      <x:c r="J959" s="23" t="str">
        <x:v>CC 42 72 61 76 65 01 79 6F 75 6E 67 01 47 6F 6C 64 C8 54 6F 6D 61 74 6F 21 01 57 69 6C 6C 01 79 6F 75 01 61 63 63 65 70 74 C8 74 68 65 73 65 01 62 6F 6F 74 73 01 66 72 6F 6D 01 6D 65 3F C0</x:v>
      </x:c>
      <x:c r="K959" s="23" t="str">
        <x:v>1CC 01E 019 024 001 034 012 015 03D 024 038 001 03B 015 016 1C8 084 04B 078 06A 084 055 055 060 055 035 07A 001 019 028 084 05D 078 053 03C 1C8 01F 017 01A 039 022 017 039 026 015 079 1C0</x:v>
      </x:c>
    </x:row>
    <x:row r="960">
      <x:c r="A960" s="22" t="str">
        <x:f>"03"</x:f>
        <x:v>03</x:v>
      </x:c>
      <x:c r="B960" s="22" t="str">
        <x:f>"BE"</x:f>
        <x:v>BE</x:v>
      </x:c>
      <x:c r="C960" s="22" t="str">
        <x:f>"0x03BE"</x:f>
        <x:v>0x03BE</x:v>
      </x:c>
      <x:c r="D960" s="21" t="str">
        <x:v>&lt;SPEAKER&gt;「装備させて しんぜようか?</x:v>
      </x:c>
      <x:c r="E960" s="19" t="str">
        <x:v>&lt;SPEAKER&gt;Shall I equip
them for you?</x:v>
      </x:c>
      <x:c r="F960" s="20" t="str"/>
      <x:c r="G960" s="20" t="str"/>
      <x:c r="H960" s="23" t="str">
        <x:v>SPEAKER NEWLINE END</x:v>
      </x:c>
      <x:c r="I960" s="23" t="str">
        <x:v>E9:51A1</x:v>
      </x:c>
      <x:c r="J960" s="23" t="str">
        <x:v>CC 53 68 61 6C 6C 01 49 01 65 71 75 69 70 C8 74 68 65 6D 01 66 6F 72 01 79 6F 75 3F C0</x:v>
      </x:c>
      <x:c r="K960" s="23" t="str">
        <x:v>1CC 0C2 0C4 01A 01D 022 001 01B 03D 084 01D 035 012 015 079 1C0</x:v>
      </x:c>
    </x:row>
    <x:row r="961">
      <x:c r="A961" s="22" t="str">
        <x:f>"03"</x:f>
        <x:v>03</x:v>
      </x:c>
      <x:c r="B961" s="22" t="str">
        <x:f>"BF"</x:f>
        <x:v>BF</x:v>
      </x:c>
      <x:c r="C961" s="22" t="str">
        <x:f>"0x03BF"</x:f>
        <x:v>0x03BF</x:v>
      </x:c>
      <x:c r="D961" s="21" t="str">
        <x:v>&lt;SPEAKER&gt;「かつて トマトンと 人間は
なかよく くらしていた・・・&lt;WAIT&gt;&lt;SPEAKER&gt;「今となっては しんじられぬような
話ではある・・・&lt;WAIT&gt;&lt;SPEAKER&gt;「しかし チャイナブーツこそ
伝説の時代の トマトンと 人間の
ゆうじょうの あかし!&lt;WAIT&gt;&lt;SPEAKER&gt;「チャイナブーツあるかぎり
いつか ふたたび そのような
時代が 来るかもしれぬ!&lt;WAIT&gt;&lt;SPEAKER&gt;「わしのことは 気にせず
行くがよい! チャイナブーツを
まだ来ぬ世代に つたえるのだ!</x:v>
      </x:c>
      <x:c r="E961" s="19" t="str">
        <x:v>&lt;SPEAKER&gt;Long ago, Tomatons
and humans lived as friends...&lt;WAIT&gt;&lt;SPEAKER&gt;Hard to believe now...&lt;WAIT&gt;&lt;SPEAKER&gt;But the China
Boots prove their friendship
in the age of legend!&lt;WAIT&gt;&lt;SPEAKER&gt;As long as they survive,
perhaps that age can return!&lt;WAIT&gt;&lt;SPEAKER&gt;Don't worry about me.
Go! Carry the China Boots
to generations yet to come!</x:v>
      </x:c>
      <x:c r="F961" s="20" t="str"/>
      <x:c r="G961" s="20" t="str"/>
      <x:c r="H961" s="23" t="str">
        <x:v>SPEAKER NEWLINE WAIT SPEAKER WAIT SPEAKER NEWLINE NEWLINE WAIT SPEAKER NEWLINE WAIT SPEAKER NEWLINE NEWLINE END</x:v>
      </x:c>
      <x:c r="I961" s="23" t="str">
        <x:v>E9:51BE</x:v>
      </x:c>
      <x:c r="J961" s="23" t="str">
        <x:v>CC 4C 6F 6E 67 01 61 67 6F 2C 01 54 6F 6D 61 74 6F 6E 73 C8 61 6E 64 01 68 75 6D 61 6E 73 01 6C 69 76 65 64 01 61 73 01 66 72 69 65 6E 64 73 2E 2E 2E C5 CC 48 61 72 64 01 74 6F 01 62 65 6C 69 65 76 65 01 6E 6F 77 2E 2E 2E C5 CC 42 75 74 01 74 68 65 01 43 68 69 6E 61 C8 42 6F 6F 74 73 01 70 72 6F 76 65 01 74 68 65 69 72 01 66 72 69 65 6E 64 73 68 69 70 C8 69 6E 01 74 68 65 01 61 67 65 01 6F 66 01 6C 65 67 65 6E 64 21 C5 CC 41 73 01 6C 6F 6E 67 01 61 73 01 74 68 65 79 01 73 75 72 76 69 76 65 2C C8 70 65 72 68 61 70 73 01 74 68 61 74 01 61 67 65 01 63 61 6E 01 72 65 74 75 72 6E 21 C5 CC 44 6F 6E 27 74 01 77 6F 72 72 79 01 61 62 6F 75 74 01 6D 65 2E C8 47 6F 21 01 43 61 72 72 79 01 74 68 65 01 43 68 69 6E 61 01 42 6F 6F 74 73 C8 74 6F 01 67 65 6E 65 72 61 74 69 6F 6E 73 01 79 65 74 01 74 6F 01 63 6F 6D 65 21 C0</x:v>
      </x:c>
      <x:c r="K961" s="23" t="str">
        <x:v>1CC 015 021 022 001 055 060 055 06F 023 001 091 0E3 029 1C8 024 015 035 017 001 017 036 01B 022 011 01F 081 081 081 1C5 1CC 150 023 024 03E 022 029 001 01B 03D 084 01B 036 039 026 035 012 024 1C8 0A0 084 022 029 010 038 081 081 081 1C5 1CC 01B 015 01B 001 052 071 043 056 084 05D 078 053 019 01E 1C8 092 08F 028 164 09F 028 001 055 060 055 06F 023 001 091 0E3 028 1C8 034 012 084 01B 041 012 028 001 010 015 01B 07A 1C5 1CC 052 071 043 056 084 05D 078 053 010 038 015 084 016 037 1C8 011 021 015 001 02B 01F 01F 084 02A 001 01E 028 035 012 024 1C8 164 09F 084 015 001 097 038 015 032 01B 039 026 07A 1C5 1CC 03B 01B 028 019 023 029 001 099 025 01D 084 01C 1C8 08D 017 084 015 035 011 07A 001 052 071 043 056 084 05D 078 053 03C 1C8 02E 084 01F 097 026 0A9 09F 025 001 021 01F 013 038 028 084 01F 07A 1C0</x:v>
      </x:c>
    </x:row>
    <x:row r="962">
      <x:c r="A962" s="22" t="str">
        <x:f>"03"</x:f>
        <x:v>03</x:v>
      </x:c>
      <x:c r="B962" s="22" t="str">
        <x:f>"C0"</x:f>
        <x:v>C0</x:v>
      </x:c>
      <x:c r="C962" s="22" t="str">
        <x:f>"0x03C0"</x:f>
        <x:v>0x03C0</x:v>
      </x:c>
      <x:c r="D962" s="21" t="str">
        <x:v>&lt;SPEAKER&gt;「では いつでも
とりにくるがよい
わしは 待っておるぞ!</x:v>
      </x:c>
      <x:c r="E962" s="19" t="str">
        <x:v>&lt;SPEAKER&gt;Come back for it anytime.
I will be waiting for you!</x:v>
      </x:c>
      <x:c r="F962" s="20" t="str"/>
      <x:c r="G962" s="20" t="str"/>
      <x:c r="H962" s="23" t="str">
        <x:v>SPEAKER NEWLINE END</x:v>
      </x:c>
      <x:c r="I962" s="23" t="str">
        <x:v>E9:52CF</x:v>
      </x:c>
      <x:c r="J962" s="23" t="str">
        <x:v>CC 43 6F 6D 65 01 62 61 63 6B 01 66 6F 72 01 69 74 01 61 6E 79 74 69 6D 65 2E C8 49 01 77 69 6C 6C 01 62 65 01 77 61 69 74 69 6E 67 01 66 6F 72 01 79 6F 75 21 C0</x:v>
      </x:c>
      <x:c r="K962" s="23" t="str">
        <x:v>1CC 084 022 029 001 011 021 084 022 032 1C8 023 037 025 017 038 084 015 035 011 1C8 03B 01B 029 001 16B 03E 022 014 038 084 01E 07A 1C0</x:v>
      </x:c>
    </x:row>
    <x:row r="963">
      <x:c r="A963" s="22" t="str">
        <x:f>"03"</x:f>
        <x:v>03</x:v>
      </x:c>
      <x:c r="B963" s="22" t="str">
        <x:f>"C1"</x:f>
        <x:v>C1</x:v>
      </x:c>
      <x:c r="C963" s="22" t="str">
        <x:f>"0x03C1"</x:f>
        <x:v>0x03C1</x:v>
      </x:c>
      <x:c r="D963" s="21" t="str">
        <x:v>&lt;CLEAR&gt;
てつごうしが しまっている
たいあたりをすれば つきやぶれそうだ</x:v>
      </x:c>
      <x:c r="E963" s="19" t="str">
        <x:v>&lt;CLEAR&gt;The iron grate is shut. A hard
body blow might break through.</x:v>
      </x:c>
      <x:c r="F963" s="20" t="str"/>
      <x:c r="G963" s="20" t="str"/>
      <x:c r="H963" s="23" t="str">
        <x:v>CLEAR NEWLINE END</x:v>
      </x:c>
      <x:c r="I963" s="23" t="str">
        <x:v>E9:5305</x:v>
      </x:c>
      <x:c r="J963" s="23" t="str">
        <x:v>D0 54 68 65 01 69 72 6F 6E 01 67 72 61 74 65 01 69 73 01 73 68 75 74 2E 01 41 01 68 61 72 64 C8 62 6F 64 79 01 62 6C 6F 77 01 6D 69 67 68 74 01 62 72 65 61 6B 01 74 68 72 6F 75 67 68 2E C0</x:v>
      </x:c>
      <x:c r="K963" s="23" t="str">
        <x:v>1D0 022 021 084 019 012 01B 084 015 001 01B 02E 03E 022 011 038 1C8 01F 011 010 01F 037 03C 01C 039 084 029 001 021 016 033 084 02B 039 01E 012 084 01F 1C0</x:v>
      </x:c>
    </x:row>
    <x:row r="964">
      <x:c r="A964" s="22" t="str">
        <x:f>"03"</x:f>
        <x:v>03</x:v>
      </x:c>
      <x:c r="B964" s="22" t="str">
        <x:f>"C2"</x:f>
        <x:v>C2</x:v>
      </x:c>
      <x:c r="C964" s="22" t="str">
        <x:f>"0x03C2"</x:f>
        <x:v>0x03C2</x:v>
      </x:c>
      <x:c r="D964" s="21" t="str">
        <x:v>&lt;CLEAR&gt;
魔物の ひょうほんが ある&lt;WAIT&gt;
&lt;CLEAR&gt;
生きているのか 死んでいるのかは
わからない</x:v>
      </x:c>
      <x:c r="E964" s="19" t="str">
        <x:v>&lt;CLEAR&gt;There is a monster specimen.&lt;WAIT&gt;&lt;CLEAR&gt;It is impossible to tell
whether it is alive or dead.</x:v>
      </x:c>
      <x:c r="F964" s="20" t="str"/>
      <x:c r="G964" s="20" t="str"/>
      <x:c r="H964" s="23" t="str">
        <x:v>CLEAR WAIT CLEAR NEWLINE END</x:v>
      </x:c>
      <x:c r="I964" s="23" t="str">
        <x:v>E9:5344</x:v>
      </x:c>
      <x:c r="J964" s="23" t="str">
        <x:v>D0 54 68 65 72 65 01 69 73 01 61 01 6D 6F 6E 73 74 65 72 01 73 70 65 63 69 6D 65 6E 2E C5 D0 49 74 01 69 73 01 69 6D 70 6F 73 73 69 62 6C 65 01 74 6F 01 74 65 6C 6C C8 77 68 65 74 68 65 72 01 69 74 01 69 73 01 61 6C 69 76 65 01 6F 72 01 64 65 61 64 2E C0</x:v>
      </x:c>
      <x:c r="K964" s="23" t="str">
        <x:v>1D0 09A 08B 028 001 02A 041 012 02D 03D 084 015 001 010 038 1C5 1D0 09B 016 022 011 038 028 015 001 0D6 03D 084 022 011 038 028 015 029 1C8 03B 015 036 024 011 1C0</x:v>
      </x:c>
    </x:row>
    <x:row r="965">
      <x:c r="A965" s="22" t="str">
        <x:f>"03"</x:f>
        <x:v>03</x:v>
      </x:c>
      <x:c r="B965" s="22" t="str">
        <x:f>"C3"</x:f>
        <x:v>C3</x:v>
      </x:c>
      <x:c r="C965" s="22" t="str">
        <x:f>"0x03C3"</x:f>
        <x:v>0x03C3</x:v>
      </x:c>
      <x:c r="D965" s="21" t="str">
        <x:v>&lt;CLEAR&gt;
魔物の ひょうほんが ある&lt;WAIT&gt;
&lt;CLEAR&gt;
ちが ぜんぶ ぬかれているようだ
体全体が ひからびている</x:v>
      </x:c>
      <x:c r="E965" s="19" t="str">
        <x:v>&lt;CLEAR&gt;There is a monster specimen.&lt;WAIT&gt;&lt;CLEAR&gt;All of its blood seems drained
out. Its whole body is dried up.</x:v>
      </x:c>
      <x:c r="F965" s="20" t="str"/>
      <x:c r="G965" s="20" t="str"/>
      <x:c r="H965" s="23" t="str">
        <x:v>CLEAR WAIT CLEAR NEWLINE END</x:v>
      </x:c>
      <x:c r="I965" s="23" t="str">
        <x:v>E9:5399</x:v>
      </x:c>
      <x:c r="J965" s="23" t="str">
        <x:v>D0 54 68 65 72 65 01 69 73 01 61 01 6D 6F 6E 73 74 65 72 01 73 70 65 63 69 6D 65 6E 2E C5 D0 41 6C 6C 01 6F 66 01 69 74 73 01 62 6C 6F 6F 64 01 73 65 65 6D 73 01 64 72 61 69 6E 65 64 C8 6F 75 74 2E 01 49 74 73 01 77 68 6F 6C 65 01 62 6F 64 79 01 69 73 01 64 72 69 65 64 01 75 70 2E C0</x:v>
      </x:c>
      <x:c r="K965" s="23" t="str">
        <x:v>1D0 09A 08B 028 001 02A 041 012 02D 03D 084 015 001 010 038 1C5 1D0 020 084 015 001 084 01D 03D 084 02B 001 026 015 039 022 011 038 035 012 084 01F 1C8 0F0 145 0F0 084 015 001 02A 015 036 084 02A 022 011 038 1C0</x:v>
      </x:c>
    </x:row>
    <x:row r="966">
      <x:c r="A966" s="22" t="str">
        <x:f>"03"</x:f>
        <x:v>03</x:v>
      </x:c>
      <x:c r="B966" s="22" t="str">
        <x:f>"C4"</x:f>
        <x:v>C4</x:v>
      </x:c>
      <x:c r="C966" s="22" t="str">
        <x:f>"0x03C4"</x:f>
        <x:v>0x03C4</x:v>
      </x:c>
      <x:c r="D966" s="21" t="str">
        <x:v>&lt;CLEAR&gt;
魔物が ぴくりと 動いた!</x:v>
      </x:c>
      <x:c r="E966" s="19" t="str">
        <x:v>&lt;CLEAR&gt;The monster twitched!</x:v>
      </x:c>
      <x:c r="F966" s="20" t="str"/>
      <x:c r="G966" s="20" t="str"/>
      <x:c r="H966" s="23" t="str">
        <x:v>CLEAR END</x:v>
      </x:c>
      <x:c r="I966" s="23" t="str">
        <x:v>E9:53F8</x:v>
      </x:c>
      <x:c r="J966" s="23" t="str">
        <x:v>D0 54 68 65 01 6D 6F 6E 73 74 65 72 01 74 77 69 74 63 68 65 64 21 C0</x:v>
      </x:c>
      <x:c r="K966" s="23" t="str">
        <x:v>1D0 09A 08B 084 015 001 083 02A 017 037 023 001 0B1 011 01F 07A 1C0</x:v>
      </x:c>
    </x:row>
    <x:row r="967">
      <x:c r="A967" s="22" t="str">
        <x:f>"03"</x:f>
        <x:v>03</x:v>
      </x:c>
      <x:c r="B967" s="22" t="str">
        <x:f>"C5"</x:f>
        <x:v>C5</x:v>
      </x:c>
      <x:c r="C967" s="22" t="str">
        <x:f>"0x03C5"</x:f>
        <x:v>0x03C5</x:v>
      </x:c>
      <x:c r="D967" s="21" t="str">
        <x:v>&lt;SPEAKER&gt;「ジェ ジェイビーに 気をつけろ
やつは にくしみの かたまりじゃ&lt;WAIT&gt;&lt;SPEAKER&gt;「魔物も 人間も 全部・・・
生あるもの すべてを
ジェイビーは にくんでおるぞ・・・</x:v>
      </x:c>
      <x:c r="E967" s="19" t="str">
        <x:v>&lt;SPEAKER&gt;W-watch out for
J.B.! He is hatred itself.&lt;WAIT&gt;&lt;SPEAKER&gt;Monsters, humans...
everything. J.B. hates
every living thing...</x:v>
      </x:c>
      <x:c r="F967" s="20" t="str"/>
      <x:c r="G967" s="20" t="str"/>
      <x:c r="H967" s="23" t="str">
        <x:v>SPEAKER NEWLINE WAIT SPEAKER NEWLINE NEWLINE END</x:v>
      </x:c>
      <x:c r="I967" s="23" t="str">
        <x:v>E9:540F</x:v>
      </x:c>
      <x:c r="J967" s="23" t="str">
        <x:v>CC 57 2D 77 61 74 63 68 01 6F 75 74 01 66 6F 72 C8 4A 2E 42 2E 21 01 48 65 01 69 73 01 68 61 74 72 65 64 01 69 74 73 65 6C 66 2E C5 CC 4D 6F 6E 73 74 65 72 73 2C 01 68 75 6D 61 6E 73 2E 2E 2E C8 65 76 65 72 79 74 68 69 6E 67 2E 01 4A 2E 42 2E 01 68 61 74 65 73 C8 65 76 65 72 79 01 6C 69 76 69 6E 67 01 74 68 69 6E 67 2E 2E 2E C0</x:v>
      </x:c>
      <x:c r="K967" s="23" t="str">
        <x:v>1CC 084 04D 076 001 084 04D 076 043 084 05C 078 025 001 099 03C 021 018 03A 1C8 033 021 029 001 025 017 01B 02F 028 001 015 01F 02E 037 084 01B 03F 1C5 1CC 09A 08B 032 001 091 0E3 032 001 145 0DA 081 081 081 1C8 09B 010 038 032 028 001 01C 084 02C 022 03C 1C8 084 04D 076 043 084 05C 078 029 001 025 017 03D 084 022 014 038 084 01E 081 081 081 1C0</x:v>
      </x:c>
    </x:row>
    <x:row r="968">
      <x:c r="A968" s="22" t="str">
        <x:f>"03"</x:f>
        <x:v>03</x:v>
      </x:c>
      <x:c r="B968" s="22" t="str">
        <x:f>"C6"</x:f>
        <x:v>C6</x:v>
      </x:c>
      <x:c r="C968" s="22" t="str">
        <x:f>"0x03C6"</x:f>
        <x:v>0x03C6</x:v>
      </x:c>
      <x:c r="D968" s="21" t="str">
        <x:v>&lt;SPEAKER&gt;「わしの にくたいは やられたが
たましいは ふめつじゃ・・・
すこしは 役に たてるじゃろう・・・</x:v>
      </x:c>
      <x:c r="E968" s="19" t="str">
        <x:v>&lt;SPEAKER&gt;My body may be finished,
but my soul is immortal... I
may still be of some help...</x:v>
      </x:c>
      <x:c r="F968" s="20" t="str"/>
      <x:c r="G968" s="20" t="str"/>
      <x:c r="H968" s="23" t="str">
        <x:v>SPEAKER NEWLINE NEWLINE END</x:v>
      </x:c>
      <x:c r="I968" s="23" t="str">
        <x:v>E9:547D</x:v>
      </x:c>
      <x:c r="J968" s="23" t="str">
        <x:v>CC 4D 79 01 62 6F 64 79 01 6D 61 79 01 62 65 01 66 69 6E 69 73 68 65 64 2C C8 62 75 74 01 6D 79 01 73 6F 75 6C 01 69 73 01 69 6D 6D 6F 72 74 61 6C 2E 2E 2E 01 49 C8 6D 61 79 01 73 74 69 6C 6C 01 62 65 01 6F 66 01 73 6F 6D 65 01 68 65 6C 70 2E 2E 2E C0</x:v>
      </x:c>
      <x:c r="K968" s="23" t="str">
        <x:v>1CC 03B 01B 028 001 025 017 01F 011 029 001 033 036 039 01F 084 015 1C8 01F 02E 01B 011 029 001 02B 031 021 084 01B 03F 081 081 081 1C8 01C 019 01B 029 001 15E 025 001 01F 022 038 084 01B 03F 03A 012 081 081 081 1C0</x:v>
      </x:c>
    </x:row>
    <x:row r="969">
      <x:c r="A969" s="22" t="str">
        <x:f>"03"</x:f>
        <x:v>03</x:v>
      </x:c>
      <x:c r="B969" s="22" t="str">
        <x:f>"C7"</x:f>
        <x:v>C7</x:v>
      </x:c>
      <x:c r="C969" s="22" t="str">
        <x:f>"0x03C7"</x:f>
        <x:v>0x03C7</x:v>
      </x:c>
      <x:c r="D969" s="21" t="str">
        <x:v>&lt;CLEAR&gt;
ちいさな あなが あいている</x:v>
      </x:c>
      <x:c r="E969" s="19" t="str">
        <x:v>&lt;CLEAR&gt;There is a small hole.</x:v>
      </x:c>
      <x:c r="F969" s="20" t="str"/>
      <x:c r="G969" s="20" t="str"/>
      <x:c r="H969" s="23" t="str">
        <x:v>CLEAR END</x:v>
      </x:c>
      <x:c r="I969" s="23" t="str">
        <x:v>E9:54D1</x:v>
      </x:c>
      <x:c r="J969" s="23" t="str">
        <x:v>D0 54 68 65 72 65 01 69 73 01 61 01 73 6D 61 6C 6C 01 68 6F 6C 65 2E C0</x:v>
      </x:c>
      <x:c r="K969" s="23" t="str">
        <x:v>1D0 020 011 01A 024 001 010 024 084 015 001 010 011 022 011 038 1C0</x:v>
      </x:c>
    </x:row>
    <x:row r="970">
      <x:c r="A970" s="22" t="str">
        <x:f>"03"</x:f>
        <x:v>03</x:v>
      </x:c>
      <x:c r="B970" s="22" t="str">
        <x:f>"C8"</x:f>
        <x:v>C8</x:v>
      </x:c>
      <x:c r="C970" s="22" t="str">
        <x:f>"0x03C8"</x:f>
        <x:v>0x03C8</x:v>
      </x:c>
      <x:c r="D970" s="21" t="str">
        <x:v>&lt;SPEAKER&gt;「ぐごーっ んがががっ
ぐーごー すーはー ぐごご</x:v>
      </x:c>
      <x:c r="E970" s="19" t="str">
        <x:v>&lt;SPEAKER&gt;Gghh... nghgh...
Grrr... snore... gghhh...</x:v>
      </x:c>
      <x:c r="F970" s="20" t="str"/>
      <x:c r="G970" s="20" t="str"/>
      <x:c r="H970" s="23" t="str">
        <x:v>SPEAKER NEWLINE END</x:v>
      </x:c>
      <x:c r="I970" s="23" t="str">
        <x:v>E9:54E9</x:v>
      </x:c>
      <x:c r="J970" s="23" t="str">
        <x:v>CC 47 67 68 68 2E 2E 2E 01 6E 67 68 67 68 2E 2E 2E C8 47 72 72 72 2E 2E 2E 01 73 6E 6F 72 65 2E 2E 2E 01 67 67 68 68 68 2E 2E 2E C0</x:v>
      </x:c>
      <x:c r="K970" s="23" t="str">
        <x:v>1CC 084 017 084 019 078 03E 001 03D 084 015 084 015 084 015 03E 1C8 084 017 078 084 019 078 001 01C 078 029 078 001 084 017 084 019 084 019 1C0</x:v>
      </x:c>
    </x:row>
    <x:row r="971">
      <x:c r="A971" s="22" t="str">
        <x:f>"03"</x:f>
        <x:v>03</x:v>
      </x:c>
      <x:c r="B971" s="22" t="str">
        <x:f>"C9"</x:f>
        <x:v>C9</x:v>
      </x:c>
      <x:c r="C971" s="22" t="str">
        <x:f>"0x03C9"</x:f>
        <x:v>0x03C9</x:v>
      </x:c>
      <x:c r="D971" s="21" t="str">
        <x:v>&lt;CLEAR&gt;
こんな所でも ねているようだ</x:v>
      </x:c>
      <x:c r="E971" s="19" t="str">
        <x:v>&lt;CLEAR&gt;He is asleep even here.</x:v>
      </x:c>
      <x:c r="F971" s="20" t="str"/>
      <x:c r="G971" s="20" t="str"/>
      <x:c r="H971" s="23" t="str">
        <x:v>CLEAR END</x:v>
      </x:c>
      <x:c r="I971" s="23" t="str">
        <x:v>E9:5515</x:v>
      </x:c>
      <x:c r="J971" s="23" t="str">
        <x:v>D0 48 65 01 69 73 01 61 73 6C 65 65 70 01 65 76 65 6E 01 68 65 72 65 2E C0</x:v>
      </x:c>
      <x:c r="K971" s="23" t="str">
        <x:v>1D0 019 03D 024 12F 084 022 032 001 027 022 011 038 035 012 084 01F 1C0</x:v>
      </x:c>
    </x:row>
    <x:row r="972">
      <x:c r="A972" s="22" t="str">
        <x:f>"03"</x:f>
        <x:v>03</x:v>
      </x:c>
      <x:c r="B972" s="22" t="str">
        <x:f>"CA"</x:f>
        <x:v>CA</x:v>
      </x:c>
      <x:c r="C972" s="22" t="str">
        <x:f>"0x03CA"</x:f>
        <x:v>0x03CA</x:v>
      </x:c>
      <x:c r="D972" s="21" t="str">
        <x:v>&lt;CLEAR&gt;
ちくちくする
まるで はりのようだ
けがを しそうな 所もある</x:v>
      </x:c>
      <x:c r="E972" s="19" t="str">
        <x:v>&lt;CLEAR&gt;It is prickly. The points
are like needles. Some
could easily injure you.</x:v>
      </x:c>
      <x:c r="F972" s="20" t="str"/>
      <x:c r="G972" s="20" t="str"/>
      <x:c r="H972" s="23" t="str">
        <x:v>CLEAR NEWLINE NEWLINE END</x:v>
      </x:c>
      <x:c r="I972" s="23" t="str">
        <x:v>E9:552E</x:v>
      </x:c>
      <x:c r="J972" s="23" t="str">
        <x:v>D0 49 74 01 69 73 01 70 72 69 63 6B 6C 79 2E 01 54 68 65 01 70 6F 69 6E 74 73 C8 61 72 65 01 6C 69 6B 65 01 6E 65 65 64 6C 65 73 2E 01 53 6F 6D 65 C8 63 6F 75 6C 64 01 65 61 73 69 6C 79 01 69 6E 6A 75 72 65 01 79 6F 75 2E C0</x:v>
      </x:c>
      <x:c r="K972" s="23" t="str">
        <x:v>1D0 020 017 020 017 01C 038 1C8 02E 038 084 022 001 029 037 028 035 012 084 01F 1C8 018 084 015 03C 001 01B 01E 012 024 001 12F 032 010 038 1C0</x:v>
      </x:c>
    </x:row>
    <x:row r="973">
      <x:c r="A973" s="22" t="str">
        <x:f>"03"</x:f>
        <x:v>03</x:v>
      </x:c>
      <x:c r="B973" s="22" t="str">
        <x:f>"CB"</x:f>
        <x:v>CB</x:v>
      </x:c>
      <x:c r="C973" s="22" t="str">
        <x:f>"0x03CB"</x:f>
        <x:v>0x03CB</x:v>
      </x:c>
      <x:c r="D973" s="21" t="str">
        <x:v>&lt;SPEAKER&gt;「たいへん 長らく おまたせしました
ただいまより 活動写真を
じょうえい いたします&lt;PAUSE_60&gt;&lt;PAUSE_60&gt;&lt;PAUSE_60&gt;&lt;PAUSE_60&gt;&lt;PAUSE_60&gt;
&lt;SPEAKER&gt;「べんしは ふしょう わたくし
博物館長が
つとめさせて いただきます&lt;PAUSE_60&gt;&lt;PAUSE_60&gt;&lt;PAUSE_60&gt;&lt;PAUSE_60&gt;&lt;PAUSE_60&gt;</x:v>
      </x:c>
      <x:c r="E973" s="19" t="str">
        <x:v>&lt;SPEAKER&gt;Thank you for
your patience. We will now
begin our motion picture.&lt;PAUSE_60&gt;&lt;PAUSE_60&gt;&lt;PAUSE_60&gt;&lt;PAUSE_60&gt;&lt;PAUSE_60&gt;&lt;SPEAKER&gt;Your live narrator will
be none other than yours
truly, the museum director.&lt;PAUSE_60&gt;&lt;PAUSE_60&gt;&lt;PAUSE_60&gt;&lt;PAUSE_60&gt;&lt;PAUSE_60&gt;</x:v>
      </x:c>
      <x:c r="F973" s="20" t="str"/>
      <x:c r="G973" s="20" t="str"/>
      <x:c r="H973" s="23" t="str">
        <x:v>SPEAKER NEWLINE NEWLINE PAUSE_60 PAUSE_60 PAUSE_60 PAUSE_60 PAUSE_60 SPEAKER NEWLINE NEWLINE PAUSE_60 PAUSE_60 PAUSE_60 PAUSE_60 PAUSE_60 END</x:v>
      </x:c>
      <x:c r="I973" s="23" t="str">
        <x:v>E9:5579</x:v>
      </x:c>
      <x:c r="J973" s="23" t="str">
        <x:v>CC 54 68 61 6E 6B 01 79 6F 75 01 66 6F 72 C8 79 6F 75 72 01 70 61 74 69 65 6E 63 65 2E 01 57 65 01 77 69 6C 6C 01 6E 6F 77 C8 62 65 67 69 6E 01 6F 75 72 01 6D 6F 74 69 6F 6E 01 70 69 63 74 75 72 65 2E CB CB CB CB CB CC 59 6F 75 72 01 6C 69 76 65 01 6E 61 72 72 61 74 6F 72 01 77 69 6C 6C C8 62 65 01 6E 6F 6E 65 01 6F 74 68 65 72 01 74 68 61 6E 01 79 6F 75 72 73 C8 74 72 75 6C 79 2C 01 74 68 65 01 6D 75 73 65 75 6D 01 64 69 72 65 63 74 6F 72 2E CB CB CB CB CB C0</x:v>
      </x:c>
      <x:c r="K973" s="23" t="str">
        <x:v>1CC 01F 011 02C 03D 001 14E 036 017 001 014 02E 01F 01D 01B 02E 01B 01F 1C8 01F 084 01F 011 02E 035 037 001 0B4 0B1 0C1 0BD 03C 1C8 084 01B 041 012 013 011 001 011 01F 01B 02E 01C 1CB 1CB 1CB 1CB 1CB 1C8 1CC 084 02C 03D 01B 029 001 02B 01B 041 012 001 03B 01F 017 01B 1C8 0A4 08B 0A3 14E 084 015 1C8 021 023 031 01A 01D 022 001 011 01F 084 01F 016 02E 01C 1CB 1CB 1CB 1CB 1CB 1C0</x:v>
      </x:c>
    </x:row>
    <x:row r="974">
      <x:c r="A974" s="22" t="str">
        <x:f>"03"</x:f>
        <x:v>03</x:v>
      </x:c>
      <x:c r="B974" s="22" t="str">
        <x:f>"CC"</x:f>
        <x:v>CC</x:v>
      </x:c>
      <x:c r="C974" s="22" t="str">
        <x:f>"0x03CC"</x:f>
        <x:v>0x03CC</x:v>
      </x:c>
      <x:c r="D974" s="21" t="str">
        <x:v>&lt;SPEAKER&gt;「デスランド博物館が
ていきょう いたしまするは
題して 古代デスランド伝説なり</x:v>
      </x:c>
      <x:c r="E974" s="19" t="str">
        <x:v>&lt;SPEAKER&gt;Deathland Museum
proudly presents: The
Legends of Ancient Deathland.</x:v>
      </x:c>
      <x:c r="F974" s="20" t="str"/>
      <x:c r="G974" s="20" t="str"/>
      <x:c r="H974" s="23" t="str">
        <x:v>SPEAKER NEWLINE NEWLINE END</x:v>
      </x:c>
      <x:c r="I974" s="23" t="str">
        <x:v>E9:5614</x:v>
      </x:c>
      <x:c r="J974" s="23" t="str">
        <x:v>CC 44 65 61 74 68 6C 61 6E 64 01 4D 75 73 65 75 6D C8 70 72 6F 75 64 6C 79 01 70 72 65 73 65 6E 74 73 3A 01 54 68 65 C8 4C 65 67 65 6E 64 73 01 6F 66 01 41 6E 63 69 65 6E 74 01 44 65 61 74 68 6C 61 6E 64 2E C0</x:v>
      </x:c>
      <x:c r="K974" s="23" t="str">
        <x:v>1CC 084 054 04E 068 06F 084 055 0A4 08B 0A3 084 015 1C8 022 011 016 041 012 001 011 01F 01B 02E 01C 038 029 1C8 19C 01B 022 001 096 09F 084 054 04E 068 06F 084 055 092 08F 024 037 1C0</x:v>
      </x:c>
    </x:row>
    <x:row r="975">
      <x:c r="A975" s="22" t="str">
        <x:f>"03"</x:f>
        <x:v>03</x:v>
      </x:c>
      <x:c r="B975" s="22" t="str">
        <x:f>"CD"</x:f>
        <x:v>CD</x:v>
      </x:c>
      <x:c r="C975" s="22" t="str">
        <x:f>"0x03CD"</x:f>
        <x:v>0x03CD</x:v>
      </x:c>
      <x:c r="D975" s="21" t="str">
        <x:v>&lt;SPEAKER&gt;「今をさること 何千年もまえ
この デスランドの 地には
魔物どもしか おりませんでした</x:v>
      </x:c>
      <x:c r="E975" s="19" t="str">
        <x:v>&lt;SPEAKER&gt;Thousands upon thousands
of years ago, only monsters
lived upon the land of Deathland.</x:v>
      </x:c>
      <x:c r="F975" s="20" t="str"/>
      <x:c r="G975" s="20" t="str"/>
      <x:c r="H975" s="23" t="str">
        <x:v>SPEAKER NEWLINE NEWLINE END</x:v>
      </x:c>
      <x:c r="I975" s="23" t="str">
        <x:v>E9:565A</x:v>
      </x:c>
      <x:c r="J975" s="23" t="str">
        <x:v>CC 54 68 6F 75 73 61 6E 64 73 01 75 70 6F 6E 01 74 68 6F 75 73 61 6E 64 73 C8 6F 66 01 79 65 61 72 73 01 61 67 6F 2C 01 6F 6E 6C 79 01 6D 6F 6E 73 74 65 72 73 C8 6C 69 76 65 64 01 75 70 6F 6E 01 74 68 65 01 6C 61 6E 64 01 6F 66 01 44 65 61 74 68 6C 61 6E 64 2E C0</x:v>
      </x:c>
      <x:c r="K975" s="23" t="str">
        <x:v>1CC 150 03C 01A 038 019 023 001 093 0BC 0CA 032 02E 013 1C8 019 028 001 084 054 04E 068 06F 084 055 028 001 0D5 025 029 1C8 09A 08B 084 023 032 01B 015 001 014 037 02E 01D 03D 084 022 01B 01F 1C0</x:v>
      </x:c>
    </x:row>
    <x:row r="976">
      <x:c r="A976" s="22" t="str">
        <x:f>"03"</x:f>
        <x:v>03</x:v>
      </x:c>
      <x:c r="B976" s="22" t="str">
        <x:f>"CE"</x:f>
        <x:v>CE</x:v>
      </x:c>
      <x:c r="C976" s="22" t="str">
        <x:f>"0x03CE"</x:f>
        <x:v>0x03CE</x:v>
      </x:c>
      <x:c r="D976" s="21" t="str">
        <x:v>&lt;SPEAKER&gt;「とつぜんへんいか はたまた
神の使いか! そこに生まれたるは
悪魔の申し子 キングバロン&lt;PAUSE_60&gt;&lt;PAUSE_60&gt;&lt;PAUSE_60&gt;&lt;PAUSE_60&gt;&lt;PAUSE_60&gt;
&lt;SPEAKER&gt;「書物によれば 人間より
はるか こうどな ちのうを持つ
悪魔の申し子 キングバロン</x:v>
      </x:c>
      <x:c r="E976" s="19" t="str">
        <x:v>&lt;SPEAKER&gt;A sudden mutation? A
divine envoy? There was born
the devil's child: King Baron!&lt;PAUSE_60&gt;&lt;PAUSE_60&gt;&lt;PAUSE_60&gt;&lt;PAUSE_60&gt;&lt;PAUSE_60&gt;&lt;SPEAKER&gt;The records say King
Baron possessed intelligence
far beyond that of humans.</x:v>
      </x:c>
      <x:c r="F976" s="20" t="str"/>
      <x:c r="G976" s="20" t="str"/>
      <x:c r="H976" s="23" t="str">
        <x:v>SPEAKER NEWLINE NEWLINE PAUSE_60 PAUSE_60 PAUSE_60 PAUSE_60 PAUSE_60 SPEAKER NEWLINE NEWLINE END</x:v>
      </x:c>
      <x:c r="I976" s="23" t="str">
        <x:v>E9:56B2</x:v>
      </x:c>
      <x:c r="J976" s="23" t="str">
        <x:v>CC 41 01 73 75 64 64 65 6E 01 6D 75 74 61 74 69 6F 6E 3F 01 41 C8 64 69 76 69 6E 65 01 65 6E 76 6F 79 3F 01 54 68 65 72 65 01 77 61 73 01 62 6F 72 6E C8 74 68 65 01 64 65 76 69 6C 27 73 01 63 68 69 6C 64 3A 01 4B 69 6E 67 01 42 61 72 6F 6E 21 CB CB CB CB CB CC 54 68 65 01 72 65 63 6F 72 64 73 01 73 61 79 01 4B 69 6E 67 C8 42 61 72 6F 6E 01 70 6F 73 73 65 73 73 65 64 01 69 6E 74 65 6C 6C 69 67 65 6E 63 65 C8 66 61 72 01 62 65 79 6F 6E 64 01 74 68 61 74 01 6F 66 01 68 75 6D 61 6E 73 2E C0</x:v>
      </x:c>
      <x:c r="K976" s="23" t="str">
        <x:v>1CC 023 021 084 01D 03D 02C 03D 011 015 001 029 01F 02E 01F 1C8 0DC 028 123 011 015 07A 001 01E 019 025 09B 02E 039 01F 038 029 1C8 0B5 09A 028 126 01B 0D2 001 048 06F 084 049 084 05B 06C 06F 1CB 1CB 1CB 1CB 1CB 1C8 1CC 098 08B 025 035 039 084 029 001 091 0E3 035 037 1C8 029 038 015 001 019 012 084 023 024 001 020 028 012 03C 0D3 021 1C8 0B5 09A 028 126 01B 0D2 001 048 06F 084 049 084 05B 06C 06F 1C0</x:v>
      </x:c>
    </x:row>
    <x:row r="977">
      <x:c r="A977" s="22" t="str">
        <x:f>"03"</x:f>
        <x:v>03</x:v>
      </x:c>
      <x:c r="B977" s="22" t="str">
        <x:f>"CF"</x:f>
        <x:v>CF</x:v>
      </x:c>
      <x:c r="C977" s="22" t="str">
        <x:f>"0x03CF"</x:f>
        <x:v>0x03CF</x:v>
      </x:c>
      <x:c r="D977" s="21" t="str">
        <x:v>&lt;SPEAKER&gt;「仕掛け からくり ごうもん装置
じごくの ごとき 発明を
つぎから つぎへと 生み出した!</x:v>
      </x:c>
      <x:c r="E977" s="19" t="str">
        <x:v>&lt;SPEAKER&gt;Traps, tricks, torture
devices... He made one hellish
invention after another!</x:v>
      </x:c>
      <x:c r="F977" s="20" t="str"/>
      <x:c r="G977" s="20" t="str"/>
      <x:c r="H977" s="23" t="str">
        <x:v>SPEAKER NEWLINE NEWLINE END</x:v>
      </x:c>
      <x:c r="I977" s="23" t="str">
        <x:v>E9:5756</x:v>
      </x:c>
      <x:c r="J977" s="23" t="str">
        <x:v>CC 54 72 61 70 73 2C 01 74 72 69 63 6B 73 2C 01 74 6F 72 74 75 72 65 C8 64 65 76 69 63 65 73 2E 2E 2E 01 48 65 01 6D 61 64 65 01 6F 6E 65 01 68 65 6C 6C 69 73 68 C8 69 6E 76 65 6E 74 69 6F 6E 01 61 66 74 65 72 01 61 6E 6F 74 68 65 72 21 C0</x:v>
      </x:c>
      <x:c r="K977" s="23" t="str">
        <x:v>1CC 18F 195 018 001 015 036 017 037 001 084 019 012 032 03D 0C2 19F 1C8 084 01B 084 019 017 028 001 084 019 023 016 001 0C8 0BF 03C 1C8 021 084 016 015 036 001 021 084 016 02C 023 001 09B 02F 106 01B 01F 07A 1C0</x:v>
      </x:c>
    </x:row>
    <x:row r="978">
      <x:c r="A978" s="22" t="str">
        <x:f>"03"</x:f>
        <x:v>03</x:v>
      </x:c>
      <x:c r="B978" s="22" t="str">
        <x:f>"D0"</x:f>
        <x:v>D0</x:v>
      </x:c>
      <x:c r="C978" s="22" t="str">
        <x:f>"0x03D0"</x:f>
        <x:v>0x03D0</x:v>
      </x:c>
      <x:c r="D978" s="21" t="str">
        <x:v>&lt;SPEAKER&gt;「魔物も やつには さからえず
島は とうとう キングバロンの
天上天下ゆいがどくそん!&lt;PAUSE_60&gt;&lt;PAUSE_60&gt;&lt;PAUSE_60&gt;&lt;PAUSE_60&gt;
&lt;SPEAKER&gt;「ところがどっこい だがしかし
天才となんとかは かみひとえ!
&lt;PAUSE_60&gt;&lt;PAUSE_60&gt;&lt;PAUSE_60&gt;
&lt;SPEAKER&gt;「悪魔の 発明は
とどまるところをしらず
&lt;PAUSE_60&gt;&lt;PAUSE_60&gt;&lt;PAUSE_60&gt;
&lt;SPEAKER&gt;「魔物の 生体実験を
くりかえし くりかえし
また くりかえし</x:v>
      </x:c>
      <x:c r="E978" s="19" t="str">
        <x:v>&lt;SPEAKER&gt;No monster could
oppose him. King Baron ruled
the island as absolute master!&lt;PAUSE_60&gt;&lt;PAUSE_60&gt;&lt;PAUSE_60&gt;&lt;PAUSE_60&gt;&lt;SPEAKER&gt;But genius and madness
are only a hair apart!&lt;LINE&gt;&lt;PAUSE_60&gt;&lt;PAUSE_60&gt;&lt;PAUSE_60&gt;&lt;SPEAKER&gt;His devilish
inventions never stopped.&lt;LINE&gt;&lt;PAUSE_60&gt;&lt;PAUSE_60&gt;&lt;PAUSE_60&gt;&lt;SPEAKER&gt;Again and again, he ran
experiments on living monsters.</x:v>
      </x:c>
      <x:c r="F978" s="20" t="str"/>
      <x:c r="G978" s="20" t="str"/>
      <x:c r="H978" s="23" t="str">
        <x:v>SPEAKER NEWLINE NEWLINE PAUSE_60 PAUSE_60 PAUSE_60 PAUSE_60 SPEAKER NEWLINE LINE PAUSE_60 PAUSE_60 PAUSE_60 SPEAKER NEWLINE LINE PAUSE_60 PAUSE_60 PAUSE_60 SPEAKER NEWLINE END</x:v>
      </x:c>
      <x:c r="I978" s="23" t="str">
        <x:v>E9:57A6</x:v>
      </x:c>
      <x:c r="J978" s="23" t="str">
        <x:v>CC 4E 6F 01 6D 6F 6E 73 74 65 72 01 63 6F 75 6C 64 C8 6F 70 70 6F 73 65 01 68 69 6D 2E 01 4B 69 6E 67 01 42 61 72 6F 6E 01 72 75 6C 65 64 C8 74 68 65 01 69 73 6C 61 6E 64 01 61 73 01 61 62 73 6F 6C 75 74 65 01 6D 61 73 74 65 72 21 CB CB CB CB CC 42 75 74 01 67 65 6E 69 75 73 01 61 6E 64 01 6D 61 64 6E 65 73 73 C8 61 72 65 01 6F 6E 6C 79 01 61 01 68 61 69 72 01 61 70 61 72 74 21 C3 CB CB CB CC 48 69 73 01 64 65 76 69 6C 69 73 68 C8 69 6E 76 65 6E 74 69 6F 6E 73 01 6E 65 76 65 72 01 73 74 6F 70 70 65 64 2E C3 CB CB CB CC 41 67 61 69 6E 01 61 6E 64 01 61 67 61 69 6E 2C 01 68 65 01 72 61 6E C8 65 78 70 65 72 69 6D 65 6E 74 73 01 6F 6E 01 6C 69 76 69 6E 67 01 6D 6F 6E 73 74 65 72 73 2E C0</x:v>
      </x:c>
      <x:c r="K978" s="23" t="str">
        <x:v>1CC 09A 08B 032 001 033 021 025 029 001 01A 015 036 013 084 01C 1C8 08A 029 001 023 012 023 012 001 048 06F 084 049 084 05B 06C 06F 028 1C8 0C5 128 0C5 0B8 034 011 084 015 084 023 017 01E 03D 07A 1CB 1CB 1CB 1CB 1C8 1CC 023 019 03A 084 015 084 023 03E 019 011 001 084 01F 084 015 01B 015 01B 1C8 0C5 10A 023 024 03D 023 015 029 001 015 02F 02A 023 013 07A 1C3 1CB 1CB 1CB 1C8 1CC 0B5 09A 028 001 0C8 0BF 029 1C8 023 084 023 02E 038 023 019 03A 03C 01B 036 084 01C 1C3 1CB 1CB 1CB 1C8 1CC 09A 08B 028 001 09B 0F0 0DD 0F3 03C 1C8 017 037 015 013 01B 001 017 037 015 013 01B 1C8 02E 01F 001 017 037 015 013 01B 1C0</x:v>
      </x:c>
    </x:row>
    <x:row r="979">
      <x:c r="A979" s="22" t="str">
        <x:f>"03"</x:f>
        <x:v>03</x:v>
      </x:c>
      <x:c r="B979" s="22" t="str">
        <x:f>"D1"</x:f>
        <x:v>D1</x:v>
      </x:c>
      <x:c r="C979" s="22" t="str">
        <x:f>"0x03D1"</x:f>
        <x:v>0x03D1</x:v>
      </x:c>
      <x:c r="D979" s="21" t="str">
        <x:v>&lt;SPEAKER&gt;「とうとう つくりたるは
ひげきの 発明
魔物巨大化装置なり&lt;PAUSE_60&gt;&lt;PAUSE_60&gt;&lt;PAUSE_60&gt;
&lt;SPEAKER&gt;「きょうき らんぶのキングバロン
島の 魔物を つかまえて
つくりまくるは かいぶつを!</x:v>
      </x:c>
      <x:c r="E979" s="19" t="str">
        <x:v>&lt;SPEAKER&gt;At last he made
his tragic masterpiece: the
Monster Enlarging Device!&lt;PAUSE_60&gt;&lt;PAUSE_60&gt;&lt;PAUSE_60&gt;&lt;SPEAKER&gt;King Baron went
mad with joy, turning the
island's monsters into giants!</x:v>
      </x:c>
      <x:c r="F979" s="20" t="str"/>
      <x:c r="G979" s="20" t="str"/>
      <x:c r="H979" s="23" t="str">
        <x:v>SPEAKER NEWLINE NEWLINE PAUSE_60 PAUSE_60 PAUSE_60 SPEAKER NEWLINE NEWLINE END</x:v>
      </x:c>
      <x:c r="I979" s="23" t="str">
        <x:v>E9:588D</x:v>
      </x:c>
      <x:c r="J979" s="23" t="str">
        <x:v>CC 41 74 01 6C 61 73 74 01 68 65 01 6D 61 64 65 C8 68 69 73 01 74 72 61 67 69 63 01 6D 61 73 74 65 72 70 69 65 63 65 3A 01 74 68 65 C8 4D 6F 6E 73 74 65 72 01 45 6E 6C 61 72 67 69 6E 67 01 44 65 76 69 63 65 21 CB CB CB CC 4B 69 6E 67 01 42 61 72 6F 6E 01 77 65 6E 74 C8 6D 61 64 01 77 69 74 68 01 6A 6F 79 2C 01 74 75 72 6E 69 6E 67 01 74 68 65 C8 69 73 6C 61 6E 64 27 73 01 6D 6F 6E 73 74 65 72 73 01 69 6E 74 6F 01 67 69 61 6E 74 73 21 C0</x:v>
      </x:c>
      <x:c r="K979" s="23" t="str">
        <x:v>1CC 023 012 023 012 001 021 017 037 01F 038 029 1C8 02A 084 018 016 028 001 0C8 0BF 1C8 09A 08B 0CC 0AC 09E 0C2 19F 024 037 1CB 1CB 1CB 1C8 1CC 016 041 012 016 001 036 03D 084 02B 028 048 06F 084 049 084 05B 06C 06F 1C8 08A 028 001 09A 08B 03C 001 021 015 02E 013 022 1C8 021 017 037 02E 017 038 029 001 015 011 084 02B 021 03C 07A 1C0</x:v>
      </x:c>
    </x:row>
    <x:row r="980">
      <x:c r="A980" s="22" t="str">
        <x:f>"03"</x:f>
        <x:v>03</x:v>
      </x:c>
      <x:c r="B980" s="22" t="str">
        <x:f>"D2"</x:f>
        <x:v>D2</x:v>
      </x:c>
      <x:c r="C980" s="22" t="str">
        <x:f>"0x03D2"</x:f>
        <x:v>0x03D2</x:v>
      </x:c>
      <x:c r="D980" s="21" t="str">
        <x:v>&lt;SPEAKER&gt;「とどのつまりは 島中
大きな 魔物だらけ!&lt;PAUSE_60&gt;&lt;PAUSE_60&gt;&lt;PAUSE_60&gt;&lt;PAUSE_60&gt;
&lt;SPEAKER&gt;「力も 強い こいつらは
たちまち ともぐい はじめます</x:v>
      </x:c>
      <x:c r="E980" s="19" t="str">
        <x:v>&lt;SPEAKER&gt;Soon the whole island
was full of giant monsters!&lt;PAUSE_60&gt;&lt;PAUSE_60&gt;&lt;PAUSE_60&gt;&lt;PAUSE_60&gt;&lt;SPEAKER&gt;Powerful as they were,
they soon ate each other.&lt;LINE&gt;</x:v>
      </x:c>
      <x:c r="F980" s="20" t="str"/>
      <x:c r="G980" s="20" t="str"/>
      <x:c r="H980" s="23" t="str">
        <x:v>SPEAKER NEWLINE PAUSE_60 PAUSE_60 PAUSE_60 PAUSE_60 SPEAKER NEWLINE LINE END</x:v>
      </x:c>
      <x:c r="I980" s="23" t="str">
        <x:v>E9:5920</x:v>
      </x:c>
      <x:c r="J980" s="23" t="str">
        <x:v>CC 53 6F 6F 6E 01 74 68 65 01 77 68 6F 6C 65 01 69 73 6C 61 6E 64 C8 77 61 73 01 66 75 6C 6C 01 6F 66 01 67 69 61 6E 74 01 6D 6F 6E 73 74 65 72 73 21 CB CB CB CB CC 50 6F 77 65 72 66 75 6C 01 61 73 01 74 68 65 79 01 77 65 72 65 2C C8 74 68 65 79 01 73 6F 6F 6E 01 61 74 65 01 65 61 63 68 01 6F 74 68 65 72 2E C3 C0</x:v>
      </x:c>
      <x:c r="K980" s="23" t="str">
        <x:v>1CC 023 084 023 028 021 02E 037 029 001 08A 0A1 1C8 0AC 016 024 001 09A 08B 084 01F 036 018 07A 1CB 1CB 1CB 1CB 1C8 1CC 107 032 001 138 011 001 019 011 021 036 029 1C8 01F 020 02E 020 001 023 032 084 017 011 001 029 084 01B 031 02E 01C 1C3 1C0</x:v>
      </x:c>
    </x:row>
    <x:row r="981">
      <x:c r="A981" s="22" t="str">
        <x:f>"03"</x:f>
        <x:v>03</x:v>
      </x:c>
      <x:c r="B981" s="22" t="str">
        <x:f>"D3"</x:f>
        <x:v>D3</x:v>
      </x:c>
      <x:c r="C981" s="22" t="str">
        <x:f>"0x03D3"</x:f>
        <x:v>0x03D3</x:v>
      </x:c>
      <x:c r="D981" s="21" t="str">
        <x:v>&lt;SPEAKER&gt;「大きな 魔物は みさかいなく
えさを さがして うろつきまわり
キングバロンも ねらいます&lt;PAUSE_60&gt;&lt;PAUSE_60&gt;&lt;PAUSE_60&gt;
&lt;SPEAKER&gt;「自ら 生んだ 魔物どもに
おいつめられたる キングバロン
&lt;PAUSE_60&gt;&lt;PAUSE_60&gt;&lt;PAUSE_60&gt;</x:v>
      </x:c>
      <x:c r="E981" s="19" t="str">
        <x:v>&lt;SPEAKER&gt;Giant monsters
roamed for food and
even targeted King Baron.&lt;PAUSE_60&gt;&lt;PAUSE_60&gt;&lt;PAUSE_60&gt;&lt;SPEAKER&gt;King Baron was cornered
by the monsters he created.&lt;LINE&gt;&lt;PAUSE_60&gt;&lt;PAUSE_60&gt;&lt;PAUSE_60&gt;</x:v>
      </x:c>
      <x:c r="F981" s="20" t="str"/>
      <x:c r="G981" s="20" t="str"/>
      <x:c r="H981" s="23" t="str">
        <x:v>SPEAKER NEWLINE NEWLINE PAUSE_60 PAUSE_60 PAUSE_60 SPEAKER NEWLINE LINE PAUSE_60 PAUSE_60 PAUSE_60 END</x:v>
      </x:c>
      <x:c r="I981" s="23" t="str">
        <x:v>E9:5989</x:v>
      </x:c>
      <x:c r="J981" s="23" t="str">
        <x:v>CC 47 69 61 6E 74 01 6D 6F 6E 73 74 65 72 73 C8 72 6F 61 6D 65 64 01 66 6F 72 01 66 6F 6F 64 01 61 6E 64 C8 65 76 65 6E 01 74 61 72 67 65 74 65 64 01 4B 69 6E 67 01 42 61 72 6F 6E 2E CB CB CB CC 4B 69 6E 67 01 42 61 72 6F 6E 01 77 61 73 01 63 6F 72 6E 65 72 65 64 C8 62 79 01 74 68 65 01 6D 6F 6E 73 74 65 72 73 01 68 65 01 63 72 65 61 74 65 64 2E C3 CB CB CB C0</x:v>
      </x:c>
      <x:c r="K981" s="23" t="str">
        <x:v>1CC 0AC 016 024 001 09A 08B 029 001 02F 01A 015 011 024 017 1C8 013 01A 03C 001 01A 084 015 01B 022 001 012 03A 021 016 02E 03B 037 1C8 048 06F 084 049 084 05B 06C 06F 032 001 027 036 011 02E 01C 1CB 1CB 1CB 1C8 1CC 0E2 036 001 09B 03D 084 01F 001 09A 08B 084 023 032 025 1C8 014 011 021 031 036 039 01F 038 001 048 06F 084 049 084 05B 06C 06F 1C3 1CB 1CB 1CB 1C0</x:v>
      </x:c>
    </x:row>
    <x:row r="982">
      <x:c r="A982" s="22" t="str">
        <x:f>"03"</x:f>
        <x:v>03</x:v>
      </x:c>
      <x:c r="B982" s="22" t="str">
        <x:f>"D4"</x:f>
        <x:v>D4</x:v>
      </x:c>
      <x:c r="C982" s="22" t="str">
        <x:f>"0x03D4"</x:f>
        <x:v>0x03D4</x:v>
      </x:c>
      <x:c r="D982" s="21" t="str">
        <x:v>&lt;SPEAKER&gt;「これも はたまた うんめいか
自ら 装置に とびこんだ!
はたして うんめいは いかに?&lt;PAUSE_60&gt;&lt;PAUSE_60&gt;&lt;PAUSE_60&gt;
&lt;SPEAKER&gt;「その後の 記録は 残っておらず
時の ながれが きざまれて
古代の 謎は ふかまるばかり</x:v>
      </x:c>
      <x:c r="E982" s="19" t="str">
        <x:v>&lt;SPEAKER&gt;Was this fate as well?
He leapt into his own device!
What became of him then?&lt;PAUSE_60&gt;&lt;PAUSE_60&gt;&lt;PAUSE_60&gt;&lt;SPEAKER&gt;No later record survives.
Time marched on, leaving the
ancient mystery only deeper.</x:v>
      </x:c>
      <x:c r="F982" s="20" t="str"/>
      <x:c r="G982" s="20" t="str"/>
      <x:c r="H982" s="23" t="str">
        <x:v>SPEAKER NEWLINE NEWLINE PAUSE_60 PAUSE_60 PAUSE_60 SPEAKER NEWLINE NEWLINE END</x:v>
      </x:c>
      <x:c r="I982" s="23" t="str">
        <x:v>E9:5A02</x:v>
      </x:c>
      <x:c r="J982" s="23" t="str">
        <x:v>CC 57 61 73 01 74 68 69 73 01 66 61 74 65 01 61 73 01 77 65 6C 6C 3F C8 48 65 01 6C 65 61 70 74 01 69 6E 74 6F 01 68 69 73 01 6F 77 6E 01 64 65 76 69 63 65 21 C8 57 68 61 74 01 62 65 63 61 6D 65 01 6F 66 01 68 69 6D 01 74 68 65 6E 3F CB CB CB CC 4E 6F 01 6C 61 74 65 72 01 72 65 63 6F 72 64 01 73 75 72 76 69 76 65 73 2E C8 54 69 6D 65 01 6D 61 72 63 68 65 64 01 6F 6E 2C 01 6C 65 61 76 69 6E 67 01 74 68 65 C8 61 6E 63 69 65 6E 74 01 6D 79 73 74 65 72 79 01 6F 6E 6C 79 01 64 65 65 70 65 72 2E C0</x:v>
      </x:c>
      <x:c r="K982" s="23" t="str">
        <x:v>1CC 019 039 032 001 029 01F 02E 01F 001 012 03D 031 011 015 1C8 0E2 036 001 0C2 19F 025 001 023 084 02A 019 03D 084 01F 07A 1C8 029 01F 01B 022 001 012 03D 031 011 029 001 011 015 025 079 1CB 1CB 1CB 1C8 1CC 01E 028 1A6 028 001 11B 11A 029 001 142 03E 022 014 036 084 01C 1C8 164 028 001 024 084 015 039 084 015 001 016 084 01A 02E 039 022 1C8 096 09F 028 001 0CF 029 001 02B 015 02E 038 084 029 015 037 1C0</x:v>
      </x:c>
    </x:row>
    <x:row r="983">
      <x:c r="A983" s="22" t="str">
        <x:f>"03"</x:f>
        <x:v>03</x:v>
      </x:c>
      <x:c r="B983" s="22" t="str">
        <x:f>"D5"</x:f>
        <x:v>D5</x:v>
      </x:c>
      <x:c r="C983" s="22" t="str">
        <x:f>"0x03D5"</x:f>
        <x:v>0x03D5</x:v>
      </x:c>
      <x:c r="D983" s="21" t="str">
        <x:v>&lt;SPEAKER&gt;「いつの世も 伝説は 人の心を
かきたてて いく千人の旅人や
王様 兵士に 領主様&lt;PAUSE_60&gt;&lt;PAUSE_60&gt;&lt;PAUSE_60&gt;&lt;PAUSE_60&gt;&lt;PAUSE_60&gt;
&lt;SPEAKER&gt;「いせき もとめて 島を おとずれ
つぎから つぎへと 命を おとし
ついた名前が デスランド</x:v>
      </x:c>
      <x:c r="E983" s="19" t="str">
        <x:v>&lt;SPEAKER&gt;Legends stir every
age. Thousands came: travelers,
kings, soldiers and lords.&lt;PAUSE_60&gt;&lt;PAUSE_60&gt;&lt;PAUSE_60&gt;&lt;PAUSE_60&gt;&lt;PAUSE_60&gt;&lt;SPEAKER&gt;They sought the ruins
and died one after another.
Thus came the name Deathland.</x:v>
      </x:c>
      <x:c r="F983" s="20" t="str"/>
      <x:c r="G983" s="20" t="str"/>
      <x:c r="H983" s="23" t="str">
        <x:v>SPEAKER NEWLINE NEWLINE PAUSE_60 PAUSE_60 PAUSE_60 PAUSE_60 PAUSE_60 SPEAKER NEWLINE NEWLINE END</x:v>
      </x:c>
      <x:c r="I983" s="23" t="str">
        <x:v>E9:5AA8</x:v>
      </x:c>
      <x:c r="J983" s="23" t="str">
        <x:v>CC 4C 65 67 65 6E 64 73 01 73 74 69 72 01 65 76 65 72 79 C8 61 67 65 2E 01 54 68 6F 75 73 61 6E 64 73 01 63 61 6D 65 3A 01 74 72 61 76 65 6C 65 72 73 2C C8 6B 69 6E 67 73 2C 01 73 6F 6C 64 69 65 72 73 01 61 6E 64 01 6C 6F 72 64 73 2E CB CB CB CB CB CC 54 68 65 79 01 73 6F 75 67 68 74 01 74 68 65 01 72 75 69 6E 73 C8 61 6E 64 01 64 69 65 64 01 6F 6E 65 01 61 66 74 65 72 01 61 6E 6F 74 68 65 72 2E C8 54 68 75 73 01 63 61 6D 65 01 74 68 65 01 6E 61 6D 65 01 44 65 61 74 68 6C 61 6E 64 2E C0</x:v>
      </x:c>
      <x:c r="K983" s="23" t="str">
        <x:v>1CC 011 021 028 0A9 032 001 092 08F 029 001 091 028 0D4 03C 1C8 015 016 01F 022 022 001 011 017 0BC 091 028 0B0 091 033 1C8 155 0D9 001 13B 13C 025 001 176 12C 0D9 1CB 1CB 1CB 1CB 1CB 1C8 1CC 011 01D 016 001 032 023 031 022 001 08A 03C 001 014 023 084 01C 039 1C8 021 084 016 015 036 001 021 084 016 02C 023 001 0EE 03C 001 014 023 01B 1C8 021 011 01F 0CD 0C3 084 015 001 084 054 04E 068 06F 084 055 1C0</x:v>
      </x:c>
    </x:row>
    <x:row r="984">
      <x:c r="A984" s="22" t="str">
        <x:f>"03"</x:f>
        <x:v>03</x:v>
      </x:c>
      <x:c r="B984" s="22" t="str">
        <x:f>"D6"</x:f>
        <x:v>D6</x:v>
      </x:c>
      <x:c r="C984" s="22" t="str">
        <x:f>"0x03D6"</x:f>
        <x:v>0x03D6</x:v>
      </x:c>
      <x:c r="D984" s="21" t="str">
        <x:v>&lt;SPEAKER&gt;「ところが ところが ついにというか
発見しました 魔物の化石
考古学者の しゅうねんか!&lt;PAUSE_60&gt;&lt;PAUSE_60&gt;&lt;PAUSE_60&gt;&lt;PAUSE_60&gt;&lt;PAUSE_60&gt;
&lt;SPEAKER&gt;「世紀の発見 したひとは
考古学者のサジクさん!
&lt;PAUSE_60&gt;&lt;PAUSE_60&gt;&lt;PAUSE_60&gt;&lt;PAUSE_60&gt;
&lt;SPEAKER&gt;「ああ サジクさん サジクさん!
化石の発見は いいけれど
&lt;PAUSE_60&gt;&lt;PAUSE_60&gt;&lt;PAUSE_60&gt;&lt;PAUSE_60&gt;
&lt;SPEAKER&gt;「ふたたび 奥地に 行ったまま
いまのいまでも 行方不明
&lt;PAUSE_60&gt;&lt;PAUSE_60&gt;&lt;PAUSE_60&gt;&lt;PAUSE_60&gt;
&lt;SPEAKER&gt;「ああ 人生は なんとやら
どこにいるのか サジクさん!
&lt;PAUSE_60&gt;&lt;PAUSE_60&gt;&lt;PAUSE_60&gt;&lt;PAUSE_60&gt;&lt;PAUSE_60&gt;</x:v>
      </x:c>
      <x:c r="E984" s="19" t="str">
        <x:v>&lt;SPEAKER&gt;At last, persistence
paid off: a monster fossil was
found! Archaeology triumphs!&lt;PAUSE_60&gt;&lt;PAUSE_60&gt;&lt;PAUSE_60&gt;&lt;PAUSE_60&gt;&lt;PAUSE_60&gt;&lt;SPEAKER&gt;The historic
discoverer: archaeologist Sajik!&lt;LINE&gt;&lt;PAUSE_60&gt;&lt;PAUSE_60&gt;&lt;PAUSE_60&gt;&lt;PAUSE_60&gt;&lt;SPEAKER&gt;Ah, Sajik! Dear Sajik!
The fossil was wonderful...&lt;LINE&gt;&lt;PAUSE_60&gt;&lt;PAUSE_60&gt;&lt;PAUSE_60&gt;&lt;PAUSE_60&gt;&lt;SPEAKER&gt;but he returned to the
ruins and is still missing today.&lt;LINE&gt;&lt;PAUSE_60&gt;&lt;PAUSE_60&gt;&lt;PAUSE_60&gt;&lt;PAUSE_60&gt;&lt;SPEAKER&gt;Ah, such is life!
Where are you, Sajik?&lt;LINE&gt;&lt;PAUSE_60&gt;&lt;PAUSE_60&gt;&lt;PAUSE_60&gt;&lt;PAUSE_60&gt;&lt;PAUSE_60&gt;</x:v>
      </x:c>
      <x:c r="F984" s="20" t="str"/>
      <x:c r="G984" s="20" t="str"/>
      <x:c r="H984" s="23" t="str">
        <x:v>SPEAKER NEWLINE NEWLINE PAUSE_60 PAUSE_60 PAUSE_60 PAUSE_60 PAUSE_60 SPEAKER NEWLINE LINE PAUSE_60 PAUSE_60 PAUSE_60 PAUSE_60 SPEAKER NEWLINE LINE PAUSE_60 PAUSE_60 PAUSE_60 PAUSE_60 SPEAKER NEWLINE LINE PAUSE_60 PAUSE_60 PAUSE_60 PAUSE_60 SPEAKER NEWLINE LINE PAUSE_60 PAUSE_60 PAUSE_60 PAUSE_60 PAUSE_60 END</x:v>
      </x:c>
      <x:c r="I984" s="23" t="str">
        <x:v>E9:5B4C</x:v>
      </x:c>
      <x:c r="J984" s="23" t="str">
        <x:v>CC 41 74 01 6C 61 73 74 2C 01 70 65 72 73 69 73 74 65 6E 63 65 C8 70 61 69 64 01 6F 66 66 3A 01 61 01 6D 6F 6E 73 74 65 72 01 66 6F 73 73 69 6C 01 77 61 73 C8 66 6F 75 6E 64 21 01 41 72 63 68 61 65 6F 6C 6F 67 79 01 74 72 69 75 6D 70 68 73 21 CB CB CB CB CB CC 54 68 65 01 68 69 73 74 6F 72 69 63 C8 64 69 73 63 6F 76 65 72 65 72 3A 01 61 72 63 68 61 65 6F 6C 6F 67 69 73 74 01 53 61 6A 69 6B 21 C3 CB CB CB CB CC 41 68 2C 01 53 61 6A 69 6B 21 01 44 65 61 72 01 53 61 6A 69 6B 21 C8 54 68 65 01 66 6F 73 73 69 6C 01 77 61 73 01 77 6F 6E 64 65 72 66 75 6C 2E 2E 2E C3 CB CB CB CB CC 62 75 74 01 68 65 01 72 65 74 75 72 6E 65 64 01 74 6F 01 74 68 65 C8 72 75 69 6E 73 01 61 6E 64 01 69 73 01 73 74 69 6C 6C 01 6D 69 73 73 69 6E 67 01 74 6F 64 61 79 2E C3 CB CB CB CB CC 41 68 2C 01 73 75 63 68 01 69 73 01 6C 69 66 65 21 C8 57 68 65 72 65 01 61 72 65 01 79 6F 75 2C 01 53 61 6A 69 6B 3F C3 CB CB CB CB CB C0</x:v>
      </x:c>
      <x:c r="K984" s="23" t="str">
        <x:v>1CC 023 019 03A 084 015 001 023 019 03A 084 015 001 021 011 025 023 011 012 015 1C8 0C8 090 01B 02E 01B 01F 001 09A 08B 028 09E 09D 1C8 0DB 096 0B7 0A7 028 001 01B 040 012 027 03D 015 07A 1CB 1CB 1CB 1CB 1CB 1C8 1CC 0A9 102 028 0C8 090 001 01B 01F 02A 023 029 1C8 0DB 096 0B7 0A7 028 04C 084 04D 049 01A 03D 07A 1C3 1CB 1CB 1CB 1CB 1C8 1CC 010 010 001 04C 084 04D 049 01A 03D 001 04C 084 04D 049 01A 03D 07A 1C8 09E 09D 028 0C8 090 029 001 011 011 018 039 084 023 1C3 1CB 1CB 1CB 1CB 1C8 1CC 02B 01F 01F 084 02A 001 0ED 0D5 025 001 08D 03E 01F 02E 02E 1C8 011 02E 028 011 02E 084 022 032 001 08D 0B9 0F7 0BF 1C3 1CB 1CB 1CB 1CB 1C8 1CC 010 010 001 091 09B 029 001 024 03D 023 033 036 1C8 084 023 019 025 011 038 028 015 001 04C 084 04D 049 01A 03D 07A 1C3 1CB 1CB 1CB 1CB 1CB 1C0</x:v>
      </x:c>
    </x:row>
    <x:row r="985">
      <x:c r="A985" s="22" t="str">
        <x:f>"03"</x:f>
        <x:v>03</x:v>
      </x:c>
      <x:c r="B985" s="22" t="str">
        <x:f>"D7"</x:f>
        <x:v>D7</x:v>
      </x:c>
      <x:c r="C985" s="22" t="str">
        <x:f>"0x03D7"</x:f>
        <x:v>0x03D7</x:v>
      </x:c>
      <x:c r="D985" s="21" t="str">
        <x:v>&lt;SPEAKER&gt;「ひえっ ひえっ ひえ
ほれ ほれ まあ みるがよい</x:v>
      </x:c>
      <x:c r="E985" s="19" t="str">
        <x:v>&lt;SPEAKER&gt;Hee, hee, hee... There,
there. Take a good look.</x:v>
      </x:c>
      <x:c r="F985" s="20" t="str"/>
      <x:c r="G985" s="20" t="str"/>
      <x:c r="H985" s="23" t="str">
        <x:v>SPEAKER NEWLINE END</x:v>
      </x:c>
      <x:c r="I985" s="23" t="str">
        <x:v>E9:5C7A</x:v>
      </x:c>
      <x:c r="J985" s="23" t="str">
        <x:v>CC 48 65 65 2C 01 68 65 65 2C 01 68 65 65 2E 2E 2E 01 54 68 65 72 65 2C C8 74 68 65 72 65 2E 01 54 61 6B 65 01 61 01 67 6F 6F 64 01 6C 6F 6F 6B 2E C0</x:v>
      </x:c>
      <x:c r="K985" s="23" t="str">
        <x:v>1CC 02A 013 03E 001 02A 013 03E 001 02A 013 1C8 02D 039 001 02D 039 001 02E 010 001 02F 038 084 015 035 011 1C0</x:v>
      </x:c>
    </x:row>
    <x:row r="986">
      <x:c r="A986" s="22" t="str">
        <x:f>"03"</x:f>
        <x:v>03</x:v>
      </x:c>
      <x:c r="B986" s="22" t="str">
        <x:f>"D8"</x:f>
        <x:v>D8</x:v>
      </x:c>
      <x:c r="C986" s="22" t="str">
        <x:f>"0x03D8"</x:f>
        <x:v>0x03D8</x:v>
      </x:c>
      <x:c r="D986" s="21" t="str">
        <x:v>&lt;SPEAKER&gt;「はあ はあ はあ はあ
なんというところだ! ここは!
うおっ! しかも見物人がっ!&lt;WAIT&gt;&lt;SPEAKER&gt;「よーし かっこつけるぜえ!</x:v>
      </x:c>
      <x:c r="E986" s="19" t="str">
        <x:v>&lt;SPEAKER&gt;Huff... huff... huff...
What kind of place is this?!
Whoa! And I have an audience!&lt;WAIT&gt;&lt;SPEAKER&gt;All right!
Time to look cool!</x:v>
      </x:c>
      <x:c r="F986" s="20" t="str"/>
      <x:c r="G986" s="20" t="str"/>
      <x:c r="H986" s="23" t="str">
        <x:v>SPEAKER NEWLINE NEWLINE WAIT SPEAKER NEWLINE END</x:v>
      </x:c>
      <x:c r="I986" s="23" t="str">
        <x:v>E9:5CAC</x:v>
      </x:c>
      <x:c r="J986" s="23" t="str">
        <x:v>CC 48 75 66 66 2E 2E 2E 01 68 75 66 66 2E 2E 2E 01 68 75 66 66 2E 2E 2E C8 57 68 61 74 01 6B 69 6E 64 01 6F 66 01 70 6C 61 63 65 01 69 73 01 74 68 69 73 3F 21 C8 57 68 6F 61 21 01 41 6E 64 01 49 01 68 61 76 65 01 61 6E 01 61 75 64 69 65 6E 63 65 21 C5 CC 41 6C 6C 01 72 69 67 68 74 21 C8 54 69 6D 65 01 74 6F 01 6C 6F 6F 6B 01 63 6F 6F 6C 21 C0</x:v>
      </x:c>
      <x:c r="K986" s="23" t="str">
        <x:v>1CC 029 010 001 029 010 001 029 010 001 029 010 1C8 024 03D 023 011 012 023 019 03A 084 01F 07A 001 019 019 029 07A 1C8 012 014 03E 07A 001 01B 015 032 090 08B 091 084 015 03E 07A 1C5 1CC 035 078 01B 001 015 03E 019 021 018 038 084 01D 013 07A 1C0</x:v>
      </x:c>
    </x:row>
    <x:row r="987">
      <x:c r="A987" s="22" t="str">
        <x:f>"03"</x:f>
        <x:v>03</x:v>
      </x:c>
      <x:c r="B987" s="22" t="str">
        <x:f>"D9"</x:f>
        <x:v>D9</x:v>
      </x:c>
      <x:c r="C987" s="22" t="str">
        <x:f>"0x03D9"</x:f>
        <x:v>0x03D9</x:v>
      </x:c>
      <x:c r="D987" s="21" t="str">
        <x:v>&lt;SPEAKER&gt;「うわー い いかん うわー!</x:v>
      </x:c>
      <x:c r="E987" s="19" t="str">
        <x:v>&lt;SPEAKER&gt;Waaah! N-no! Waaah!</x:v>
      </x:c>
      <x:c r="F987" s="20" t="str"/>
      <x:c r="G987" s="20" t="str"/>
      <x:c r="H987" s="23" t="str">
        <x:v>SPEAKER END</x:v>
      </x:c>
      <x:c r="I987" s="23" t="str">
        <x:v>E9:5D1F</x:v>
      </x:c>
      <x:c r="J987" s="23" t="str">
        <x:v>CC 57 61 61 61 68 21 01 4E 2D 6E 6F 21 01 57 61 61 61 68 21 C0</x:v>
      </x:c>
      <x:c r="K987" s="23" t="str">
        <x:v>1CC 012 03B 078 001 011 001 011 015 03D 001 012 03B 078 07A 1C0</x:v>
      </x:c>
    </x:row>
    <x:row r="988">
      <x:c r="A988" s="22" t="str">
        <x:f>"03"</x:f>
        <x:v>03</x:v>
      </x:c>
      <x:c r="B988" s="22" t="str">
        <x:f>"DA"</x:f>
        <x:v>DA</x:v>
      </x:c>
      <x:c r="C988" s="22" t="str">
        <x:f>"0x03DA"</x:f>
        <x:v>0x03DA</x:v>
      </x:c>
      <x:c r="D988" s="21" t="str">
        <x:v>&lt;SPEAKER&gt;「ここは客間じゃ けけけ
おまえさんも ここまで来たら けけ
泊まってって ええぞ 一生な けけ</x:v>
      </x:c>
      <x:c r="E988" s="19" t="str">
        <x:v>&lt;SPEAKER&gt;This is the guest room.
Keh. You made it this far, so
stay. Forever. Keh heh heh.</x:v>
      </x:c>
      <x:c r="F988" s="20" t="str"/>
      <x:c r="G988" s="20" t="str"/>
      <x:c r="H988" s="23" t="str">
        <x:v>SPEAKER NEWLINE NEWLINE END</x:v>
      </x:c>
      <x:c r="I988" s="23" t="str">
        <x:v>E9:5D34</x:v>
      </x:c>
      <x:c r="J988" s="23" t="str">
        <x:v>CC 54 68 69 73 01 69 73 01 74 68 65 01 67 75 65 73 74 01 72 6F 6F 6D 2E C8 4B 65 68 2E 01 59 6F 75 01 6D 61 64 65 01 69 74 01 74 68 69 73 01 66 61 72 2C 01 73 6F C8 73 74 61 79 2E 01 46 6F 72 65 76 65 72 2E 01 4B 65 68 01 68 65 68 01 68 65 68 2E C0</x:v>
      </x:c>
      <x:c r="K988" s="23" t="str">
        <x:v>1CC 019 019 029 0FD 0E3 084 01B 03F 001 018 018 018 1C8 014 02E 013 01A 03D 032 001 019 019 02E 084 022 097 01F 036 001 018 018 1C8 121 02E 03E 022 03E 022 001 013 013 084 01E 001 0AF 09B 024 001 018 018 1C0</x:v>
      </x:c>
    </x:row>
    <x:row r="989">
      <x:c r="A989" s="22" t="str">
        <x:f>"03"</x:f>
        <x:v>03</x:v>
      </x:c>
      <x:c r="B989" s="22" t="str">
        <x:f>"DB"</x:f>
        <x:v>DB</x:v>
      </x:c>
      <x:c r="C989" s="22" t="str">
        <x:f>"0x03DB"</x:f>
        <x:v>0x03DB</x:v>
      </x:c>
      <x:c r="D989" s="21" t="str">
        <x:v>&lt;SPEAKER&gt;「ここでは まいにち
たのしいことが いっぱいじゃよ
いひえっ ひえっ ひえっ</x:v>
      </x:c>
      <x:c r="E989" s="19" t="str">
        <x:v>&lt;SPEAKER&gt;Every day is packed with
fun around here. Hee hee hee!</x:v>
      </x:c>
      <x:c r="F989" s="20" t="str"/>
      <x:c r="G989" s="20" t="str"/>
      <x:c r="H989" s="23" t="str">
        <x:v>SPEAKER NEWLINE END</x:v>
      </x:c>
      <x:c r="I989" s="23" t="str">
        <x:v>E9:5D87</x:v>
      </x:c>
      <x:c r="J989" s="23" t="str">
        <x:v>CC 45 76 65 72 79 01 64 61 79 01 69 73 01 70 61 63 6B 65 64 01 77 69 74 68 C8 66 75 6E 01 61 72 6F 75 6E 64 01 68 65 72 65 2E 01 48 65 65 01 68 65 65 01 68 65 65 21 C0</x:v>
      </x:c>
      <x:c r="K989" s="23" t="str">
        <x:v>1CC 019 019 084 022 029 001 02E 011 025 020 1C8 01F 028 01B 011 019 023 084 015 001 011 03E 083 029 011 084 01B 03F 035 1C8 011 02A 013 03E 001 02A 013 03E 001 02A 013 03E 1C0</x:v>
      </x:c>
    </x:row>
    <x:row r="990">
      <x:c r="A990" s="22" t="str">
        <x:f>"03"</x:f>
        <x:v>03</x:v>
      </x:c>
      <x:c r="B990" s="22" t="str">
        <x:f>"DC"</x:f>
        <x:v>DC</x:v>
      </x:c>
      <x:c r="C990" s="22" t="str">
        <x:f>"0x03DC"</x:f>
        <x:v>0x03DC</x:v>
      </x:c>
      <x:c r="D990" s="21" t="str">
        <x:v>&lt;SPEAKER&gt;「ひえっ ひえっへっ
ほら ほら 耳を すましてごらん!</x:v>
      </x:c>
      <x:c r="E990" s="19" t="str">
        <x:v>&lt;SPEAKER&gt;Hee hee hee... Come
now. Listen very closely!</x:v>
      </x:c>
      <x:c r="F990" s="20" t="str"/>
      <x:c r="G990" s="20" t="str"/>
      <x:c r="H990" s="23" t="str">
        <x:v>SPEAKER NEWLINE END</x:v>
      </x:c>
      <x:c r="I990" s="23" t="str">
        <x:v>E9:5DBF</x:v>
      </x:c>
      <x:c r="J990" s="23" t="str">
        <x:v>CC 48 65 65 01 68 65 65 01 68 65 65 2E 2E 2E 01 43 6F 6D 65 C8 6E 6F 77 2E 01 4C 69 73 74 65 6E 01 76 65 72 79 01 63 6C 6F 73 65 6C 79 21 C0</x:v>
      </x:c>
      <x:c r="K990" s="23" t="str">
        <x:v>1CC 02A 013 03E 001 02A 013 03E 02C 03E 1C8 02D 036 001 02D 036 001 19D 03C 001 01C 02E 01B 022 084 019 036 03D 07A 1C0</x:v>
      </x:c>
    </x:row>
    <x:row r="991">
      <x:c r="A991" s="22" t="str">
        <x:f>"03"</x:f>
        <x:v>03</x:v>
      </x:c>
      <x:c r="B991" s="22" t="str">
        <x:f>"DD"</x:f>
        <x:v>DD</x:v>
      </x:c>
      <x:c r="C991" s="22" t="str">
        <x:f>"0x03DD"</x:f>
        <x:v>0x03DD</x:v>
      </x:c>
      <x:c r="D991" s="21" t="str">
        <x:v>&lt;CLEAR&gt;
目の前の 部屋の中から 声がする</x:v>
      </x:c>
      <x:c r="E991" s="19" t="str">
        <x:v>&lt;CLEAR&gt;A voice is coming from
the room in front of you.</x:v>
      </x:c>
      <x:c r="F991" s="20" t="str"/>
      <x:c r="G991" s="20" t="str"/>
      <x:c r="H991" s="23" t="str">
        <x:v>CLEAR NEWLINE END</x:v>
      </x:c>
      <x:c r="I991" s="23" t="str">
        <x:v>E9:5DEE</x:v>
      </x:c>
      <x:c r="J991" s="23" t="str">
        <x:v>D0 41 01 76 6F 69 63 65 01 69 73 01 63 6F 6D 69 6E 67 01 66 72 6F 6D C8 74 68 65 01 72 6F 6F 6D 01 69 6E 01 66 72 6F 6E 74 01 6F 66 01 79 6F 75 2E C0</x:v>
      </x:c>
      <x:c r="K991" s="23" t="str">
        <x:v>1D0 0B6 028 0C3 028 001 0DA 0B3 028 0A1 015 036 001 10E 084 015 01C 038 1C0</x:v>
      </x:c>
    </x:row>
    <x:row r="992">
      <x:c r="A992" s="22" t="str">
        <x:f>"03"</x:f>
        <x:v>03</x:v>
      </x:c>
      <x:c r="B992" s="22" t="str">
        <x:f>"DE"</x:f>
        <x:v>DE</x:v>
      </x:c>
      <x:c r="C992" s="22" t="str">
        <x:f>"0x03DE"</x:f>
        <x:v>0x03DE</x:v>
      </x:c>
      <x:c r="D992" s="21" t="str">
        <x:v>&lt;SPEAKER&gt;「ぐぎゃー ぎえぎゃー! ぐわっ
だ だすけてぐれええっ!</x:v>
      </x:c>
      <x:c r="E992" s="19" t="str">
        <x:v>&lt;SPEAKER&gt;Gyaaaah! Gyegh!
Gwaaah! H-help meee!</x:v>
      </x:c>
      <x:c r="F992" s="20" t="str"/>
      <x:c r="G992" s="20" t="str"/>
      <x:c r="H992" s="23" t="str">
        <x:v>SPEAKER NEWLINE END</x:v>
      </x:c>
      <x:c r="I992" s="23" t="str">
        <x:v>E9:5E20</x:v>
      </x:c>
      <x:c r="J992" s="23" t="str">
        <x:v>CC 47 79 61 61 61 61 68 21 01 47 79 65 67 68 21 C8 47 77 61 61 61 68 21 01 48 2D 68 65 6C 70 01 6D 65 65 65 21 C0</x:v>
      </x:c>
      <x:c r="K992" s="23" t="str">
        <x:v>1CC 084 017 084 016 03F 078 001 084 016 013 084 016 03F 078 07A 001 084 017 03B 03E 1C8 084 01F 001 084 01F 01C 018 022 084 017 039 013 013 03E 07A 1C0</x:v>
      </x:c>
    </x:row>
    <x:row r="993">
      <x:c r="A993" s="22" t="str">
        <x:f>"03"</x:f>
        <x:v>03</x:v>
      </x:c>
      <x:c r="B993" s="22" t="str">
        <x:f>"DF"</x:f>
        <x:v>DF</x:v>
      </x:c>
      <x:c r="C993" s="22" t="str">
        <x:f>"0x03DF"</x:f>
        <x:v>0x03DF</x:v>
      </x:c>
      <x:c r="D993" s="21" t="str">
        <x:v>&lt;CLEAR&gt;
声は 聞こえなくなった・・・</x:v>
      </x:c>
      <x:c r="E993" s="19" t="str">
        <x:v>&lt;CLEAR&gt;The voice falls silent...</x:v>
      </x:c>
      <x:c r="F993" s="20" t="str"/>
      <x:c r="G993" s="20" t="str"/>
      <x:c r="H993" s="23" t="str">
        <x:v>CLEAR END</x:v>
      </x:c>
      <x:c r="I993" s="23" t="str">
        <x:v>E9:5E46</x:v>
      </x:c>
      <x:c r="J993" s="23" t="str">
        <x:v>D0 54 68 65 01 76 6F 69 63 65 01 66 61 6C 6C 73 01 73 69 6C 65 6E 74 2E 2E 2E C0</x:v>
      </x:c>
      <x:c r="K993" s="23" t="str">
        <x:v>1D0 10E 029 001 0A6 019 013 024 017 024 03E 01F 081 081 081 1C0</x:v>
      </x:c>
    </x:row>
    <x:row r="994">
      <x:c r="A994" s="22" t="str">
        <x:f>"03"</x:f>
        <x:v>03</x:v>
      </x:c>
      <x:c r="B994" s="22" t="str">
        <x:f>"E0"</x:f>
        <x:v>E0</x:v>
      </x:c>
      <x:c r="C994" s="22" t="str">
        <x:f>"0x03E0"</x:f>
        <x:v>0x03E0</x:v>
      </x:c>
      <x:c r="D994" s="21" t="str">
        <x:v>&lt;CLEAR&gt;
・・・何か ガサガサした音が
下から 聞こえてくる・・・
何かが 動きまわっているようだ</x:v>
      </x:c>
      <x:c r="E994" s="19" t="str">
        <x:v>&lt;CLEAR&gt;Something rustles below...
It sounds like something is
moving around down there.</x:v>
      </x:c>
      <x:c r="F994" s="20" t="str"/>
      <x:c r="G994" s="20" t="str"/>
      <x:c r="H994" s="23" t="str">
        <x:v>CLEAR NEWLINE NEWLINE END</x:v>
      </x:c>
      <x:c r="I994" s="23" t="str">
        <x:v>E9:5E61</x:v>
      </x:c>
      <x:c r="J994" s="23" t="str">
        <x:v>D0 53 6F 6D 65 74 68 69 6E 67 01 72 75 73 74 6C 65 73 01 62 65 6C 6F 77 2E 2E 2E C8 49 74 01 73 6F 75 6E 64 73 01 6C 69 6B 65 01 73 6F 6D 65 74 68 69 6E 67 01 69 73 C8 6D 6F 76 69 6E 67 01 61 72 6F 75 6E 64 01 64 6F 77 6E 01 74 68 65 72 65 2E C0</x:v>
      </x:c>
      <x:c r="K994" s="23" t="str">
        <x:v>1D0 081 081 081 093 015 001 084 047 04C 084 047 04C 01B 01F 0E0 084 015 1C8 0B8 015 036 001 0A6 019 013 022 017 038 081 081 081 1C8 093 015 084 015 001 0B1 016 02E 03B 03E 022 011 038 035 012 084 01F 1C0</x:v>
      </x:c>
    </x:row>
    <x:row r="995">
      <x:c r="A995" s="22" t="str">
        <x:f>"03"</x:f>
        <x:v>03</x:v>
      </x:c>
      <x:c r="B995" s="22" t="str">
        <x:f>"E1"</x:f>
        <x:v>E1</x:v>
      </x:c>
      <x:c r="C995" s="22" t="str">
        <x:f>"0x03E1"</x:f>
        <x:v>0x03E1</x:v>
      </x:c>
      <x:c r="D995" s="21" t="str">
        <x:v>&lt;SPEAKER&gt;「ういー ひっく おりゃー!
おれさまはなあー ういー ひっく
おれさまだぞうー ういー げろっ</x:v>
      </x:c>
      <x:c r="E995" s="19" t="str">
        <x:v>&lt;SPEAKER&gt;Hic... Whooo! I am
the great... hic... me! That
is who I am! Hic... blegh!</x:v>
      </x:c>
      <x:c r="F995" s="20" t="str"/>
      <x:c r="G995" s="20" t="str"/>
      <x:c r="H995" s="23" t="str">
        <x:v>SPEAKER NEWLINE NEWLINE END</x:v>
      </x:c>
      <x:c r="I995" s="23" t="str">
        <x:v>E9:5EB3</x:v>
      </x:c>
      <x:c r="J995" s="23" t="str">
        <x:v>CC 48 69 63 2E 2E 2E 01 57 68 6F 6F 6F 21 01 49 01 61 6D C8 74 68 65 01 67 72 65 61 74 2E 2E 2E 01 68 69 63 2E 2E 2E 01 6D 65 21 01 54 68 61 74 C8 69 73 01 77 68 6F 01 49 01 61 6D 21 01 48 69 63 2E 2E 2E 01 62 6C 65 67 68 21 C0</x:v>
      </x:c>
      <x:c r="K995" s="23" t="str">
        <x:v>1CC 012 011 078 001 02A 03E 017 001 014 037 03F 078 07A 1C8 014 039 01A 02E 029 024 010 078 001 012 011 078 001 02A 03E 017 1C8 014 039 01A 02E 084 01F 084 01E 012 078 001 012 011 078 001 084 018 03A 03E 1C0</x:v>
      </x:c>
    </x:row>
    <x:row r="996">
      <x:c r="A996" s="22" t="str">
        <x:f>"03"</x:f>
        <x:v>03</x:v>
      </x:c>
      <x:c r="B996" s="22" t="str">
        <x:f>"E2"</x:f>
        <x:v>E2</x:v>
      </x:c>
      <x:c r="C996" s="22" t="str">
        <x:f>"0x03E2"</x:f>
        <x:v>0x03E2</x:v>
      </x:c>
      <x:c r="D996" s="21" t="str">
        <x:v>&lt;SPEAKER&gt;「後継者よ よくぞ来た!
キングバロンの 名において
そなたを ためすが よいかね?</x:v>
      </x:c>
      <x:c r="E996" s="19" t="str">
        <x:v>&lt;SPEAKER&gt;O successor, you have
come! In King Baron's name,
will you submit to my test?</x:v>
      </x:c>
      <x:c r="F996" s="20" t="str"/>
      <x:c r="G996" s="20" t="str"/>
      <x:c r="H996" s="23" t="str">
        <x:v>SPEAKER NEWLINE NEWLINE END</x:v>
      </x:c>
      <x:c r="I996" s="23" t="str">
        <x:v>E9:5EFF</x:v>
      </x:c>
      <x:c r="J996" s="23" t="str">
        <x:v>CC 4F 01 73 75 63 63 65 73 73 6F 72 2C 01 79 6F 75 01 68 61 76 65 C8 63 6F 6D 65 21 01 49 6E 01 4B 69 6E 67 01 42 61 72 6F 6E 27 73 01 6E 61 6D 65 2C C8 77 69 6C 6C 01 79 6F 75 01 73 75 62 6D 69 74 01 74 6F 01 6D 79 01 74 65 73 74 3F C0</x:v>
      </x:c>
      <x:c r="K996" s="23" t="str">
        <x:v>1CC 1A6 1A5 0A7 035 001 035 017 084 01E 097 01F 07A 1C8 048 06F 084 049 084 05B 06C 06F 028 001 0CD 025 014 011 022 1C8 01E 024 01F 03C 001 01F 031 01C 084 015 001 035 011 015 027 079 1C0</x:v>
      </x:c>
    </x:row>
    <x:row r="997">
      <x:c r="A997" s="22" t="str">
        <x:f>"03"</x:f>
        <x:v>03</x:v>
      </x:c>
      <x:c r="B997" s="22" t="str">
        <x:f>"E3"</x:f>
        <x:v>E3</x:v>
      </x:c>
      <x:c r="C997" s="22" t="str">
        <x:f>"0x03E3"</x:f>
        <x:v>0x03E3</x:v>
      </x:c>
      <x:c r="D997" s="21" t="str">
        <x:v>&lt;SPEAKER&gt;「ほう なかなか すなおで
よろしい では きくが&lt;WAIT&gt;&lt;SPEAKER&gt;「この世で もっとも いだいなのは
キングバロンだと 思っとるか?</x:v>
      </x:c>
      <x:c r="E997" s="19" t="str">
        <x:v>&lt;SPEAKER&gt;Good. I like such
obedience. Then answer me this.&lt;WAIT&gt;&lt;SPEAKER&gt;Do you believe
King Baron is the greatest
being in this world?</x:v>
      </x:c>
      <x:c r="F997" s="20" t="str"/>
      <x:c r="G997" s="20" t="str"/>
      <x:c r="H997" s="23" t="str">
        <x:v>SPEAKER NEWLINE WAIT SPEAKER NEWLINE NEWLINE END</x:v>
      </x:c>
      <x:c r="I997" s="23" t="str">
        <x:v>E9:5F4E</x:v>
      </x:c>
      <x:c r="J997" s="23" t="str">
        <x:v>CC 47 6F 6F 64 2E 01 49 01 6C 69 6B 65 01 73 75 63 68 C8 6F 62 65 64 69 65 6E 63 65 2E 01 54 68 65 6E 01 61 6E 73 77 65 72 01 6D 65 01 74 68 69 73 2E C5 CC 44 6F 01 79 6F 75 01 62 65 6C 69 65 76 65 C8 4B 69 6E 67 01 42 61 72 6F 6E 01 69 73 01 74 68 65 01 67 72 65 61 74 65 73 74 C8 62 65 69 6E 67 01 69 6E 01 74 68 69 73 01 77 6F 72 6C 64 3F C0</x:v>
      </x:c>
      <x:c r="K997" s="23" t="str">
        <x:v>1CC 02D 012 001 024 015 024 015 001 01C 024 014 084 022 1C8 035 03A 01B 011 001 084 022 029 001 016 017 084 015 1C5 1CC 019 028 0A9 084 022 001 032 03E 023 032 001 011 084 01F 011 024 028 029 1C8 048 06F 084 049 084 05B 06C 06F 084 01F 023 001 10F 03E 023 038 015 079 1C0</x:v>
      </x:c>
    </x:row>
    <x:row r="998">
      <x:c r="A998" s="22" t="str">
        <x:f>"03"</x:f>
        <x:v>03</x:v>
      </x:c>
      <x:c r="B998" s="22" t="str">
        <x:f>"E4"</x:f>
        <x:v>E4</x:v>
      </x:c>
      <x:c r="C998" s="22" t="str">
        <x:f>"0x03E4"</x:f>
        <x:v>0x03E4</x:v>
      </x:c>
      <x:c r="D998" s="21" t="str">
        <x:v>&lt;SPEAKER&gt;「ふむ しょうじきでよろしい</x:v>
      </x:c>
      <x:c r="E998" s="19" t="str">
        <x:v>&lt;SPEAKER&gt;Hmm. I
appreciate your honesty.</x:v>
      </x:c>
      <x:c r="F998" s="20" t="str"/>
      <x:c r="G998" s="20" t="str"/>
      <x:c r="H998" s="23" t="str">
        <x:v>SPEAKER NEWLINE END</x:v>
      </x:c>
      <x:c r="I998" s="23" t="str">
        <x:v>E9:5FC1</x:v>
      </x:c>
      <x:c r="J998" s="23" t="str">
        <x:v>CC 48 6D 6D 2E 01 49 C8 61 70 70 72 65 63 69 61 74 65 01 79 6F 75 72 01 68 6F 6E 65 73 74 79 2E C0</x:v>
      </x:c>
      <x:c r="K998" s="23" t="str">
        <x:v>1CC 02B 030 001 01B 041 012 084 01B 016 084 022 035 03A 01B 011 1C0</x:v>
      </x:c>
    </x:row>
    <x:row r="999">
      <x:c r="A999" s="22" t="str">
        <x:f>"03"</x:f>
        <x:v>03</x:v>
      </x:c>
      <x:c r="B999" s="22" t="str">
        <x:f>"E5"</x:f>
        <x:v>E5</x:v>
      </x:c>
      <x:c r="C999" s="22" t="str">
        <x:f>"0x03E5"</x:f>
        <x:v>0x03E5</x:v>
      </x:c>
      <x:c r="D999" s="21" t="str">
        <x:v>&lt;SPEAKER&gt;「わしを おこらせんようにな!
どんどん たずねるぞい!
ところで・・・&lt;WAIT&gt;&lt;SPEAKER&gt;「わしに てもちの お金ぜんぶを
あげてもいいと おもっとるか?</x:v>
      </x:c>
      <x:c r="E999" s="19" t="str">
        <x:v>&lt;SPEAKER&gt;Just do not make
me angry! A successor must
endure anything. Now then...&lt;WAIT&gt;&lt;SPEAKER&gt;Would you be
willing to give me every
last coin you have?</x:v>
      </x:c>
      <x:c r="F999" s="20" t="str"/>
      <x:c r="G999" s="20" t="str"/>
      <x:c r="H999" s="23" t="str">
        <x:v>SPEAKER NEWLINE NEWLINE WAIT SPEAKER NEWLINE NEWLINE END</x:v>
      </x:c>
      <x:c r="I999" s="23" t="str">
        <x:v>E9:5FE2</x:v>
      </x:c>
      <x:c r="J999" s="23" t="str">
        <x:v>CC 4A 75 73 74 01 64 6F 01 6E 6F 74 01 6D 61 6B 65 C8 6D 65 01 61 6E 67 72 79 21 01 41 01 73 75 63 63 65 73 73 6F 72 01 6D 75 73 74 C8 65 6E 64 75 72 65 01 61 6E 79 74 68 69 6E 67 2E 01 4E 6F 77 01 74 68 65 6E 2E 2E 2E C5 CC 57 6F 75 6C 64 01 79 6F 75 01 62 65 C8 77 69 6C 6C 69 6E 67 01 74 6F 01 67 69 76 65 01 6D 65 01 65 76 65 72 79 C8 6C 61 73 74 01 63 6F 69 6E 01 79 6F 75 01 68 61 76 65 3F C0</x:v>
      </x:c>
      <x:c r="K999" s="23" t="str">
        <x:v>1CC 03B 01B 03C 001 014 019 036 01D 03D 035 012 025 024 07A 1C8 084 023 03D 084 023 03D 001 01F 084 01C 027 038 084 01E 011 07A 1C8 023 019 03A 084 022 081 081 081 1C5 1CC 03B 01B 025 001 022 032 020 028 001 014 094 084 01D 03D 084 02B 03C 1C8 010 084 018 022 032 011 011 023 001 014 032 03E 023 038 015 079 1C0</x:v>
      </x:c>
    </x:row>
    <x:row r="1000">
      <x:c r="A1000" s="22" t="str">
        <x:f>"03"</x:f>
        <x:v>03</x:v>
      </x:c>
      <x:c r="B1000" s="22" t="str">
        <x:f>"E6"</x:f>
        <x:v>E6</x:v>
      </x:c>
      <x:c r="C1000" s="22" t="str">
        <x:f>"0x03E6"</x:f>
        <x:v>0x03E6</x:v>
      </x:c>
      <x:c r="D1000" s="21" t="str">
        <x:v>&lt;SPEAKER&gt;「うほほ それは うれしいな
では さっそく もらうぞい!</x:v>
      </x:c>
      <x:c r="E1000" s="19" t="str">
        <x:v>&lt;SPEAKER&gt;Ho ho! That
makes me happy. Then
I will take it right now!</x:v>
      </x:c>
      <x:c r="F1000" s="20" t="str"/>
      <x:c r="G1000" s="20" t="str"/>
      <x:c r="H1000" s="23" t="str">
        <x:v>SPEAKER NEWLINE NEWLINE END</x:v>
      </x:c>
      <x:c r="I1000" s="23" t="str">
        <x:v>E9:6067</x:v>
      </x:c>
      <x:c r="J1000" s="23" t="str">
        <x:v>CC 48 6F 01 68 6F 21 01 54 68 61 74 C8 6D 61 6B 65 73 01 6D 65 01 68 61 70 70 79 2E 01 54 68 65 6E C8 49 01 77 69 6C 6C 01 74 61 6B 65 01 69 74 01 72 69 67 68 74 01 6E 6F 77 21 C0</x:v>
      </x:c>
      <x:c r="K1000" s="23" t="str">
        <x:v>1CC 012 02D 02D 001 01E 039 029 001 012 039 01B 011 024 1C8 084 022 029 001 01A 03E 01E 017 001 032 036 012 084 01E 011 07A 1C0</x:v>
      </x:c>
    </x:row>
    <x:row r="1001">
      <x:c r="A1001" s="22" t="str">
        <x:f>"03"</x:f>
        <x:v>03</x:v>
      </x:c>
      <x:c r="B1001" s="22" t="str">
        <x:f>"E7"</x:f>
        <x:v>E7</x:v>
      </x:c>
      <x:c r="C1001" s="22" t="str">
        <x:f>"0x03E7"</x:f>
        <x:v>0x03E7</x:v>
      </x:c>
      <x:c r="D1001" s="21" t="str">
        <x:v>&lt;CLEAR&gt;
レディは
&lt;NUMBER&gt;Yを あげた</x:v>
      </x:c>
      <x:c r="E1001" s="19" t="str">
        <x:v>&lt;CLEAR&gt;Lady gave him &lt;NUMBER&gt; Y.</x:v>
      </x:c>
      <x:c r="F1001" s="20" t="str"/>
      <x:c r="G1001" s="20" t="str"/>
      <x:c r="H1001" s="23" t="str">
        <x:v>CLEAR NUMBER END</x:v>
      </x:c>
      <x:c r="I1001" s="23" t="str">
        <x:v>E9:60A3</x:v>
      </x:c>
      <x:c r="J1001" s="23" t="str">
        <x:v>D0 4C 61 64 79 01 67 61 76 65 01 68 69 6D 01 C2 01 59 2E C0</x:v>
      </x:c>
      <x:c r="K1001" s="23" t="str">
        <x:v>1D0 06B 084 054 075 029 1C8 1C2 00F 03C 001 010 084 018 01F 1C0</x:v>
      </x:c>
    </x:row>
    <x:row r="1002">
      <x:c r="A1002" s="22" t="str">
        <x:f>"03"</x:f>
        <x:v>03</x:v>
      </x:c>
      <x:c r="B1002" s="22" t="str">
        <x:f>"E8"</x:f>
        <x:v>E8</x:v>
      </x:c>
      <x:c r="C1002" s="22" t="str">
        <x:f>"0x03E8"</x:f>
        <x:v>0x03E8</x:v>
      </x:c>
      <x:c r="D1002" s="21" t="str">
        <x:v>&lt;SPEAKER&gt;「おこっては いかん いかんぞ!
後継者に なるためには
なにごとも たえしのばねばならん&lt;WAIT&gt;&lt;SPEAKER&gt;「いま あんたは わしのことを
むかついとるの? どうじゃ?</x:v>
      </x:c>
      <x:c r="E1002" s="19" t="str">
        <x:v>&lt;SPEAKER&gt;Do not get angry! You
must not! A true successor
must endure whatever comes.&lt;WAIT&gt;&lt;SPEAKER&gt;So, are you
annoyed with me right now?</x:v>
      </x:c>
      <x:c r="F1002" s="20" t="str"/>
      <x:c r="G1002" s="20" t="str"/>
      <x:c r="H1002" s="23" t="str">
        <x:v>SPEAKER NEWLINE NEWLINE WAIT SPEAKER NEWLINE END</x:v>
      </x:c>
      <x:c r="I1002" s="23" t="str">
        <x:v>E9:60B7</x:v>
      </x:c>
      <x:c r="J1002" s="23" t="str">
        <x:v>CC 44 6F 01 6E 6F 74 01 67 65 74 01 61 6E 67 72 79 21 01 59 6F 75 C8 6D 75 73 74 01 6E 6F 74 21 01 41 01 74 72 75 65 01 73 75 63 63 65 73 73 6F 72 C8 6D 75 73 74 01 65 6E 64 75 72 65 01 77 68 61 74 65 76 65 72 01 63 6F 6D 65 73 2E C5 CC 53 6F 2C 01 61 72 65 01 79 6F 75 C8 61 6E 6E 6F 79 65 64 01 77 69 74 68 01 6D 65 01 72 69 67 68 74 01 6E 6F 77 3F C0</x:v>
      </x:c>
      <x:c r="K1002" s="23" t="str">
        <x:v>1CC 014 019 03E 022 029 001 011 015 03D 001 011 015 03D 084 01E 07A 1C8 1A6 1A5 0A7 025 001 024 038 01F 031 025 029 1C8 024 025 084 019 023 032 001 01F 013 01B 028 084 029 027 084 029 024 036 03D 1C5 1CC 011 02E 001 010 03D 01F 029 001 03B 01B 028 019 023 03C 1C8 030 015 021 011 023 038 028 079 001 084 023 012 084 01B 03F 079 1C0</x:v>
      </x:c>
    </x:row>
    <x:row r="1003">
      <x:c r="A1003" s="22" t="str">
        <x:f>"03"</x:f>
        <x:v>03</x:v>
      </x:c>
      <x:c r="B1003" s="22" t="str">
        <x:f>"E9"</x:f>
        <x:v>E9</x:v>
      </x:c>
      <x:c r="C1003" s="22" t="str">
        <x:f>"0x03E9"</x:f>
        <x:v>0x03E9</x:v>
      </x:c>
      <x:c r="D1003" s="21" t="str">
        <x:v>&lt;SPEAKER&gt;「おお これは ゆかい! それでこそ
キングバロンの 後継者じゃ!
金を はんぶん かえしてやろう</x:v>
      </x:c>
      <x:c r="E1003" s="19" t="str">
        <x:v>&lt;SPEAKER&gt;Oh, excellent! That is the
spirit of King Baron's successor!
I will return half your money.</x:v>
      </x:c>
      <x:c r="F1003" s="20" t="str"/>
      <x:c r="G1003" s="20" t="str"/>
      <x:c r="H1003" s="23" t="str">
        <x:v>SPEAKER NEWLINE NEWLINE END</x:v>
      </x:c>
      <x:c r="I1003" s="23" t="str">
        <x:v>E9:612D</x:v>
      </x:c>
      <x:c r="J1003" s="23" t="str">
        <x:v>CC 4F 68 2C 01 65 78 63 65 6C 6C 65 6E 74 21 01 54 68 61 74 01 69 73 01 74 68 65 C8 73 70 69 72 69 74 01 6F 66 01 4B 69 6E 67 01 42 61 72 6F 6E 27 73 01 73 75 63 63 65 73 73 6F 72 21 C8 49 01 77 69 6C 6C 01 72 65 74 75 72 6E 01 68 61 6C 66 01 79 6F 75 72 01 6D 6F 6E 65 79 2E C0</x:v>
      </x:c>
      <x:c r="K1003" s="23" t="str">
        <x:v>1CC 014 014 001 019 039 029 001 034 015 011 07A 001 01E 039 084 022 019 01E 1C8 048 06F 084 049 084 05B 06C 06F 028 001 1A6 1A5 0A7 084 01B 03F 07A 1C8 094 03C 001 029 03D 084 02B 03D 001 015 013 01B 022 033 03A 012 1C0</x:v>
      </x:c>
    </x:row>
    <x:row r="1004">
      <x:c r="A1004" s="22" t="str">
        <x:f>"03"</x:f>
        <x:v>03</x:v>
      </x:c>
      <x:c r="B1004" s="22" t="str">
        <x:f>"EA"</x:f>
        <x:v>EA</x:v>
      </x:c>
      <x:c r="C1004" s="22" t="str">
        <x:f>"0x03EA"</x:f>
        <x:v>0x03EA</x:v>
      </x:c>
      <x:c r="D1004" s="21" t="str">
        <x:v>&lt;SPEAKER&gt;「どうじゃい わしの愛は? ん?
ちょっと ふまんそうじゃのう&lt;WAIT&gt;&lt;SPEAKER&gt;「では さいごの しつもんじゃ&lt;WAIT&gt;&lt;SPEAKER&gt;「わしと たたかって
かてると 思っとるか?</x:v>
      </x:c>
      <x:c r="E1004" s="19" t="str">
        <x:v>&lt;SPEAKER&gt;Well? Feel my
love? Hmm? You still
look a little unhappy.&lt;WAIT&gt;&lt;SPEAKER&gt;Then here
is my final question.&lt;WAIT&gt;&lt;SPEAKER&gt;Do you think you
could defeat me in a fight?</x:v>
      </x:c>
      <x:c r="F1004" s="20" t="str"/>
      <x:c r="G1004" s="20" t="str"/>
      <x:c r="H1004" s="23" t="str">
        <x:v>SPEAKER NEWLINE NEWLINE WAIT SPEAKER NEWLINE WAIT SPEAKER NEWLINE END</x:v>
      </x:c>
      <x:c r="I1004" s="23" t="str">
        <x:v>E9:618A</x:v>
      </x:c>
      <x:c r="J1004" s="23" t="str">
        <x:v>CC 57 65 6C 6C 3F 01 46 65 65 6C 01 6D 79 C8 6C 6F 76 65 3F 01 48 6D 6D 3F 01 59 6F 75 01 73 74 69 6C 6C C8 6C 6F 6F 6B 01 61 01 6C 69 74 74 6C 65 01 75 6E 68 61 70 70 79 2E C5 CC 54 68 65 6E 01 68 65 72 65 C8 69 73 01 6D 79 01 66 69 6E 61 6C 01 71 75 65 73 74 69 6F 6E 2E C5 CC 44 6F 01 79 6F 75 01 74 68 69 6E 6B 01 79 6F 75 C8 63 6F 75 6C 64 01 64 65 66 65 61 74 01 6D 65 01 69 6E 01 61 01 66 69 67 68 74 3F C0</x:v>
      </x:c>
      <x:c r="K1004" s="23" t="str">
        <x:v>1CC 084 023 012 084 01B 03F 011 001 03B 01B 028 181 029 079 001 03D 079 1C8 020 041 03E 023 001 02B 02E 03D 01E 012 084 01B 03F 028 012 1C5 1CC 084 022 029 001 01A 011 084 019 028 001 01B 021 032 03D 084 01B 03F 1C5 1CC 03B 01B 023 001 01F 01F 015 03E 022 1C8 015 022 038 023 001 10F 03E 023 038 015 079 1C0</x:v>
      </x:c>
    </x:row>
    <x:row r="1005">
      <x:c r="A1005" s="22" t="str">
        <x:f>"03"</x:f>
        <x:v>03</x:v>
      </x:c>
      <x:c r="B1005" s="22" t="str">
        <x:f>"EB"</x:f>
        <x:v>EB</x:v>
      </x:c>
      <x:c r="C1005" s="22" t="str">
        <x:f>"0x03EB"</x:f>
        <x:v>0x03EB</x:v>
      </x:c>
      <x:c r="D1005" s="21" t="str">
        <x:v>&lt;SPEAKER&gt;「なんと! そんな よわ気では
とても キングバロンの
後継者に なれんぞい!&lt;WAIT&gt;&lt;SPEAKER&gt;「そんなやつには これをやろう!</x:v>
      </x:c>
      <x:c r="E1005" s="19" t="str">
        <x:v>&lt;SPEAKER&gt;What?! With such a
timid heart, you can never
become King Baron's successor!&lt;WAIT&gt;&lt;SPEAKER&gt;Someone
like you gets this!</x:v>
      </x:c>
      <x:c r="F1005" s="20" t="str"/>
      <x:c r="G1005" s="20" t="str"/>
      <x:c r="H1005" s="23" t="str">
        <x:v>SPEAKER NEWLINE NEWLINE WAIT SPEAKER NEWLINE END</x:v>
      </x:c>
      <x:c r="I1005" s="23" t="str">
        <x:v>E9:6214</x:v>
      </x:c>
      <x:c r="J1005" s="23" t="str">
        <x:v>CC 57 68 61 74 3F 21 01 57 69 74 68 01 73 75 63 68 01 61 C8 74 69 6D 69 64 01 68 65 61 72 74 2C 01 79 6F 75 01 63 61 6E 01 6E 65 76 65 72 C8 62 65 63 6F 6D 65 01 4B 69 6E 67 01 42 61 72 6F 6E 27 73 01 73 75 63 63 65 73 73 6F 72 21 C5 CC 53 6F 6D 65 6F 6E 65 C8 6C 69 6B 65 01 79 6F 75 01 67 65 74 73 01 74 68 69 73 21 C0</x:v>
      </x:c>
      <x:c r="K1005" s="23" t="str">
        <x:v>1CC 024 03D 023 07A 001 01E 03D 024 001 035 03B 099 084 022 029 1C8 023 022 032 001 048 06F 084 049 084 05B 06C 06F 028 1C8 1A6 1A5 0A7 025 001 024 039 03D 084 01E 011 07A 1C5 1CC 01E 03D 024 033 021 025 029 001 019 039 03C 033 03A 012 07A 1C0</x:v>
      </x:c>
    </x:row>
    <x:row r="1006">
      <x:c r="A1006" s="22" t="str">
        <x:f>"03"</x:f>
        <x:v>03</x:v>
      </x:c>
      <x:c r="B1006" s="22" t="str">
        <x:f>"EC"</x:f>
        <x:v>EC</x:v>
      </x:c>
      <x:c r="C1006" s="22" t="str">
        <x:f>"0x03EC"</x:f>
        <x:v>0x03EC</x:v>
      </x:c>
      <x:c r="D1006" s="21" t="str">
        <x:v>&lt;SPEAKER&gt;「そうか それでもよかろう・・・
じゃが 後継者としては
みとめられぬぞ!</x:v>
      </x:c>
      <x:c r="E1006" s="19" t="str">
        <x:v>&lt;SPEAKER&gt;I see. That answer
will do... but I cannot
recognize you as the successor!</x:v>
      </x:c>
      <x:c r="F1006" s="20" t="str"/>
      <x:c r="G1006" s="20" t="str"/>
      <x:c r="H1006" s="23" t="str">
        <x:v>SPEAKER NEWLINE NEWLINE END</x:v>
      </x:c>
      <x:c r="I1006" s="23" t="str">
        <x:v>E9:627F</x:v>
      </x:c>
      <x:c r="J1006" s="23" t="str">
        <x:v>CC 49 01 73 65 65 2E 01 54 68 61 74 01 61 6E 73 77 65 72 C8 77 69 6C 6C 01 64 6F 2E 2E 2E 01 62 75 74 01 49 01 63 61 6E 6E 6F 74 C8 72 65 63 6F 67 6E 69 7A 65 01 79 6F 75 01 61 73 01 74 68 65 01 73 75 63 63 65 73 73 6F 72 21 C0</x:v>
      </x:c>
      <x:c r="K1006" s="23" t="str">
        <x:v>1CC 01E 012 015 001 01E 039 084 022 032 035 015 03A 012 081 081 081 1C8 084 01B 03F 084 015 001 1A6 1A5 0A7 023 01B 022 029 1C8 02F 023 031 036 039 026 084 01E 07A 1C0</x:v>
      </x:c>
    </x:row>
    <x:row r="1007">
      <x:c r="A1007" s="22" t="str">
        <x:f>"03"</x:f>
        <x:v>03</x:v>
      </x:c>
      <x:c r="B1007" s="22" t="str">
        <x:f>"ED"</x:f>
        <x:v>ED</x:v>
      </x:c>
      <x:c r="C1007" s="22" t="str">
        <x:f>"0x03ED"</x:f>
        <x:v>0x03ED</x:v>
      </x:c>
      <x:c r="D1007" s="21" t="str">
        <x:v>&lt;SPEAKER&gt;「そんな こころがけでは
後継者には なれんぞ!</x:v>
      </x:c>
      <x:c r="E1007" s="19" t="str">
        <x:v>&lt;SPEAKER&gt;With an attitude like that,
you will never be the successor!</x:v>
      </x:c>
      <x:c r="F1007" s="20" t="str"/>
      <x:c r="G1007" s="20" t="str"/>
      <x:c r="H1007" s="23" t="str">
        <x:v>SPEAKER NEWLINE END</x:v>
      </x:c>
      <x:c r="I1007" s="23" t="str">
        <x:v>E9:62CB</x:v>
      </x:c>
      <x:c r="J1007" s="23" t="str">
        <x:v>CC 57 69 74 68 01 61 6E 01 61 74 74 69 74 75 64 65 01 6C 69 6B 65 01 74 68 61 74 2C C8 79 6F 75 01 77 69 6C 6C 01 6E 65 76 65 72 01 62 65 01 74 68 65 01 73 75 63 63 65 73 73 6F 72 21 C0</x:v>
      </x:c>
      <x:c r="K1007" s="23" t="str">
        <x:v>1CC 01E 03D 024 001 019 019 03A 084 015 018 084 022 029 1C8 1A6 1A5 0A7 025 029 001 024 039 03D 084 01E 07A 1C0</x:v>
      </x:c>
    </x:row>
    <x:row r="1008">
      <x:c r="A1008" s="22" t="str">
        <x:f>"03"</x:f>
        <x:v>03</x:v>
      </x:c>
      <x:c r="B1008" s="22" t="str">
        <x:f>"EE"</x:f>
        <x:v>EE</x:v>
      </x:c>
      <x:c r="C1008" s="22" t="str">
        <x:f>"0x03EE"</x:f>
        <x:v>0x03EE</x:v>
      </x:c>
      <x:c r="D1008" s="21" t="str">
        <x:v>&lt;SPEAKER&gt;「おお これは ゆかい! それでこそ
キングバロンの 後継者じゃ!</x:v>
      </x:c>
      <x:c r="E1008" s="19" t="str">
        <x:v>&lt;SPEAKER&gt;Oh, excellent! That is the
spirit of King Baron's successor!</x:v>
      </x:c>
      <x:c r="F1008" s="20" t="str"/>
      <x:c r="G1008" s="20" t="str"/>
      <x:c r="H1008" s="23" t="str">
        <x:v>SPEAKER NEWLINE END</x:v>
      </x:c>
      <x:c r="I1008" s="23" t="str">
        <x:v>E9:6309</x:v>
      </x:c>
      <x:c r="J1008" s="23" t="str">
        <x:v>CC 4F 68 2C 01 65 78 63 65 6C 6C 65 6E 74 21 01 54 68 61 74 01 69 73 01 74 68 65 C8 73 70 69 72 69 74 01 6F 66 01 4B 69 6E 67 01 42 61 72 6F 6E 27 73 01 73 75 63 63 65 73 73 6F 72 21 C0</x:v>
      </x:c>
      <x:c r="K1008" s="23" t="str">
        <x:v>1CC 014 014 001 019 039 029 001 034 015 011 07A 001 01E 039 084 022 019 01E 1C8 048 06F 084 049 084 05B 06C 06F 028 001 1A6 1A5 0A7 084 01B 03F 07A 1C0</x:v>
      </x:c>
    </x:row>
    <x:row r="1009">
      <x:c r="A1009" s="22" t="str">
        <x:f>"03"</x:f>
        <x:v>03</x:v>
      </x:c>
      <x:c r="B1009" s="22" t="str">
        <x:f>"EF"</x:f>
        <x:v>EF</x:v>
      </x:c>
      <x:c r="C1009" s="22" t="str">
        <x:f>"0x03EF"</x:f>
        <x:v>0x03EF</x:v>
      </x:c>
      <x:c r="D1009" s="21" t="str">
        <x:v>&lt;SPEAKER&gt;「ほほう なかなか 強気じゃの
では そなたの力
たしかめさせて もらうぞい!</x:v>
      </x:c>
      <x:c r="E1009" s="19" t="str">
        <x:v>&lt;SPEAKER&gt;Ho! You have plenty
of nerve. Then let me test
your strength for myself!</x:v>
      </x:c>
      <x:c r="F1009" s="20" t="str"/>
      <x:c r="G1009" s="20" t="str"/>
      <x:c r="H1009" s="23" t="str">
        <x:v>SPEAKER NEWLINE NEWLINE END</x:v>
      </x:c>
      <x:c r="I1009" s="23" t="str">
        <x:v>E9:6347</x:v>
      </x:c>
      <x:c r="J1009" s="23" t="str">
        <x:v>CC 48 6F 21 01 59 6F 75 01 68 61 76 65 01 70 6C 65 6E 74 79 C8 6F 66 01 6E 65 72 76 65 2E 01 54 68 65 6E 01 6C 65 74 01 6D 65 01 74 65 73 74 C8 79 6F 75 72 01 73 74 72 65 6E 67 74 68 01 66 6F 72 01 6D 79 73 65 6C 66 21 C0</x:v>
      </x:c>
      <x:c r="K1009" s="23" t="str">
        <x:v>1CC 02D 02D 012 001 024 015 024 015 001 138 099 084 01B 03F 028 1C8 084 022 029 001 01E 024 01F 028 107 1C8 01F 01B 015 031 01A 01D 022 001 032 036 012 084 01E 011 07A 1C0</x:v>
      </x:c>
    </x:row>
    <x:row r="1010">
      <x:c r="A1010" s="22" t="str">
        <x:f>"03"</x:f>
        <x:v>03</x:v>
      </x:c>
      <x:c r="B1010" s="22" t="str">
        <x:f>"F0"</x:f>
        <x:v>F0</x:v>
      </x:c>
      <x:c r="C1010" s="22" t="str">
        <x:f>"0x03F0"</x:f>
        <x:v>0x03F0</x:v>
      </x:c>
      <x:c r="D1010" s="21" t="str">
        <x:v>&lt;SPEAKER&gt;「へけけっ おねえちゃん
ぼくと かくれんぼ しようよ</x:v>
      </x:c>
      <x:c r="E1010" s="19" t="str">
        <x:v>&lt;SPEAKER&gt;Heh heh!
Hey, lady, wanna play
hide-and-seek with me?</x:v>
      </x:c>
      <x:c r="F1010" s="20" t="str"/>
      <x:c r="G1010" s="20" t="str"/>
      <x:c r="H1010" s="23" t="str">
        <x:v>SPEAKER NEWLINE NEWLINE END</x:v>
      </x:c>
      <x:c r="I1010" s="23" t="str">
        <x:v>E9:6391</x:v>
      </x:c>
      <x:c r="J1010" s="23" t="str">
        <x:v>CC 48 65 68 01 68 65 68 21 C8 48 65 79 2C 01 6C 61 64 79 2C 01 77 61 6E 6E 61 01 70 6C 61 79 C8 68 69 64 65 2D 61 6E 64 2D 73 65 65 6B 01 77 69 74 68 01 6D 65 3F C0</x:v>
      </x:c>
      <x:c r="K1010" s="23" t="str">
        <x:v>1CC 02C 018 018 03E 001 014 027 013 020 03F 03D 1C8 084 02D 017 023 001 015 017 039 03D 084 02D 001 01B 035 012 035 1C0</x:v>
      </x:c>
    </x:row>
    <x:row r="1011">
      <x:c r="A1011" s="22" t="str">
        <x:f>"03"</x:f>
        <x:v>03</x:v>
      </x:c>
      <x:c r="B1011" s="22" t="str">
        <x:f>"F1"</x:f>
        <x:v>F1</x:v>
      </x:c>
      <x:c r="C1011" s="22" t="str">
        <x:f>"0x03F1"</x:f>
        <x:v>0x03F1</x:v>
      </x:c>
      <x:c r="D1011" s="21" t="str">
        <x:v>&lt;SPEAKER&gt;「へけけっ それじゃあ ぼく
かくれるからねっ へけけっ
みつけてねっ けけけっ</x:v>
      </x:c>
      <x:c r="E1011" s="19" t="str">
        <x:v>&lt;SPEAKER&gt;Heh heh! I am
going to hide now. Come
find me! Keh heh heh!</x:v>
      </x:c>
      <x:c r="F1011" s="20" t="str"/>
      <x:c r="G1011" s="20" t="str"/>
      <x:c r="H1011" s="23" t="str">
        <x:v>SPEAKER NEWLINE NEWLINE END</x:v>
      </x:c>
      <x:c r="I1011" s="23" t="str">
        <x:v>E9:63C8</x:v>
      </x:c>
      <x:c r="J1011" s="23" t="str">
        <x:v>CC 48 65 68 01 68 65 68 21 01 49 01 61 6D C8 67 6F 69 6E 67 01 74 6F 01 68 69 64 65 01 6E 6F 77 2E 01 43 6F 6D 65 C8 66 69 6E 64 01 6D 65 21 01 4B 65 68 01 68 65 68 01 68 65 68 21 C0</x:v>
      </x:c>
      <x:c r="K1011" s="23" t="str">
        <x:v>1CC 02C 018 018 03E 001 01E 039 084 01B 03F 010 001 084 02D 017 1C8 015 017 039 038 015 036 027 03E 001 02C 018 018 03E 1C8 02F 021 018 022 027 03E 001 018 018 018 03E 1C0</x:v>
      </x:c>
    </x:row>
    <x:row r="1012">
      <x:c r="A1012" s="22" t="str">
        <x:f>"03"</x:f>
        <x:v>03</x:v>
      </x:c>
      <x:c r="B1012" s="22" t="str">
        <x:f>"F2"</x:f>
        <x:v>F2</x:v>
      </x:c>
      <x:c r="C1012" s="22" t="str">
        <x:f>"0x03F2"</x:f>
        <x:v>0x03F2</x:v>
      </x:c>
      <x:c r="D1012" s="21" t="str">
        <x:v>&lt;SPEAKER&gt;「へけけっ じゃあ いやでも
ぼくを さがさせてやるっ!</x:v>
      </x:c>
      <x:c r="E1012" s="19" t="str">
        <x:v>&lt;SPEAKER&gt;Heh heh! Then I
will make you look for me
whether you like it or not!</x:v>
      </x:c>
      <x:c r="F1012" s="20" t="str"/>
      <x:c r="G1012" s="20" t="str"/>
      <x:c r="H1012" s="23" t="str">
        <x:v>SPEAKER NEWLINE NEWLINE END</x:v>
      </x:c>
      <x:c r="I1012" s="23" t="str">
        <x:v>E9:6405</x:v>
      </x:c>
      <x:c r="J1012" s="23" t="str">
        <x:v>CC 48 65 68 01 68 65 68 21 01 54 68 65 6E 01 49 C8 77 69 6C 6C 01 6D 61 6B 65 01 79 6F 75 01 6C 6F 6F 6B 01 66 6F 72 01 6D 65 C8 77 68 65 74 68 65 72 01 79 6F 75 01 6C 69 6B 65 01 69 74 01 6F 72 01 6E 6F 74 21 C0</x:v>
      </x:c>
      <x:c r="K1012" s="23" t="str">
        <x:v>1CC 02C 018 018 03E 001 084 01B 03F 010 001 011 033 084 022 032 1C8 084 02D 017 03C 001 01A 084 015 01A 01D 022 033 038 03E 07A 1C0</x:v>
      </x:c>
    </x:row>
    <x:row r="1013">
      <x:c r="A1013" s="22" t="str">
        <x:f>"03"</x:f>
        <x:v>03</x:v>
      </x:c>
      <x:c r="B1013" s="22" t="str">
        <x:f>"F3"</x:f>
        <x:v>F3</x:v>
      </x:c>
      <x:c r="C1013" s="22" t="str">
        <x:f>"0x03F3"</x:f>
        <x:v>0x03F3</x:v>
      </x:c>
      <x:c r="D1013" s="21" t="str">
        <x:v>&lt;CLEAR&gt;
ベビーバロンは レディの
お金を ぜんぶ うばった!</x:v>
      </x:c>
      <x:c r="E1013" s="19" t="str">
        <x:v>&lt;CLEAR&gt;Baby Baron stole
all of Lady's money!</x:v>
      </x:c>
      <x:c r="F1013" s="20" t="str"/>
      <x:c r="G1013" s="20" t="str"/>
      <x:c r="H1013" s="23" t="str">
        <x:v>CLEAR NEWLINE END</x:v>
      </x:c>
      <x:c r="I1013" s="23" t="str">
        <x:v>E9:644C</x:v>
      </x:c>
      <x:c r="J1013" s="23" t="str">
        <x:v>D0 42 61 62 79 01 42 61 72 6F 6E 01 73 74 6F 6C 65 C8 61 6C 6C 01 6F 66 01 4C 61 64 79 27 73 01 6D 6F 6E 65 79 21 C0</x:v>
      </x:c>
      <x:c r="K1013" s="23" t="str">
        <x:v>1D0 084 05E 084 05C 078 084 05B 06C 06F 029 001 06B 084 054 075 028 1C8 014 094 03C 001 084 01D 03D 084 02B 001 012 084 029 03E 01F 07A 1C0</x:v>
      </x:c>
    </x:row>
    <x:row r="1014">
      <x:c r="A1014" s="22" t="str">
        <x:f>"03"</x:f>
        <x:v>03</x:v>
      </x:c>
      <x:c r="B1014" s="22" t="str">
        <x:f>"F4"</x:f>
        <x:v>F4</x:v>
      </x:c>
      <x:c r="C1014" s="22" t="str">
        <x:f>"0x03F4"</x:f>
        <x:v>0x03F4</x:v>
      </x:c>
      <x:c r="D1014" s="21" t="str">
        <x:v>&lt;SPEAKER&gt;「せっかく いいもの あげようと
おもったのに・・・ ざんねんだなあ・・・&lt;WAIT&gt;&lt;SPEAKER&gt;「どう? 気がかわった?</x:v>
      </x:c>
      <x:c r="E1014" s="19" t="str">
        <x:v>&lt;SPEAKER&gt;I was going to give you
something good... What a shame.&lt;WAIT&gt;&lt;SPEAKER&gt;Well? Changed your mind?</x:v>
      </x:c>
      <x:c r="F1014" s="20" t="str"/>
      <x:c r="G1014" s="20" t="str"/>
      <x:c r="H1014" s="23" t="str">
        <x:v>SPEAKER NEWLINE WAIT SPEAKER END</x:v>
      </x:c>
      <x:c r="I1014" s="23" t="str">
        <x:v>E9:6473</x:v>
      </x:c>
      <x:c r="J1014" s="23" t="str">
        <x:v>CC 49 01 77 61 73 01 67 6F 69 6E 67 01 74 6F 01 67 69 76 65 01 79 6F 75 C8 73 6F 6D 65 74 68 69 6E 67 01 67 6F 6F 64 2E 2E 2E 01 57 68 61 74 01 61 01 73 68 61 6D 65 2E C5 CC 57 65 6C 6C 3F 01 43 68 61 6E 67 65 64 01 79 6F 75 72 01 6D 69 6E 64 3F C0</x:v>
      </x:c>
      <x:c r="K1014" s="23" t="str">
        <x:v>1CC 01D 03E 015 017 001 011 011 032 028 001 010 084 018 035 012 023 1C8 014 032 03E 01F 028 025 081 081 081 001 084 01A 03D 027 03D 084 01F 024 010 081 081 081 1C5 1CC 084 023 012 079 001 099 084 015 015 03B 03E 01F 079 1C0</x:v>
      </x:c>
    </x:row>
    <x:row r="1015">
      <x:c r="A1015" s="22" t="str">
        <x:f>"03"</x:f>
        <x:v>03</x:v>
      </x:c>
      <x:c r="B1015" s="22" t="str">
        <x:f>"F5"</x:f>
        <x:v>F5</x:v>
      </x:c>
      <x:c r="C1015" s="22" t="str">
        <x:f>"0x03F5"</x:f>
        <x:v>0x03F5</x:v>
      </x:c>
      <x:c r="D1015" s="21" t="str">
        <x:v>&lt;SPEAKER&gt;「うわあ みつかっちゃったー!
こんなところ よくわかったね
へけけっ これ あげるよ!</x:v>
      </x:c>
      <x:c r="E1015" s="19" t="str">
        <x:v>&lt;SPEAKER&gt;Waaah! You found me!
How did you know I was
here? Heh heh. Here, take this!</x:v>
      </x:c>
      <x:c r="F1015" s="20" t="str"/>
      <x:c r="G1015" s="20" t="str"/>
      <x:c r="H1015" s="23" t="str">
        <x:v>SPEAKER NEWLINE NEWLINE END</x:v>
      </x:c>
      <x:c r="I1015" s="23" t="str">
        <x:v>E9:64C6</x:v>
      </x:c>
      <x:c r="J1015" s="23" t="str">
        <x:v>CC 57 61 61 61 68 21 01 59 6F 75 01 66 6F 75 6E 64 01 6D 65 21 C8 48 6F 77 01 64 69 64 01 79 6F 75 01 6B 6E 6F 77 01 49 01 77 61 73 C8 68 65 72 65 3F 01 48 65 68 01 68 65 68 2E 01 48 65 72 65 2C 01 74 61 6B 65 01 74 68 69 73 21 C0</x:v>
      </x:c>
      <x:c r="K1015" s="23" t="str">
        <x:v>1CC 012 03B 010 001 02F 021 015 03E 020 03F 03E 01F 078 07A 1C8 019 03D 024 023 019 03A 001 035 017 03B 015 03E 01F 027 1C8 02C 018 018 03E 001 019 039 001 010 084 018 038 035 07A 1C0</x:v>
      </x:c>
    </x:row>
    <x:row r="1016">
      <x:c r="A1016" s="22" t="str">
        <x:f>"03"</x:f>
        <x:v>03</x:v>
      </x:c>
      <x:c r="B1016" s="22" t="str">
        <x:f>"F6"</x:f>
        <x:v>F6</x:v>
      </x:c>
      <x:c r="C1016" s="22" t="str">
        <x:f>"0x03F6"</x:f>
        <x:v>0x03F6</x:v>
      </x:c>
      <x:c r="D1016" s="21" t="str">
        <x:v>&lt;CLEAR&gt;
レディは お金をとりもどした</x:v>
      </x:c>
      <x:c r="E1016" s="19" t="str">
        <x:v>&lt;CLEAR&gt;Lady got her money back.</x:v>
      </x:c>
      <x:c r="F1016" s="20" t="str"/>
      <x:c r="G1016" s="20" t="str"/>
      <x:c r="H1016" s="23" t="str">
        <x:v>CLEAR END</x:v>
      </x:c>
      <x:c r="I1016" s="23" t="str">
        <x:v>E9:6513</x:v>
      </x:c>
      <x:c r="J1016" s="23" t="str">
        <x:v>D0 4C 61 64 79 01 67 6F 74 01 68 65 72 01 6D 6F 6E 65 79 01 62 61 63 6B 2E C0</x:v>
      </x:c>
      <x:c r="K1016" s="23" t="str">
        <x:v>1D0 06B 084 054 075 029 001 014 094 03C 023 037 032 084 023 01B 01F 1C0</x:v>
      </x:c>
    </x:row>
    <x:row r="1017">
      <x:c r="A1017" s="22" t="str">
        <x:f>"03"</x:f>
        <x:v>03</x:v>
      </x:c>
      <x:c r="B1017" s="22" t="str">
        <x:f>"F7"</x:f>
        <x:v>F7</x:v>
      </x:c>
      <x:c r="C1017" s="22" t="str">
        <x:f>"0x03F7"</x:f>
        <x:v>0x03F7</x:v>
      </x:c>
      <x:c r="D1017" s="21" t="str">
        <x:v>&lt;SPEAKER&gt;「へけけっ にもつが いっぱいだよ
使うか すてるか してきてよ</x:v>
      </x:c>
      <x:c r="E1017" s="19" t="str">
        <x:v>&lt;SPEAKER&gt;Heh heh! Your
baggage is full. Use something
or throw something away.</x:v>
      </x:c>
      <x:c r="F1017" s="20" t="str"/>
      <x:c r="G1017" s="20" t="str"/>
      <x:c r="H1017" s="23" t="str">
        <x:v>SPEAKER NEWLINE NEWLINE END</x:v>
      </x:c>
      <x:c r="I1017" s="23" t="str">
        <x:v>E9:652D</x:v>
      </x:c>
      <x:c r="J1017" s="23" t="str">
        <x:v>CC 48 65 68 01 68 65 68 21 01 59 6F 75 72 C8 62 61 67 67 61 67 65 01 69 73 01 66 75 6C 6C 2E 01 55 73 65 01 73 6F 6D 65 74 68 69 6E 67 C8 6F 72 01 74 68 72 6F 77 01 73 6F 6D 65 74 68 69 6E 67 01 61 77 61 79 2E C0</x:v>
      </x:c>
      <x:c r="K1017" s="23" t="str">
        <x:v>1CC 02C 018 018 03E 001 025 032 021 084 015 001 011 03E 083 029 011 084 01F 035 1C8 123 012 015 001 01C 022 038 015 001 01B 022 016 022 035 1C0</x:v>
      </x:c>
    </x:row>
    <x:row r="1018">
      <x:c r="A1018" s="22" t="str">
        <x:f>"03"</x:f>
        <x:v>03</x:v>
      </x:c>
      <x:c r="B1018" s="22" t="str">
        <x:f>"F8"</x:f>
        <x:v>F8</x:v>
      </x:c>
      <x:c r="C1018" s="22" t="str">
        <x:f>"0x03F8"</x:f>
        <x:v>0x03F8</x:v>
      </x:c>
      <x:c r="D1018" s="21" t="str">
        <x:v>&lt;SPEAKER&gt;「おねえちゃん かわいいね
ぼくの ステディにならない?</x:v>
      </x:c>
      <x:c r="E1018" s="19" t="str">
        <x:v>&lt;SPEAKER&gt;Hey, lady, you are
cute. Wanna be my girlfriend?</x:v>
      </x:c>
      <x:c r="F1018" s="20" t="str"/>
      <x:c r="G1018" s="20" t="str"/>
      <x:c r="H1018" s="23" t="str">
        <x:v>SPEAKER NEWLINE END</x:v>
      </x:c>
      <x:c r="I1018" s="23" t="str">
        <x:v>E9:6574</x:v>
      </x:c>
      <x:c r="J1018" s="23" t="str">
        <x:v>CC 48 65 79 2C 01 6C 61 64 79 2C 01 79 6F 75 01 61 72 65 C8 63 75 74 65 2E 01 57 61 6E 6E 61 01 62 65 01 6D 79 01 67 69 72 6C 66 72 69 65 6E 64 3F C0</x:v>
      </x:c>
      <x:c r="K1018" s="23" t="str">
        <x:v>1CC 014 027 013 020 03F 03D 001 015 03B 011 011 027 1C8 084 02D 017 028 001 04E 054 084 054 075 025 024 036 024 011 079 1C0</x:v>
      </x:c>
    </x:row>
    <x:row r="1019">
      <x:c r="A1019" s="22" t="str">
        <x:f>"03"</x:f>
        <x:v>03</x:v>
      </x:c>
      <x:c r="B1019" s="22" t="str">
        <x:f>"F9"</x:f>
        <x:v>F9</x:v>
      </x:c>
      <x:c r="C1019" s="22" t="str">
        <x:f>"0x03F9"</x:f>
        <x:v>0x03F9</x:v>
      </x:c>
      <x:c r="D1019" s="21" t="str">
        <x:v>&lt;SPEAKER&gt;「けけけっ また ばかな
人間が よくに 目がくらんで
ひっかかりやがったな けけけっ&lt;WAIT&gt;&lt;SPEAKER&gt;「ぼくたち モンスターは いつも
おまえら 人間たちに
しいたげられてきたんだ!&lt;WAIT&gt;&lt;SPEAKER&gt;「きょうは その おれいを
たっぷりと してやるもんね
かくごしてよねっ!</x:v>
      </x:c>
      <x:c r="E1019" s="19" t="str">
        <x:v>&lt;SPEAKER&gt;Keh heh! Another greedy
human walked right into our trap!&lt;WAIT&gt;&lt;SPEAKER&gt;We monsters
have always been pushed
around by you humans!&lt;WAIT&gt;&lt;SPEAKER&gt;Today we are
paying you back in full.
Better brace yourself!</x:v>
      </x:c>
      <x:c r="F1019" s="20" t="str"/>
      <x:c r="G1019" s="20" t="str"/>
      <x:c r="H1019" s="23" t="str">
        <x:v>SPEAKER NEWLINE WAIT SPEAKER NEWLINE NEWLINE WAIT SPEAKER NEWLINE NEWLINE END</x:v>
      </x:c>
      <x:c r="I1019" s="23" t="str">
        <x:v>E9:65A6</x:v>
      </x:c>
      <x:c r="J1019" s="23" t="str">
        <x:v>CC 4B 65 68 01 68 65 68 21 01 41 6E 6F 74 68 65 72 01 67 72 65 65 64 79 C8 68 75 6D 61 6E 01 77 61 6C 6B 65 64 01 72 69 67 68 74 01 69 6E 74 6F 01 6F 75 72 01 74 72 61 70 21 C5 CC 57 65 01 6D 6F 6E 73 74 65 72 73 C8 68 61 76 65 01 61 6C 77 61 79 73 01 62 65 65 6E 01 70 75 73 68 65 64 C8 61 72 6F 75 6E 64 01 62 79 01 79 6F 75 01 68 75 6D 61 6E 73 21 C5 CC 54 6F 64 61 79 01 77 65 01 61 72 65 C8 70 61 79 69 6E 67 01 79 6F 75 01 62 61 63 6B 01 69 6E 01 66 75 6C 6C 2E C8 42 65 74 74 65 72 01 62 72 61 63 65 01 79 6F 75 72 73 65 6C 66 21 C0</x:v>
      </x:c>
      <x:c r="K1019" s="23" t="str">
        <x:v>1CC 018 018 018 03E 001 02E 01F 001 084 029 015 024 1C8 091 0E3 084 015 001 035 017 025 001 0B6 084 015 017 036 03D 084 022 1C8 02A 03E 015 015 037 033 084 015 03E 01F 024 001 018 018 018 03E 1C5 1CC 084 02D 017 01F 020 001 064 06F 04E 051 078 029 001 011 021 032 1C8 014 02E 013 036 001 091 0E3 01F 020 025 1C8 01B 011 01F 084 018 036 039 022 016 01F 03D 084 01F 07A 1C5 1CC 016 041 012 029 001 01E 028 001 014 039 011 03C 1C8 01F 03E 083 02B 037 023 001 01B 022 033 038 032 03D 027 1C8 015 017 084 019 01B 022 035 027 03E 07A 1C0</x:v>
      </x:c>
    </x:row>
    <x:row r="1020">
      <x:c r="A1020" s="22" t="str">
        <x:f>"03"</x:f>
        <x:v>03</x:v>
      </x:c>
      <x:c r="B1020" s="22" t="str">
        <x:f>"FA"</x:f>
        <x:v>FA</x:v>
      </x:c>
      <x:c r="C1020" s="22" t="str">
        <x:f>"0x03FA"</x:f>
        <x:v>0x03FA</x:v>
      </x:c>
      <x:c r="D1020" s="21" t="str">
        <x:v>&lt;SPEAKER&gt;「けけけっ じわじわと たっぷり
おまえらを いたぶってやる!&lt;WAIT&gt;&lt;SPEAKER&gt;「ごうもんに たえられたら
ここから だして あげるよ</x:v>
      </x:c>
      <x:c r="E1020" s="19" t="str">
        <x:v>&lt;SPEAKER&gt;Keh heh! We will take
our time and torment you good!&lt;WAIT&gt;&lt;SPEAKER&gt;If you survive
the torture, we will
let you out of here.</x:v>
      </x:c>
      <x:c r="F1020" s="20" t="str"/>
      <x:c r="G1020" s="20" t="str"/>
      <x:c r="H1020" s="23" t="str">
        <x:v>SPEAKER NEWLINE WAIT SPEAKER NEWLINE NEWLINE END</x:v>
      </x:c>
      <x:c r="I1020" s="23" t="str">
        <x:v>E9:665A</x:v>
      </x:c>
      <x:c r="J1020" s="23" t="str">
        <x:v>CC 4B 65 68 01 68 65 68 21 01 57 65 01 77 69 6C 6C 01 74 61 6B 65 C8 6F 75 72 01 74 69 6D 65 01 61 6E 64 01 74 6F 72 6D 65 6E 74 01 79 6F 75 01 67 6F 6F 64 21 C5 CC 49 66 01 79 6F 75 01 73 75 72 76 69 76 65 C8 74 68 65 01 74 6F 72 74 75 72 65 2C 01 77 65 01 77 69 6C 6C C8 6C 65 74 01 79 6F 75 01 6F 75 74 01 6F 66 01 68 65 72 65 2E C0</x:v>
      </x:c>
      <x:c r="K1020" s="23" t="str">
        <x:v>1CC 018 018 018 03E 001 084 01B 03B 084 01B 03B 023 001 01F 03E 083 02B 037 1C8 014 02E 013 036 03C 001 011 01F 084 02B 03E 022 033 038 07A 1C5 1CC 084 019 012 032 03D 025 001 01F 013 036 039 01F 036 1C8 019 019 015 036 001 084 01F 01B 022 001 010 084 018 038 035 1C0</x:v>
      </x:c>
    </x:row>
    <x:row r="1021">
      <x:c r="A1021" s="22" t="str">
        <x:f>"03"</x:f>
        <x:v>03</x:v>
      </x:c>
      <x:c r="B1021" s="22" t="str">
        <x:f>"FB"</x:f>
        <x:v>FB</x:v>
      </x:c>
      <x:c r="C1021" s="22" t="str">
        <x:f>"0x03FB"</x:f>
        <x:v>0x03FB</x:v>
      </x:c>
      <x:c r="D1021" s="21" t="str">
        <x:v>&lt;SPEAKER&gt;「けけけっ おくすりは
あずからせてもらうよ</x:v>
      </x:c>
      <x:c r="E1021" s="19" t="str">
        <x:v>&lt;SPEAKER&gt;Keh heh! We will hold
on to your medicine for you.</x:v>
      </x:c>
      <x:c r="F1021" s="20" t="str"/>
      <x:c r="G1021" s="20" t="str"/>
      <x:c r="H1021" s="23" t="str">
        <x:v>SPEAKER NEWLINE END</x:v>
      </x:c>
      <x:c r="I1021" s="23" t="str">
        <x:v>E9:66CA</x:v>
      </x:c>
      <x:c r="J1021" s="23" t="str">
        <x:v>CC 4B 65 68 01 68 65 68 21 01 57 65 01 77 69 6C 6C 01 68 6F 6C 64 C8 6F 6E 01 74 6F 01 79 6F 75 72 01 6D 65 64 69 63 69 6E 65 01 66 6F 72 01 79 6F 75 2E C0</x:v>
      </x:c>
      <x:c r="K1021" s="23" t="str">
        <x:v>1CC 018 018 018 03E 001 014 017 01C 037 029 1C8 010 084 01C 015 036 01D 022 032 036 012 035 1C0</x:v>
      </x:c>
    </x:row>
    <x:row r="1022">
      <x:c r="A1022" s="22" t="str">
        <x:f>"03"</x:f>
        <x:v>03</x:v>
      </x:c>
      <x:c r="B1022" s="22" t="str">
        <x:f>"FC"</x:f>
        <x:v>FC</x:v>
      </x:c>
      <x:c r="C1022" s="22" t="str">
        <x:f>"0x03FC"</x:f>
        <x:v>0x03FC</x:v>
      </x:c>
      <x:c r="D1022" s="21" t="str">
        <x:v>&lt;CLEAR&gt;
レディは おくすりを
ぜんぶ とられてしまった</x:v>
      </x:c>
      <x:c r="E1022" s="19" t="str">
        <x:v>&lt;CLEAR&gt;All of Lady's medicine
was taken away.</x:v>
      </x:c>
      <x:c r="F1022" s="20" t="str"/>
      <x:c r="G1022" s="20" t="str"/>
      <x:c r="H1022" s="23" t="str">
        <x:v>CLEAR NEWLINE END</x:v>
      </x:c>
      <x:c r="I1022" s="23" t="str">
        <x:v>E9:66FE</x:v>
      </x:c>
      <x:c r="J1022" s="23" t="str">
        <x:v>D0 41 6C 6C 01 6F 66 01 4C 61 64 79 27 73 01 6D 65 64 69 63 69 6E 65 C8 77 61 73 01 74 61 6B 65 6E 01 61 77 61 79 2E C0</x:v>
      </x:c>
      <x:c r="K1022" s="23" t="str">
        <x:v>1D0 06B 084 054 075 029 001 014 017 01C 037 03C 1C8 084 01D 03D 084 02B 001 023 036 039 022 01B 02E 03E 01F 1C0</x:v>
      </x:c>
    </x:row>
    <x:row r="1023">
      <x:c r="A1023" s="22" t="str">
        <x:f>"03"</x:f>
        <x:v>03</x:v>
      </x:c>
      <x:c r="B1023" s="22" t="str">
        <x:f>"FD"</x:f>
        <x:v>FD</x:v>
      </x:c>
      <x:c r="C1023" s="22" t="str">
        <x:f>"0x03FD"</x:f>
        <x:v>0x03FD</x:v>
      </x:c>
      <x:c r="D1023" s="21" t="str">
        <x:v>&lt;SPEAKER&gt;「この 3つの いすの どれか
2つが しびれるはずだ&lt;WAIT&gt;&lt;SPEAKER&gt;「どれか えらんで のれ!</x:v>
      </x:c>
      <x:c r="E1023" s="19" t="str">
        <x:v>&lt;SPEAKER&gt;Two of these three chairs
will give you a nasty shock.&lt;WAIT&gt;&lt;SPEAKER&gt;Pick one and sit down!</x:v>
      </x:c>
      <x:c r="F1023" s="20" t="str"/>
      <x:c r="G1023" s="20" t="str"/>
      <x:c r="H1023" s="23" t="str">
        <x:v>SPEAKER NEWLINE WAIT SPEAKER END</x:v>
      </x:c>
      <x:c r="I1023" s="23" t="str">
        <x:v>E9:6726</x:v>
      </x:c>
      <x:c r="J1023" s="23" t="str">
        <x:v>CC 54 77 6F 01 6F 66 01 74 68 65 73 65 01 74 68 72 65 65 01 63 68 61 69 72 73 C8 77 69 6C 6C 01 67 69 76 65 01 79 6F 75 01 61 01 6E 61 73 74 79 01 73 68 6F 63 6B 2E C5 CC 50 69 63 6B 01 6F 6E 65 01 61 6E 64 01 73 69 74 01 64 6F 77 6E 21 C0</x:v>
      </x:c>
      <x:c r="K1023" s="23" t="str">
        <x:v>1CC 019 028 001 005 021 028 001 011 01C 028 001 084 023 039 015 1C8 004 021 084 015 001 01B 084 02A 039 038 029 084 01C 084 01F 1C5 1CC 084 023 039 015 001 013 036 03D 084 022 001 028 039 07A 1C0</x:v>
      </x:c>
    </x:row>
    <x:row r="1024">
      <x:c r="A1024" s="22" t="str">
        <x:f>"03"</x:f>
        <x:v>03</x:v>
      </x:c>
      <x:c r="B1024" s="22" t="str">
        <x:f>"FE"</x:f>
        <x:v>FE</x:v>
      </x:c>
      <x:c r="C1024" s="22" t="str">
        <x:f>"0x03FE"</x:f>
        <x:v>0x03FE</x:v>
      </x:c>
      <x:c r="D1024" s="21" t="str">
        <x:v>&lt;SPEAKER&gt;「つぎの ごうもんに 行け!</x:v>
      </x:c>
      <x:c r="E1024" s="19" t="str">
        <x:v>&lt;SPEAKER&gt;Move on to
the next torture!</x:v>
      </x:c>
      <x:c r="F1024" s="20" t="str"/>
      <x:c r="G1024" s="20" t="str"/>
      <x:c r="H1024" s="23" t="str">
        <x:v>SPEAKER NEWLINE END</x:v>
      </x:c>
      <x:c r="I1024" s="23" t="str">
        <x:v>E9:6776</x:v>
      </x:c>
      <x:c r="J1024" s="23" t="str">
        <x:v>CC 4D 6F 76 65 01 6F 6E 01 74 6F C8 74 68 65 01 6E 65 78 74 01 74 6F 72 74 75 72 65 21 C0</x:v>
      </x:c>
      <x:c r="K1024" s="23" t="str">
        <x:v>1CC 021 084 016 028 001 084 019 012 032 03D 025 001 08D 018 07A 1C0</x:v>
      </x:c>
    </x:row>
    <x:row r="1025">
      <x:c r="A1025" s="22" t="str">
        <x:f>"03"</x:f>
        <x:v>03</x:v>
      </x:c>
      <x:c r="B1025" s="22" t="str">
        <x:f>"FF"</x:f>
        <x:v>FF</x:v>
      </x:c>
      <x:c r="C1025" s="22" t="str">
        <x:f>"0x03FF"</x:f>
        <x:v>0x03FF</x:v>
      </x:c>
      <x:c r="D1025" s="21" t="str">
        <x:v>&lt;SPEAKER&gt;「おまえさん うんが いいな</x:v>
      </x:c>
      <x:c r="E1025" s="19" t="str">
        <x:v>&lt;SPEAKER&gt;You got lucky.</x:v>
      </x:c>
      <x:c r="F1025" s="20" t="str"/>
      <x:c r="G1025" s="20" t="str"/>
      <x:c r="H1025" s="23" t="str">
        <x:v>SPEAKER END</x:v>
      </x:c>
      <x:c r="I1025" s="23" t="str">
        <x:v>E9:6794</x:v>
      </x:c>
      <x:c r="J1025" s="23" t="str">
        <x:v>CC 59 6F 75 01 67 6F 74 01 6C 75 63 6B 79 2E C0</x:v>
      </x:c>
      <x:c r="K1025" s="23" t="str">
        <x:v>1CC 014 02E 013 01A 03D 001 012 03D 084 015 001 011 011 024 1C0</x:v>
      </x:c>
    </x:row>
    <x:row r="1026">
      <x:c r="A1026" s="22" t="str">
        <x:f>"04"</x:f>
        <x:v>04</x:v>
      </x:c>
      <x:c r="B1026" s="22" t="str">
        <x:f>"00"</x:f>
        <x:v>00</x:v>
      </x:c>
      <x:c r="C1026" s="22" t="str">
        <x:f>"0x0400"</x:f>
        <x:v>0x0400</x:v>
      </x:c>
      <x:c r="D1026" s="21" t="str">
        <x:v>&lt;SPEAKER&gt;「かべから 火の玉がでるぞ
ひっしで にげまわれ!
ではいくぞ!</x:v>
      </x:c>
      <x:c r="E1026" s="19" t="str">
        <x:v>&lt;SPEAKER&gt;Fireballs will shoot
from the walls! Run for
your life! Here we go!</x:v>
      </x:c>
      <x:c r="F1026" s="20" t="str"/>
      <x:c r="G1026" s="20" t="str"/>
      <x:c r="H1026" s="23" t="str">
        <x:v>SPEAKER NEWLINE NEWLINE END</x:v>
      </x:c>
      <x:c r="I1026" s="23" t="str">
        <x:v>E9:67A4</x:v>
      </x:c>
      <x:c r="J1026" s="23" t="str">
        <x:v>CC 46 69 72 65 62 61 6C 6C 73 01 77 69 6C 6C 01 73 68 6F 6F 74 C8 66 72 6F 6D 01 74 68 65 01 77 61 6C 6C 73 21 01 52 75 6E 01 66 6F 72 C8 79 6F 75 72 01 6C 69 66 65 21 01 48 65 72 65 01 77 65 01 67 6F 21 C0</x:v>
      </x:c>
      <x:c r="K1026" s="23" t="str">
        <x:v>1CC 015 084 02C 015 036 001 110 028 127 084 015 084 022 038 084 01E 1C8 02A 03E 01B 084 022 001 025 084 018 02E 03B 039 07A 1C8 084 022 029 011 017 084 01E 07A 1C0</x:v>
      </x:c>
    </x:row>
    <x:row r="1027">
      <x:c r="A1027" s="22" t="str">
        <x:f>"04"</x:f>
        <x:v>04</x:v>
      </x:c>
      <x:c r="B1027" s="22" t="str">
        <x:f>"01"</x:f>
        <x:v>01</x:v>
      </x:c>
      <x:c r="C1027" s="22" t="str">
        <x:f>"0x0401"</x:f>
        <x:v>0x0401</x:v>
      </x:c>
      <x:c r="D1027" s="21" t="str">
        <x:v>&lt;SPEAKER&gt;「わはははは!
にげろ! にげろ!</x:v>
      </x:c>
      <x:c r="E1027" s="19" t="str">
        <x:v>&lt;SPEAKER&gt;Wahahaha! Run! Run!</x:v>
      </x:c>
      <x:c r="F1027" s="20" t="str"/>
      <x:c r="G1027" s="20" t="str"/>
      <x:c r="H1027" s="23" t="str">
        <x:v>SPEAKER END</x:v>
      </x:c>
      <x:c r="I1027" s="23" t="str">
        <x:v>E9:67E9</x:v>
      </x:c>
      <x:c r="J1027" s="23" t="str">
        <x:v>CC 57 61 68 61 68 61 68 61 21 01 52 75 6E 21 01 52 75 6E 21 C0</x:v>
      </x:c>
      <x:c r="K1027" s="23" t="str">
        <x:v>1CC 03B 029 029 029 029 07A 1C8 025 084 018 03A 07A 001 025 084 018 03A 07A 1C0</x:v>
      </x:c>
    </x:row>
    <x:row r="1028">
      <x:c r="A1028" s="22" t="str">
        <x:f>"04"</x:f>
        <x:v>04</x:v>
      </x:c>
      <x:c r="B1028" s="22" t="str">
        <x:f>"02"</x:f>
        <x:v>02</x:v>
      </x:c>
      <x:c r="C1028" s="22" t="str">
        <x:f>"0x0402"</x:f>
        <x:v>0x0402</x:v>
      </x:c>
      <x:c r="D1028" s="21" t="str">
        <x:v>&lt;SPEAKER&gt;「よくがんばったな! ねえちゃん!</x:v>
      </x:c>
      <x:c r="E1028" s="19" t="str">
        <x:v>&lt;SPEAKER&gt;You did well, lady!</x:v>
      </x:c>
      <x:c r="F1028" s="20" t="str"/>
      <x:c r="G1028" s="20" t="str"/>
      <x:c r="H1028" s="23" t="str">
        <x:v>SPEAKER END</x:v>
      </x:c>
      <x:c r="I1028" s="23" t="str">
        <x:v>E9:67FE</x:v>
      </x:c>
      <x:c r="J1028" s="23" t="str">
        <x:v>CC 59 6F 75 01 64 69 64 01 77 65 6C 6C 2C 01 6C 61 64 79 21 C0</x:v>
      </x:c>
      <x:c r="K1028" s="23" t="str">
        <x:v>1CC 035 017 084 015 03D 084 029 03E 01F 024 07A 001 027 013 020 03F 03D 07A 1C0</x:v>
      </x:c>
    </x:row>
    <x:row r="1029">
      <x:c r="A1029" s="22" t="str">
        <x:f>"04"</x:f>
        <x:v>04</x:v>
      </x:c>
      <x:c r="B1029" s="22" t="str">
        <x:f>"03"</x:f>
        <x:v>03</x:v>
      </x:c>
      <x:c r="C1029" s="22" t="str">
        <x:f>"0x0403"</x:f>
        <x:v>0x0403</x:v>
      </x:c>
      <x:c r="D1029" s="21" t="str">
        <x:v>&lt;SPEAKER&gt;「けけけ なかなか やるじゃない!
とりあえず これを かえすよ</x:v>
      </x:c>
      <x:c r="E1029" s="19" t="str">
        <x:v>&lt;SPEAKER&gt;Keh heh! Not bad at all.
For now, I will give this back.</x:v>
      </x:c>
      <x:c r="F1029" s="20" t="str"/>
      <x:c r="G1029" s="20" t="str"/>
      <x:c r="H1029" s="23" t="str">
        <x:v>SPEAKER NEWLINE END</x:v>
      </x:c>
      <x:c r="I1029" s="23" t="str">
        <x:v>E9:6813</x:v>
      </x:c>
      <x:c r="J1029" s="23" t="str">
        <x:v>CC 4B 65 68 01 68 65 68 21 01 4E 6F 74 01 62 61 64 01 61 74 01 61 6C 6C 2E C8 46 6F 72 01 6E 6F 77 2C 01 49 01 77 69 6C 6C 01 67 69 76 65 01 74 68 69 73 01 62 61 63 6B 2E C0</x:v>
      </x:c>
      <x:c r="K1029" s="23" t="str">
        <x:v>1CC 018 018 018 001 024 015 024 015 001 033 038 084 01B 03F 024 011 07A 1C8 023 037 010 013 084 01C 001 019 039 03C 001 015 013 01C 035 1C0</x:v>
      </x:c>
    </x:row>
    <x:row r="1030">
      <x:c r="A1030" s="22" t="str">
        <x:f>"04"</x:f>
        <x:v>04</x:v>
      </x:c>
      <x:c r="B1030" s="22" t="str">
        <x:f>"04"</x:f>
        <x:v>04</x:v>
      </x:c>
      <x:c r="C1030" s="22" t="str">
        <x:f>"0x0404"</x:f>
        <x:v>0x0404</x:v>
      </x:c>
      <x:c r="D1030" s="21" t="str">
        <x:v>&lt;CLEAR&gt;
レディは おくすりを
かえしてもらった</x:v>
      </x:c>
      <x:c r="E1030" s="19" t="str">
        <x:v>&lt;CLEAR&gt;Lady got her medicine back.</x:v>
      </x:c>
      <x:c r="F1030" s="20" t="str"/>
      <x:c r="G1030" s="20" t="str"/>
      <x:c r="H1030" s="23" t="str">
        <x:v>CLEAR END</x:v>
      </x:c>
      <x:c r="I1030" s="23" t="str">
        <x:v>E9:684D</x:v>
      </x:c>
      <x:c r="J1030" s="23" t="str">
        <x:v>D0 4C 61 64 79 01 67 6F 74 01 68 65 72 01 6D 65 64 69 63 69 6E 65 01 62 61 63 6B 2E C0</x:v>
      </x:c>
      <x:c r="K1030" s="23" t="str">
        <x:v>1D0 06B 084 054 075 029 001 014 017 01C 037 03C 1C8 015 013 01B 022 032 036 03E 01F 1C0</x:v>
      </x:c>
    </x:row>
    <x:row r="1031">
      <x:c r="A1031" s="22" t="str">
        <x:f>"04"</x:f>
        <x:v>04</x:v>
      </x:c>
      <x:c r="B1031" s="22" t="str">
        <x:f>"05"</x:f>
        <x:v>05</x:v>
      </x:c>
      <x:c r="C1031" s="22" t="str">
        <x:f>"0x0405"</x:f>
        <x:v>0x0405</x:v>
      </x:c>
      <x:c r="D1031" s="21" t="str">
        <x:v>&lt;SPEAKER&gt;「けけけ なかなか やるじゃない!
これは ごほうびだよ</x:v>
      </x:c>
      <x:c r="E1031" s="19" t="str">
        <x:v>&lt;SPEAKER&gt;Keh heh! Not bad
at all. Here is your reward.</x:v>
      </x:c>
      <x:c r="F1031" s="20" t="str"/>
      <x:c r="G1031" s="20" t="str"/>
      <x:c r="H1031" s="23" t="str">
        <x:v>SPEAKER NEWLINE END</x:v>
      </x:c>
      <x:c r="I1031" s="23" t="str">
        <x:v>E9:686A</x:v>
      </x:c>
      <x:c r="J1031" s="23" t="str">
        <x:v>CC 4B 65 68 01 68 65 68 21 01 4E 6F 74 01 62 61 64 C8 61 74 01 61 6C 6C 2E 01 48 65 72 65 01 69 73 01 79 6F 75 72 01 72 65 77 61 72 64 2E C0</x:v>
      </x:c>
      <x:c r="K1031" s="23" t="str">
        <x:v>1CC 018 018 018 001 024 015 024 015 001 033 038 084 01B 03F 024 011 07A 1C8 019 039 029 001 084 019 02D 012 084 02A 084 01F 035 1C0</x:v>
      </x:c>
    </x:row>
    <x:row r="1032">
      <x:c r="A1032" s="22" t="str">
        <x:f>"04"</x:f>
        <x:v>04</x:v>
      </x:c>
      <x:c r="B1032" s="22" t="str">
        <x:f>"06"</x:f>
        <x:v>06</x:v>
      </x:c>
      <x:c r="C1032" s="22" t="str">
        <x:f>"0x0406"</x:f>
        <x:v>0x0406</x:v>
      </x:c>
      <x:c r="D1032" s="21" t="str">
        <x:v>&lt;SPEAKER&gt;「なあんだ じゃ やめた</x:v>
      </x:c>
      <x:c r="E1032" s="19" t="str">
        <x:v>&lt;SPEAKER&gt;Oh. Then forget it.</x:v>
      </x:c>
      <x:c r="F1032" s="20" t="str"/>
      <x:c r="G1032" s="20" t="str"/>
      <x:c r="H1032" s="23" t="str">
        <x:v>SPEAKER END</x:v>
      </x:c>
      <x:c r="I1032" s="23" t="str">
        <x:v>E9:6899</x:v>
      </x:c>
      <x:c r="J1032" s="23" t="str">
        <x:v>CC 4F 68 2E 01 54 68 65 6E 01 66 6F 72 67 65 74 01 69 74 2E C0</x:v>
      </x:c>
      <x:c r="K1032" s="23" t="str">
        <x:v>1CC 024 010 03D 084 01F 001 084 01B 03F 001 033 031 01F 1C0</x:v>
      </x:c>
    </x:row>
    <x:row r="1033">
      <x:c r="A1033" s="22" t="str">
        <x:f>"04"</x:f>
        <x:v>04</x:v>
      </x:c>
      <x:c r="B1033" s="22" t="str">
        <x:f>"07"</x:f>
        <x:v>07</x:v>
      </x:c>
      <x:c r="C1033" s="22" t="str">
        <x:f>"0x0407"</x:f>
        <x:v>0x0407</x:v>
      </x:c>
      <x:c r="D1033" s="21" t="str">
        <x:v>&lt;SPEAKER&gt;「けけけっ でも ごうもんは
これで おわりじゃないよ&lt;WAIT&gt;&lt;SPEAKER&gt;「いまのは ほんの こてしらべさっ
おたのしみは これからなのさ
けけけ けけけけけっ</x:v>
      </x:c>
      <x:c r="E1033" s="19" t="str">
        <x:v>&lt;SPEAKER&gt;Keh heh! But the
torture is not over yet.&lt;WAIT&gt;&lt;SPEAKER&gt;That was only a
warm-up. The real fun starts
now! Keh heh heh heh!</x:v>
      </x:c>
      <x:c r="F1033" s="20" t="str"/>
      <x:c r="G1033" s="20" t="str"/>
      <x:c r="H1033" s="23" t="str">
        <x:v>SPEAKER NEWLINE WAIT SPEAKER NEWLINE NEWLINE END</x:v>
      </x:c>
      <x:c r="I1033" s="23" t="str">
        <x:v>E9:68AE</x:v>
      </x:c>
      <x:c r="J1033" s="23" t="str">
        <x:v>CC 4B 65 68 01 68 65 68 21 01 42 75 74 01 74 68 65 C8 74 6F 72 74 75 72 65 01 69 73 01 6E 6F 74 01 6F 76 65 72 01 79 65 74 2E C5 CC 54 68 61 74 01 77 61 73 01 6F 6E 6C 79 01 61 C8 77 61 72 6D 2D 75 70 2E 01 54 68 65 01 72 65 61 6C 01 66 75 6E 01 73 74 61 72 74 73 C8 6E 6F 77 21 01 4B 65 68 01 68 65 68 01 68 65 68 01 68 65 68 21 C0</x:v>
      </x:c>
      <x:c r="K1033" s="23" t="str">
        <x:v>1CC 018 018 018 03E 001 084 022 032 001 084 019 012 032 03D 029 1C8 019 039 084 022 001 014 03B 037 084 01B 03F 024 011 035 1C5 1CC 011 02E 028 029 001 02D 03D 028 001 019 022 01B 036 084 02C 01A 03E 1C8 014 01F 028 01B 02F 029 001 019 039 015 036 024 028 01A 1C8 018 018 018 001 018 018 018 018 018 03E 1C0</x:v>
      </x:c>
    </x:row>
    <x:row r="1034">
      <x:c r="A1034" s="22" t="str">
        <x:f>"04"</x:f>
        <x:v>04</x:v>
      </x:c>
      <x:c r="B1034" s="22" t="str">
        <x:f>"08"</x:f>
        <x:v>08</x:v>
      </x:c>
      <x:c r="C1034" s="22" t="str">
        <x:f>"0x0408"</x:f>
        <x:v>0x0408</x:v>
      </x:c>
      <x:c r="D1034" s="21" t="str">
        <x:v>&lt;SPEAKER&gt;「このさきの てつごうしを あけたから
となりの部屋に 行きなっ!
そこで ほんばんなのさ けけっ</x:v>
      </x:c>
      <x:c r="E1034" s="19" t="str">
        <x:v>&lt;SPEAKER&gt;I opened the iron grate
ahead. Go into the next room!
That's where it gets real. Keh!</x:v>
      </x:c>
      <x:c r="F1034" s="20" t="str"/>
      <x:c r="G1034" s="20" t="str"/>
      <x:c r="H1034" s="23" t="str">
        <x:v>SPEAKER NEWLINE NEWLINE END</x:v>
      </x:c>
      <x:c r="I1034" s="23" t="str">
        <x:v>E9:691D</x:v>
      </x:c>
      <x:c r="J1034" s="23" t="str">
        <x:v>CC 49 01 6F 70 65 6E 65 64 01 74 68 65 01 69 72 6F 6E 01 67 72 61 74 65 C8 61 68 65 61 64 2E 01 47 6F 01 69 6E 74 6F 01 74 68 65 01 6E 65 78 74 01 72 6F 6F 6D 21 C8 54 68 61 74 27 73 01 77 68 65 72 65 01 69 74 01 67 65 74 73 01 72 65 61 6C 2E 01 4B 65 68 21 C0</x:v>
      </x:c>
      <x:c r="K1034" s="23" t="str">
        <x:v>1CC 019 028 01A 016 028 001 022 021 084 019 012 01B 03C 001 010 018 01F 015 036 1C8 023 024 037 028 0DA 0B3 025 001 08D 016 024 03E 07A 1C8 01E 019 084 022 001 02D 03D 084 029 03D 024 028 01A 001 018 018 03E 1C0</x:v>
      </x:c>
    </x:row>
    <x:row r="1035">
      <x:c r="A1035" s="22" t="str">
        <x:f>"04"</x:f>
        <x:v>04</x:v>
      </x:c>
      <x:c r="B1035" s="22" t="str">
        <x:f>"09"</x:f>
        <x:v>09</x:v>
      </x:c>
      <x:c r="C1035" s="22" t="str">
        <x:f>"0x0409"</x:f>
        <x:v>0x0409</x:v>
      </x:c>
      <x:c r="D1035" s="21" t="str">
        <x:v>&lt;SPEAKER&gt;「けけけっ よく 生きのこったな
おんなの くせに 体を
きたえているんだな けけけっ&lt;WAIT&gt;&lt;SPEAKER&gt;「きたえられた 人間は さぞ
おいしいんだろうな けけけっ</x:v>
      </x:c>
      <x:c r="E1035" s="19" t="str">
        <x:v>&lt;SPEAKER&gt;Keh heh! You actually
survived. Not bad for a woman.
You keep yourself in shape!&lt;WAIT&gt;&lt;SPEAKER&gt;A well-trained human must
taste especially good. Keh heh!</x:v>
      </x:c>
      <x:c r="F1035" s="20" t="str"/>
      <x:c r="G1035" s="20" t="str"/>
      <x:c r="H1035" s="23" t="str">
        <x:v>SPEAKER NEWLINE NEWLINE WAIT SPEAKER NEWLINE END</x:v>
      </x:c>
      <x:c r="I1035" s="23" t="str">
        <x:v>E9:6974</x:v>
      </x:c>
      <x:c r="J1035" s="23" t="str">
        <x:v>CC 4B 65 68 01 68 65 68 21 01 59 6F 75 01 61 63 74 75 61 6C 6C 79 C8 73 75 72 76 69 76 65 64 2E 01 4E 6F 74 01 62 61 64 01 66 6F 72 01 61 01 77 6F 6D 61 6E 2E C8 59 6F 75 01 6B 65 65 70 01 79 6F 75 72 73 65 6C 66 01 69 6E 01 73 68 61 70 65 21 C5 CC 41 01 77 65 6C 6C 2D 74 72 61 69 6E 65 64 01 68 75 6D 61 6E 01 6D 75 73 74 C8 74 61 73 74 65 01 65 73 70 65 63 69 61 6C 6C 79 01 67 6F 6F 64 2E 01 4B 65 68 01 68 65 68 21 C0</x:v>
      </x:c>
      <x:c r="K1035" s="23" t="str">
        <x:v>1CC 018 018 018 03E 001 035 017 001 09B 016 028 019 03E 01F 024 1C8 014 03D 024 028 001 017 01D 025 001 0F0 03C 1C8 016 01F 013 022 011 038 03D 084 01F 024 001 018 018 018 03E 1C5 1CC 016 01F 013 036 039 01F 001 091 0E3 029 001 01A 084 01E 1C8 014 011 01B 011 03D 084 01F 03A 012 024 001 018 018 018 03E 1C0</x:v>
      </x:c>
    </x:row>
    <x:row r="1036">
      <x:c r="A1036" s="22" t="str">
        <x:f>"04"</x:f>
        <x:v>04</x:v>
      </x:c>
      <x:c r="B1036" s="22" t="str">
        <x:f>"0A"</x:f>
        <x:v>0A</x:v>
      </x:c>
      <x:c r="C1036" s="22" t="str">
        <x:f>"0x040A"</x:f>
        <x:v>0x040A</x:v>
      </x:c>
      <x:c r="D1036" s="21" t="str">
        <x:v>&lt;SPEAKER&gt;「おっと! これは これは
わかい ねーさんだねえ へへ&lt;WAIT&gt;&lt;SPEAKER&gt;「ごうもんの しゅるいは
3しゅるいだ! まずは ここ
てっぱんじごくだ!&lt;WAIT&gt;&lt;SPEAKER&gt;「てっぱんの ところどころが
まっかに あつくなるから
がんばって にげまわってくれ&lt;WAIT&gt;&lt;SPEAKER&gt;「ほんじゃあ いくぞ!</x:v>
      </x:c>
      <x:c r="E1036" s="19" t="str">
        <x:v>&lt;SPEAKER&gt;Well, well!
A young lady. Heh.&lt;WAIT&gt;&lt;SPEAKER&gt;There are three kinds of
torture. First comes Hot-Plate Hell!&lt;WAIT&gt;&lt;SPEAKER&gt;Parts of the iron
floor turn red-hot. Do
your best to keep moving!&lt;WAIT&gt;&lt;SPEAKER&gt;All right, here we go!</x:v>
      </x:c>
      <x:c r="F1036" s="20" t="str"/>
      <x:c r="G1036" s="20" t="str"/>
      <x:c r="H1036" s="23" t="str">
        <x:v>SPEAKER NEWLINE WAIT SPEAKER NEWLINE WAIT SPEAKER NEWLINE NEWLINE WAIT SPEAKER END</x:v>
      </x:c>
      <x:c r="I1036" s="23" t="str">
        <x:v>E9:6A01</x:v>
      </x:c>
      <x:c r="J1036" s="23" t="str">
        <x:v>CC 57 65 6C 6C 2C 01 77 65 6C 6C 21 C8 41 01 79 6F 75 6E 67 01 6C 61 64 79 2E 01 48 65 68 2E C5 CC 54 68 65 72 65 01 61 72 65 01 74 68 72 65 65 01 6B 69 6E 64 73 01 6F 66 C8 74 6F 72 74 75 72 65 2E 01 46 69 72 73 74 01 63 6F 6D 65 73 01 48 6F 74 2D 50 6C 61 74 65 01 48 65 6C 6C 21 C5 CC 50 61 72 74 73 01 6F 66 01 74 68 65 01 69 72 6F 6E C8 66 6C 6F 6F 72 01 74 75 72 6E 01 72 65 64 2D 68 6F 74 2E 01 44 6F C8 79 6F 75 72 01 62 65 73 74 01 74 6F 01 6B 65 65 70 01 6D 6F 76 69 6E 67 21 C5 CC 41 6C 6C 01 72 69 67 68 74 2C 01 68 65 72 65 01 77 65 01 67 6F 21 C0</x:v>
      </x:c>
      <x:c r="K1036" s="23" t="str">
        <x:v>1CC 014 03E 023 07A 001 019 039 029 001 019 039 029 1C8 03B 015 011 001 027 078 01A 03D 084 01F 027 013 001 02C 02C 1C5 1CC 084 019 012 032 03D 028 001 01B 040 038 011 029 1C8 005 01B 040 038 011 084 01F 07A 001 02E 084 01C 029 001 019 019 1C8 022 03E 083 029 03D 084 01B 084 019 017 084 01F 07A 1C5 1CC 022 03E 083 029 03D 028 001 023 019 03A 084 023 019 03A 084 015 1C8 02E 03E 015 025 001 010 021 017 024 038 015 036 1C8 084 015 03D 084 029 03E 022 001 025 084 018 02E 03B 03E 022 017 039 1C5 1CC 02D 03D 084 01B 03F 010 001 011 017 084 01E 07A 1C0</x:v>
      </x:c>
    </x:row>
    <x:row r="1037">
      <x:c r="A1037" s="22" t="str">
        <x:f>"04"</x:f>
        <x:v>04</x:v>
      </x:c>
      <x:c r="B1037" s="22" t="str">
        <x:f>"0B"</x:f>
        <x:v>0B</x:v>
      </x:c>
      <x:c r="C1037" s="22" t="str">
        <x:f>"0x040B"</x:f>
        <x:v>0x040B</x:v>
      </x:c>
      <x:c r="D1037" s="21" t="str">
        <x:v>&lt;SPEAKER&gt;「おっと! まだまだ!</x:v>
      </x:c>
      <x:c r="E1037" s="19" t="str">
        <x:v>&lt;SPEAKER&gt;Whoa! We
are not done yet!</x:v>
      </x:c>
      <x:c r="F1037" s="20" t="str"/>
      <x:c r="G1037" s="20" t="str"/>
      <x:c r="H1037" s="23" t="str">
        <x:v>SPEAKER NEWLINE END</x:v>
      </x:c>
      <x:c r="I1037" s="23" t="str">
        <x:v>E9:6ABC</x:v>
      </x:c>
      <x:c r="J1037" s="23" t="str">
        <x:v>CC 57 68 6F 61 21 01 57 65 C8 61 72 65 01 6E 6F 74 01 64 6F 6E 65 01 79 65 74 21 C0</x:v>
      </x:c>
      <x:c r="K1037" s="23" t="str">
        <x:v>1CC 014 03E 023 07A 001 02E 084 01F 02E 084 01F 07A 1C0</x:v>
      </x:c>
    </x:row>
    <x:row r="1038">
      <x:c r="A1038" s="22" t="str">
        <x:f>"04"</x:f>
        <x:v>04</x:v>
      </x:c>
      <x:c r="B1038" s="22" t="str">
        <x:f>"0C"</x:f>
        <x:v>0C</x:v>
      </x:c>
      <x:c r="C1038" s="22" t="str">
        <x:f>"0x040C"</x:f>
        <x:v>0x040C</x:v>
      </x:c>
      <x:c r="D1038" s="21" t="str">
        <x:v>&lt;SPEAKER&gt;「へへへ わかい おんなの
てっぱんダンスは いかすぜ
つぎの 部屋に いきな!</x:v>
      </x:c>
      <x:c r="E1038" s="19" t="str">
        <x:v>&lt;SPEAKER&gt;Heh heh! That hot-plate
dance of yours was something.
Now get to the next room!</x:v>
      </x:c>
      <x:c r="F1038" s="20" t="str"/>
      <x:c r="G1038" s="20" t="str"/>
      <x:c r="H1038" s="23" t="str">
        <x:v>SPEAKER NEWLINE NEWLINE END</x:v>
      </x:c>
      <x:c r="I1038" s="23" t="str">
        <x:v>E9:6AD8</x:v>
      </x:c>
      <x:c r="J1038" s="23" t="str">
        <x:v>CC 48 65 68 01 68 65 68 21 01 54 68 61 74 01 68 6F 74 2D 70 6C 61 74 65 C8 64 61 6E 63 65 01 6F 66 01 79 6F 75 72 73 01 77 61 73 01 73 6F 6D 65 74 68 69 6E 67 2E C8 4E 6F 77 01 67 65 74 01 74 6F 01 74 68 65 01 6E 65 78 74 01 72 6F 6F 6D 21 C0</x:v>
      </x:c>
      <x:c r="K1038" s="23" t="str">
        <x:v>1CC 02C 02C 02C 001 03B 015 011 001 014 03D 024 028 1C8 022 03E 083 029 03D 084 051 06F 04E 029 001 011 015 01C 084 01D 1C8 021 084 016 028 001 0DA 0B3 025 001 011 016 024 07A 1C0</x:v>
      </x:c>
    </x:row>
    <x:row r="1039">
      <x:c r="A1039" s="22" t="str">
        <x:f>"04"</x:f>
        <x:v>04</x:v>
      </x:c>
      <x:c r="B1039" s="22" t="str">
        <x:f>"0D"</x:f>
        <x:v>0D</x:v>
      </x:c>
      <x:c r="C1039" s="22" t="str">
        <x:f>"0x040D"</x:f>
        <x:v>0x040D</x:v>
      </x:c>
      <x:c r="D1039" s="21" t="str">
        <x:v>&lt;SPEAKER&gt;「けけけっ ここは むかしから
つたわる ゆいしょある
れんがじごくの ごうもんだっ!&lt;WAIT&gt;&lt;SPEAKER&gt;「いまから 上から れんがを
おとすから それを持って 歩け!&lt;WAIT&gt;&lt;SPEAKER&gt;「この れんが道を 2しゅうだ
けけけっ すごい おもさだぞ!
・・よし おとせっ!</x:v>
      </x:c>
      <x:c r="E1039" s="19" t="str">
        <x:v>&lt;SPEAKER&gt;Keh heh! This is
the ancient and honored
torture of Brick Hell!&lt;WAIT&gt;&lt;SPEAKER&gt;We will drop a
brick from above. Carry
it and keep walking!&lt;WAIT&gt;&lt;SPEAKER&gt;Two laps around this
brick path. Keh heh! It is
brutally heavy! ...All right, drop it!</x:v>
      </x:c>
      <x:c r="F1039" s="20" t="str"/>
      <x:c r="G1039" s="20" t="str"/>
      <x:c r="H1039" s="23" t="str">
        <x:v>SPEAKER NEWLINE NEWLINE WAIT SPEAKER NEWLINE NEWLINE WAIT SPEAKER NEWLINE NEWLINE END</x:v>
      </x:c>
      <x:c r="I1039" s="23" t="str">
        <x:v>E9:6B29</x:v>
      </x:c>
      <x:c r="J1039" s="23" t="str">
        <x:v>CC 4B 65 68 01 68 65 68 21 01 54 68 69 73 01 69 73 C8 74 68 65 01 61 6E 63 69 65 6E 74 01 61 6E 64 01 68 6F 6E 6F 72 65 64 C8 74 6F 72 74 75 72 65 01 6F 66 01 42 72 69 63 6B 01 48 65 6C 6C 21 C5 CC 57 65 01 77 69 6C 6C 01 64 72 6F 70 01 61 C8 62 72 69 63 6B 01 66 72 6F 6D 01 61 62 6F 76 65 2E 01 43 61 72 72 79 C8 69 74 01 61 6E 64 01 6B 65 65 70 01 77 61 6C 6B 69 6E 67 21 C5 CC 54 77 6F 01 6C 61 70 73 01 61 72 6F 75 6E 64 01 74 68 69 73 C8 62 72 69 63 6B 01 70 61 74 68 2E 01 4B 65 68 01 68 65 68 21 01 49 74 01 69 73 C8 62 72 75 74 61 6C 6C 79 01 68 65 61 76 79 21 01 2E 2E 2E 41 6C 6C 01 72 69 67 68 74 2C 01 64 72 6F 70 01 69 74 21 C0</x:v>
      </x:c>
      <x:c r="K1039" s="23" t="str">
        <x:v>1CC 018 018 018 03E 001 019 019 029 001 030 015 01B 015 036 1C8 021 01F 03B 038 001 034 011 01B 041 010 038 1C8 039 03D 084 015 084 01B 084 019 017 028 001 084 019 012 032 03D 084 01F 03E 07A 1C5 1CC 011 02E 015 036 001 128 015 036 001 039 03D 084 015 03C 1C8 014 023 01C 015 036 001 01E 039 03C 0D3 03E 022 001 0D0 018 07A 1C5 1CC 019 028 001 039 03D 084 015 0C7 03C 001 004 01B 040 012 084 01F 1C8 018 018 018 03E 001 01C 084 019 011 001 014 032 01A 084 01F 084 01E 07A 1C8 081 081 035 01B 001 014 023 01D 03E 07A 1C0</x:v>
      </x:c>
    </x:row>
    <x:row r="1040">
      <x:c r="A1040" s="22" t="str">
        <x:f>"04"</x:f>
        <x:v>04</x:v>
      </x:c>
      <x:c r="B1040" s="22" t="str">
        <x:f>"0E"</x:f>
        <x:v>0E</x:v>
      </x:c>
      <x:c r="C1040" s="22" t="str">
        <x:f>"0x040E"</x:f>
        <x:v>0x040E</x:v>
      </x:c>
      <x:c r="D1040" s="21" t="str">
        <x:v>&lt;SPEAKER&gt;「ここは ばくだんじごくだ
上から ダイナマッドが
たくさん おちてくる&lt;WAIT&gt;&lt;SPEAKER&gt;「ただ にげているだけでは だめだ
そこの だんさの 下に 5ひき
なげこまなければ でられんぞ!&lt;WAIT&gt;&lt;SPEAKER&gt;「それではいくぞ! うりゃ</x:v>
      </x:c>
      <x:c r="E1040" s="19" t="str">
        <x:v>&lt;SPEAKER&gt;This is Bomb Hell. Lots
of Dynamuds will fall from above.&lt;WAIT&gt;&lt;SPEAKER&gt;Just running away will
not work. You must throw five
of them down below that ledge!&lt;WAIT&gt;&lt;SPEAKER&gt;Here we go! Hyaa!</x:v>
      </x:c>
      <x:c r="F1040" s="20" t="str"/>
      <x:c r="G1040" s="20" t="str"/>
      <x:c r="H1040" s="23" t="str">
        <x:v>SPEAKER NEWLINE WAIT SPEAKER NEWLINE NEWLINE WAIT SPEAKER END</x:v>
      </x:c>
      <x:c r="I1040" s="23" t="str">
        <x:v>E9:6BFF</x:v>
      </x:c>
      <x:c r="J1040" s="23" t="str">
        <x:v>CC 54 68 69 73 01 69 73 01 42 6F 6D 62 01 48 65 6C 6C 2E 01 4C 6F 74 73 C8 6F 66 01 44 79 6E 61 6D 75 64 73 01 77 69 6C 6C 01 66 61 6C 6C 01 66 72 6F 6D 01 61 62 6F 76 65 2E C5 CC 4A 75 73 74 01 72 75 6E 6E 69 6E 67 01 61 77 61 79 01 77 69 6C 6C C8 6E 6F 74 01 77 6F 72 6B 2E 01 59 6F 75 01 6D 75 73 74 01 74 68 72 6F 77 01 66 69 76 65 C8 6F 66 01 74 68 65 6D 01 64 6F 77 6E 01 62 65 6C 6F 77 01 74 68 61 74 01 6C 65 64 67 65 21 C5 CC 48 65 72 65 01 77 65 01 67 6F 21 01 48 79 61 61 21 C0</x:v>
      </x:c>
      <x:c r="K1040" s="23" t="str">
        <x:v>1CC 019 019 029 001 084 029 017 084 01F 03D 084 01B 084 019 017 084 01F 1C8 128 015 036 001 084 051 043 056 060 070 084 055 084 015 1C8 01F 017 01A 03D 001 014 020 022 017 038 1C5 1CC 01F 084 01F 001 025 084 018 022 011 038 084 01F 018 084 022 029 001 084 01F 031 084 01F 1C8 01E 019 028 001 084 01F 03D 01A 028 001 0B8 025 001 007 02A 016 1C8 024 084 018 019 02E 024 018 039 084 029 001 084 022 036 039 03D 084 01E 07A 1C5 1CC 01E 039 084 022 029 011 017 084 01E 07A 001 012 037 03F 1C0</x:v>
      </x:c>
    </x:row>
    <x:row r="1041">
      <x:c r="A1041" s="22" t="str">
        <x:f>"04"</x:f>
        <x:v>04</x:v>
      </x:c>
      <x:c r="B1041" s="22" t="str">
        <x:f>"0F"</x:f>
        <x:v>0F</x:v>
      </x:c>
      <x:c r="C1041" s="22" t="str">
        <x:f>"0x040F"</x:f>
        <x:v>0x040F</x:v>
      </x:c>
      <x:c r="D1041" s="21" t="str">
        <x:v>&lt;SPEAKER&gt;「むはは むは むは
がんばれ! がんばれ!</x:v>
      </x:c>
      <x:c r="E1041" s="19" t="str">
        <x:v>&lt;SPEAKER&gt;Muahaha! Muha! Muha!
Keep going! Keep going!</x:v>
      </x:c>
      <x:c r="F1041" s="20" t="str"/>
      <x:c r="G1041" s="20" t="str"/>
      <x:c r="H1041" s="23" t="str">
        <x:v>SPEAKER NEWLINE END</x:v>
      </x:c>
      <x:c r="I1041" s="23" t="str">
        <x:v>E9:6CA2</x:v>
      </x:c>
      <x:c r="J1041" s="23" t="str">
        <x:v>CC 4D 75 61 68 61 68 61 21 01 4D 75 68 61 21 01 4D 75 68 61 21 C8 4B 65 65 70 01 67 6F 69 6E 67 21 01 4B 65 65 70 01 67 6F 69 6E 67 21 C0</x:v>
      </x:c>
      <x:c r="K1041" s="23" t="str">
        <x:v>1CC 030 029 029 001 030 029 001 030 029 1C8 084 015 03D 084 029 039 07A 001 084 015 03D 084 029 039 07A 1C0</x:v>
      </x:c>
    </x:row>
    <x:row r="1042">
      <x:c r="A1042" s="22" t="str">
        <x:f>"04"</x:f>
        <x:v>04</x:v>
      </x:c>
      <x:c r="B1042" s="22" t="str">
        <x:f>"10"</x:f>
        <x:v>10</x:v>
      </x:c>
      <x:c r="C1042" s="22" t="str">
        <x:f>"0x0410"</x:f>
        <x:v>0x0410</x:v>
      </x:c>
      <x:c r="D1042" s="21" t="str">
        <x:v>&lt;SPEAKER&gt;「ごくろうさん これで ごうもんは
すべて しゅうりょうだ
よく がんばったな</x:v>
      </x:c>
      <x:c r="E1042" s="19" t="str">
        <x:v>&lt;SPEAKER&gt;Good work. That concludes
all of the torture. You did well.</x:v>
      </x:c>
      <x:c r="F1042" s="20" t="str"/>
      <x:c r="G1042" s="20" t="str"/>
      <x:c r="H1042" s="23" t="str">
        <x:v>SPEAKER NEWLINE END</x:v>
      </x:c>
      <x:c r="I1042" s="23" t="str">
        <x:v>E9:6CD0</x:v>
      </x:c>
      <x:c r="J1042" s="23" t="str">
        <x:v>CC 47 6F 6F 64 01 77 6F 72 6B 2E 01 54 68 61 74 01 63 6F 6E 63 6C 75 64 65 73 C8 61 6C 6C 01 6F 66 01 74 68 65 01 74 6F 72 74 75 72 65 2E 01 59 6F 75 01 64 69 64 01 77 65 6C 6C 2E C0</x:v>
      </x:c>
      <x:c r="K1042" s="23" t="str">
        <x:v>1CC 084 019 017 03A 012 01A 03D 001 019 039 084 022 001 084 019 012 032 03D 029 1C8 01C 084 02C 022 001 01B 040 012 037 041 012 084 01F 1C8 035 017 001 084 015 03D 084 029 03E 01F 024 1C0</x:v>
      </x:c>
    </x:row>
    <x:row r="1043">
      <x:c r="A1043" s="22" t="str">
        <x:f>"04"</x:f>
        <x:v>04</x:v>
      </x:c>
      <x:c r="B1043" s="22" t="str">
        <x:f>"11"</x:f>
        <x:v>11</x:v>
      </x:c>
      <x:c r="C1043" s="22" t="str">
        <x:f>"0x0411"</x:f>
        <x:v>0x0411</x:v>
      </x:c>
      <x:c r="D1043" s="21" t="str">
        <x:v>&lt;SPEAKER&gt;「こらー じじい 何いってんだ
よけいなこと いってると
生かして おかないぞ けけっ</x:v>
      </x:c>
      <x:c r="E1043" s="19" t="str">
        <x:v>&lt;SPEAKER&gt;Hey, old man! Shut your
mouth. Keep talking out of turn
and I will kill you. Keh heh!</x:v>
      </x:c>
      <x:c r="F1043" s="20" t="str"/>
      <x:c r="G1043" s="20" t="str"/>
      <x:c r="H1043" s="23" t="str">
        <x:v>SPEAKER NEWLINE NEWLINE END</x:v>
      </x:c>
      <x:c r="I1043" s="23" t="str">
        <x:v>E9:6D0D</x:v>
      </x:c>
      <x:c r="J1043" s="23" t="str">
        <x:v>CC 48 65 79 2C 01 6F 6C 64 01 6D 61 6E 21 01 53 68 75 74 01 79 6F 75 72 C8 6D 6F 75 74 68 2E 01 4B 65 65 70 01 74 61 6C 6B 69 6E 67 01 6F 75 74 01 6F 66 01 74 75 72 6E C8 61 6E 64 01 49 01 77 69 6C 6C 01 6B 69 6C 6C 01 79 6F 75 2E 01 4B 65 68 01 68 65 68 21 C0</x:v>
      </x:c>
      <x:c r="K1043" s="23" t="str">
        <x:v>1CC 019 036 078 001 084 01B 084 01B 011 001 093 011 03E 022 03D 084 01F 1C8 035 018 011 024 019 023 001 011 03E 022 038 023 1C8 09B 015 01B 022 001 014 015 024 011 084 01E 001 018 018 03E 1C0</x:v>
      </x:c>
    </x:row>
    <x:row r="1044">
      <x:c r="A1044" s="22" t="str">
        <x:f>"04"</x:f>
        <x:v>04</x:v>
      </x:c>
      <x:c r="B1044" s="22" t="str">
        <x:f>"12"</x:f>
        <x:v>12</x:v>
      </x:c>
      <x:c r="C1044" s="22" t="str">
        <x:f>"0x0412"</x:f>
        <x:v>0x0412</x:v>
      </x:c>
      <x:c r="D1044" s="21" t="str">
        <x:v>&lt;SPEAKER&gt;「ジャンボ ベビーバロンさま!</x:v>
      </x:c>
      <x:c r="E1044" s="19" t="str">
        <x:v>&lt;SPEAKER&gt;Lord Jumbo Baby Baron!</x:v>
      </x:c>
      <x:c r="F1044" s="20" t="str"/>
      <x:c r="G1044" s="20" t="str"/>
      <x:c r="H1044" s="23" t="str">
        <x:v>SPEAKER END</x:v>
      </x:c>
      <x:c r="I1044" s="23" t="str">
        <x:v>E9:6D64</x:v>
      </x:c>
      <x:c r="J1044" s="23" t="str">
        <x:v>CC 4C 6F 72 64 01 4A 75 6D 62 6F 01 42 61 62 79 01 42 61 72 6F 6E 21 C0</x:v>
      </x:c>
      <x:c r="K1044" s="23" t="str">
        <x:v>1CC 084 04D 071 06F 084 05F 001 084 05E 084 05C 078 084 05B 06C 06F 01A 02E 07A 1C0</x:v>
      </x:c>
    </x:row>
    <x:row r="1045">
      <x:c r="A1045" s="22" t="str">
        <x:f>"04"</x:f>
        <x:v>04</x:v>
      </x:c>
      <x:c r="B1045" s="22" t="str">
        <x:f>"13"</x:f>
        <x:v>13</x:v>
      </x:c>
      <x:c r="C1045" s="22" t="str">
        <x:f>"0x0413"</x:f>
        <x:v>0x0413</x:v>
      </x:c>
      <x:c r="D1045" s="21" t="str">
        <x:v>&lt;SPEAKER&gt;「ばかもの! おれのことは
ジェイビー とよべと いったろう</x:v>
      </x:c>
      <x:c r="E1045" s="19" t="str">
        <x:v>&lt;SPEAKER&gt;Idiot! I told
you to call me J.B.!</x:v>
      </x:c>
      <x:c r="F1045" s="20" t="str"/>
      <x:c r="G1045" s="20" t="str"/>
      <x:c r="H1045" s="23" t="str">
        <x:v>SPEAKER NEWLINE END</x:v>
      </x:c>
      <x:c r="I1045" s="23" t="str">
        <x:v>E9:6D7C</x:v>
      </x:c>
      <x:c r="J1045" s="23" t="str">
        <x:v>CC 49 64 69 6F 74 21 01 49 01 74 6F 6C 64 C8 79 6F 75 01 74 6F 01 63 61 6C 6C 01 6D 65 01 4A 2E 42 2E 21 C0</x:v>
      </x:c>
      <x:c r="K1045" s="23" t="str">
        <x:v>1CC 084 029 015 032 028 07A 001 014 039 028 019 023 029 1C8 084 04D 076 043 084 05C 078 001 023 035 084 02C 023 001 011 03E 01F 03A 012 1C0</x:v>
      </x:c>
    </x:row>
    <x:row r="1046">
      <x:c r="A1046" s="22" t="str">
        <x:f>"04"</x:f>
        <x:v>04</x:v>
      </x:c>
      <x:c r="B1046" s="22" t="str">
        <x:f>"14"</x:f>
        <x:v>14</x:v>
      </x:c>
      <x:c r="C1046" s="22" t="str">
        <x:f>"0x0414"</x:f>
        <x:v>0x0414</x:v>
      </x:c>
      <x:c r="D1046" s="21" t="str">
        <x:v>&lt;SPEAKER&gt;「は&lt;PAUSE_30&gt; はい ジェイビーさま!
デスバレー鉱山から ほうこくです!
なにか みつかったようです!</x:v>
      </x:c>
      <x:c r="E1046" s="19" t="str">
        <x:v>&lt;SPEAKER&gt;Y-yes, Lord J.B.!&lt;PAUSE_30&gt; A
report from Deathvalley Mine!
It seems they found something!</x:v>
      </x:c>
      <x:c r="F1046" s="20" t="str"/>
      <x:c r="G1046" s="20" t="str"/>
      <x:c r="H1046" s="23" t="str">
        <x:v>SPEAKER PAUSE_30 NEWLINE NEWLINE END</x:v>
      </x:c>
      <x:c r="I1046" s="23" t="str">
        <x:v>E9:6DA0</x:v>
      </x:c>
      <x:c r="J1046" s="23" t="str">
        <x:v>CC 59 2D 79 65 73 2C 01 4C 6F 72 64 01 4A 2E 42 2E 21 CD 01 41 C8 72 65 70 6F 72 74 01 66 72 6F 6D 01 44 65 61 74 68 76 61 6C 6C 65 79 01 4D 69 6E 65 21 C8 49 74 01 73 65 65 6D 73 01 74 68 65 79 01 66 6F 75 6E 64 01 73 6F 6D 65 74 68 69 6E 67 21 C0</x:v>
      </x:c>
      <x:c r="K1046" s="23" t="str">
        <x:v>1CC 029 1CD 001 029 011 001 084 04D 076 043 084 05C 078 01A 02E 07A 1C8 084 054 04E 084 05B 06B 078 10B 10C 015 036 001 02D 012 019 017 084 022 01C 07A 1C8 024 025 015 001 02F 021 015 03E 01F 035 012 084 022 01C 07A 1C0</x:v>
      </x:c>
    </x:row>
    <x:row r="1047">
      <x:c r="A1047" s="22" t="str">
        <x:f>"04"</x:f>
        <x:v>04</x:v>
      </x:c>
      <x:c r="B1047" s="22" t="str">
        <x:f>"15"</x:f>
        <x:v>15</x:v>
      </x:c>
      <x:c r="C1047" s="22" t="str">
        <x:f>"0x0415"</x:f>
        <x:v>0x0415</x:v>
      </x:c>
      <x:c r="D1047" s="21" t="str">
        <x:v>&lt;SPEAKER&gt;「なに!
そうか よーし いいぞ!</x:v>
      </x:c>
      <x:c r="E1047" s="19" t="str">
        <x:v>&lt;SPEAKER&gt;What?! I see! Excellent!</x:v>
      </x:c>
      <x:c r="F1047" s="20" t="str"/>
      <x:c r="G1047" s="20" t="str"/>
      <x:c r="H1047" s="23" t="str">
        <x:v>SPEAKER END</x:v>
      </x:c>
      <x:c r="I1047" s="23" t="str">
        <x:v>E9:6DF3</x:v>
      </x:c>
      <x:c r="J1047" s="23" t="str">
        <x:v>CC 57 68 61 74 3F 21 01 49 01 73 65 65 21 01 45 78 63 65 6C 6C 65 6E 74 21 C0</x:v>
      </x:c>
      <x:c r="K1047" s="23" t="str">
        <x:v>1CC 024 025 07A 1C8 01E 012 015 001 035 078 01B 001 011 011 084 01E 07A 1C0</x:v>
      </x:c>
    </x:row>
    <x:row r="1048">
      <x:c r="A1048" s="22" t="str">
        <x:f>"04"</x:f>
        <x:v>04</x:v>
      </x:c>
      <x:c r="B1048" s="22" t="str">
        <x:f>"16"</x:f>
        <x:v>16</x:v>
      </x:c>
      <x:c r="C1048" s="22" t="str">
        <x:f>"0x0416"</x:f>
        <x:v>0x0416</x:v>
      </x:c>
      <x:c r="D1048" s="21" t="str">
        <x:v>&lt;SPEAKER&gt;「ジェイビーさまが あらわれてから
まいにちが たのしくなったな</x:v>
      </x:c>
      <x:c r="E1048" s="19" t="str">
        <x:v>&lt;SPEAKER&gt;Life has been fun every
day since Lord J.B. showed up.</x:v>
      </x:c>
      <x:c r="F1048" s="20" t="str"/>
      <x:c r="G1048" s="20" t="str"/>
      <x:c r="H1048" s="23" t="str">
        <x:v>SPEAKER NEWLINE END</x:v>
      </x:c>
      <x:c r="I1048" s="23" t="str">
        <x:v>E9:6E0D</x:v>
      </x:c>
      <x:c r="J1048" s="23" t="str">
        <x:v>CC 4C 69 66 65 01 68 61 73 01 62 65 65 6E 01 66 75 6E 01 65 76 65 72 79 C8 64 61 79 01 73 69 6E 63 65 01 4C 6F 72 64 01 4A 2E 42 2E 01 73 68 6F 77 65 64 01 75 70 2E C0</x:v>
      </x:c>
      <x:c r="K1048" s="23" t="str">
        <x:v>1CC 084 04D 076 043 084 05C 078 01A 02E 084 015 001 010 036 03B 039 022 015 036 1C8 02E 011 025 020 084 015 001 01F 028 01B 017 024 03E 01F 024 1C0</x:v>
      </x:c>
    </x:row>
    <x:row r="1049">
      <x:c r="A1049" s="22" t="str">
        <x:f>"04"</x:f>
        <x:v>04</x:v>
      </x:c>
      <x:c r="B1049" s="22" t="str">
        <x:f>"17"</x:f>
        <x:v>17</x:v>
      </x:c>
      <x:c r="C1049" s="22" t="str">
        <x:f>"0x0417"</x:f>
        <x:v>0x0417</x:v>
      </x:c>
      <x:c r="D1049" s="21" t="str">
        <x:v>&lt;SPEAKER&gt;「うんうん そうだな まったく
すごいやつだよ ジェイビーさまは&lt;WAIT&gt;&lt;SPEAKER&gt;「これから 人間が まいにち
食えるなんて ゆめのようだね</x:v>
      </x:c>
      <x:c r="E1049" s="19" t="str">
        <x:v>&lt;SPEAKER&gt;Yeah, exactly.
Lord J.B. is incredible.&lt;WAIT&gt;&lt;SPEAKER&gt;Eating humans every single
day... it sounds like a dream!</x:v>
      </x:c>
      <x:c r="F1049" s="20" t="str"/>
      <x:c r="G1049" s="20" t="str"/>
      <x:c r="H1049" s="23" t="str">
        <x:v>SPEAKER NEWLINE WAIT SPEAKER NEWLINE END</x:v>
      </x:c>
      <x:c r="I1049" s="23" t="str">
        <x:v>E9:6E45</x:v>
      </x:c>
      <x:c r="J1049" s="23" t="str">
        <x:v>CC 59 65 61 68 2C 01 65 78 61 63 74 6C 79 2E C8 4C 6F 72 64 01 4A 2E 42 2E 01 69 73 01 69 6E 63 72 65 64 69 62 6C 65 2E C5 CC 45 61 74 69 6E 67 01 68 75 6D 61 6E 73 01 65 76 65 72 79 01 73 69 6E 67 6C 65 C8 64 61 79 2E 2E 2E 01 69 74 01 73 6F 75 6E 64 73 01 6C 69 6B 65 01 61 01 64 72 65 61 6D 21 C0</x:v>
      </x:c>
      <x:c r="K1049" s="23" t="str">
        <x:v>1CC 012 03D 012 03D 001 01E 012 084 01F 024 001 02E 03E 01F 017 1C8 01C 084 019 011 033 021 084 01F 035 001 084 04D 076 043 084 05C 078 01A 02E 029 1C5 1CC 019 039 015 036 001 091 0E3 084 015 001 02E 011 025 020 1C8 0E4 013 038 024 03D 022 001 034 031 028 035 012 084 01F 027 1C0</x:v>
      </x:c>
    </x:row>
    <x:row r="1050">
      <x:c r="A1050" s="22" t="str">
        <x:f>"04"</x:f>
        <x:v>04</x:v>
      </x:c>
      <x:c r="B1050" s="22" t="str">
        <x:f>"18"</x:f>
        <x:v>18</x:v>
      </x:c>
      <x:c r="C1050" s="22" t="str">
        <x:f>"0x0418"</x:f>
        <x:v>0x0418</x:v>
      </x:c>
      <x:c r="D1050" s="21" t="str">
        <x:v>&lt;SPEAKER&gt;「いや それは まだ わからないよ
古代の装置を 復活させないと
うまくいかない らしいよ</x:v>
      </x:c>
      <x:c r="E1050" s="19" t="str">
        <x:v>&lt;SPEAKER&gt;We don't know yet.
It won't work until the
ancient device is restored.</x:v>
      </x:c>
      <x:c r="F1050" s="20" t="str"/>
      <x:c r="G1050" s="20" t="str"/>
      <x:c r="H1050" s="23" t="str">
        <x:v>SPEAKER NEWLINE NEWLINE END</x:v>
      </x:c>
      <x:c r="I1050" s="23" t="str">
        <x:v>E9:6EA9</x:v>
      </x:c>
      <x:c r="J1050" s="23" t="str">
        <x:v>CC 57 65 01 64 6F 6E 27 74 01 6B 6E 6F 77 01 79 65 74 2E C8 49 74 01 77 6F 6E 27 74 01 77 6F 72 6B 01 75 6E 74 69 6C 01 74 68 65 C8 61 6E 63 69 65 6E 74 01 64 65 76 69 63 65 01 69 73 01 72 65 73 74 6F 72 65 64 2E C0</x:v>
      </x:c>
      <x:c r="K1050" s="23" t="str">
        <x:v>1CC 011 033 001 01E 039 029 001 02E 084 01F 001 03B 015 036 024 011 035 1C8 096 09F 028 0C2 19F 03C 001 18B 0B4 01A 01D 024 011 023 1C8 012 02E 017 011 015 024 011 001 036 01B 011 035 1C0</x:v>
      </x:c>
    </x:row>
    <x:row r="1051">
      <x:c r="A1051" s="22" t="str">
        <x:f>"04"</x:f>
        <x:v>04</x:v>
      </x:c>
      <x:c r="B1051" s="22" t="str">
        <x:f>"19"</x:f>
        <x:v>19</x:v>
      </x:c>
      <x:c r="C1051" s="22" t="str">
        <x:f>"0x0419"</x:f>
        <x:v>0x0419</x:v>
      </x:c>
      <x:c r="D1051" s="21" t="str">
        <x:v>&lt;SPEAKER&gt;「魔物の ていこくを つくるとか
いってたけど ほんとかな</x:v>
      </x:c>
      <x:c r="E1051" s="19" t="str">
        <x:v>&lt;SPEAKER&gt;He said he would build a
monster empire. Think it is true?</x:v>
      </x:c>
      <x:c r="F1051" s="20" t="str"/>
      <x:c r="G1051" s="20" t="str"/>
      <x:c r="H1051" s="23" t="str">
        <x:v>SPEAKER NEWLINE END</x:v>
      </x:c>
      <x:c r="I1051" s="23" t="str">
        <x:v>E9:6EF1</x:v>
      </x:c>
      <x:c r="J1051" s="23" t="str">
        <x:v>CC 48 65 01 73 61 69 64 01 68 65 01 77 6F 75 6C 64 01 62 75 69 6C 64 01 61 C8 6D 6F 6E 73 74 65 72 01 65 6D 70 69 72 65 2E 01 54 68 69 6E 6B 01 69 74 01 69 73 01 74 72 75 65 3F C0</x:v>
      </x:c>
      <x:c r="K1051" s="23" t="str">
        <x:v>1CC 09A 08B 028 001 022 011 019 017 03C 001 021 017 038 023 015 1C8 011 03E 022 01F 018 084 023 001 02D 03D 023 015 024 1C0</x:v>
      </x:c>
    </x:row>
    <x:row r="1052">
      <x:c r="A1052" s="22" t="str">
        <x:f>"04"</x:f>
        <x:v>04</x:v>
      </x:c>
      <x:c r="B1052" s="22" t="str">
        <x:f>"1A"</x:f>
        <x:v>1A</x:v>
      </x:c>
      <x:c r="C1052" s="22" t="str">
        <x:f>"0x041A"</x:f>
        <x:v>0x041A</x:v>
      </x:c>
      <x:c r="D1052" s="21" t="str">
        <x:v>&lt;SPEAKER&gt;「そうなれば いいけどなあ&lt;WAIT&gt;&lt;SPEAKER&gt;「まあ いいや とにかく
うっとうしい 人間たちに
たくらみが ばれなきゃいいや</x:v>
      </x:c>
      <x:c r="E1052" s="19" t="str">
        <x:v>&lt;SPEAKER&gt;I sure hope so.&lt;WAIT&gt;&lt;SPEAKER&gt;Anyway, all that matters
is those annoying humans never
find out what we are planning.</x:v>
      </x:c>
      <x:c r="F1052" s="20" t="str"/>
      <x:c r="G1052" s="20" t="str"/>
      <x:c r="H1052" s="23" t="str">
        <x:v>SPEAKER WAIT SPEAKER NEWLINE NEWLINE END</x:v>
      </x:c>
      <x:c r="I1052" s="23" t="str">
        <x:v>E9:6F2D</x:v>
      </x:c>
      <x:c r="J1052" s="23" t="str">
        <x:v>CC 49 01 73 75 72 65 01 68 6F 70 65 01 73 6F 2E C5 CC 41 6E 79 77 61 79 2C 01 61 6C 6C 01 74 68 61 74 01 6D 61 74 74 65 72 73 C8 69 73 01 74 68 6F 73 65 01 61 6E 6E 6F 79 69 6E 67 01 68 75 6D 61 6E 73 01 6E 65 76 65 72 C8 66 69 6E 64 01 6F 75 74 01 77 68 61 74 01 77 65 01 61 72 65 01 70 6C 61 6E 6E 69 6E 67 2E C0</x:v>
      </x:c>
      <x:c r="K1052" s="23" t="str">
        <x:v>1CC 01E 012 024 039 084 029 001 011 011 018 084 023 024 010 1C5 1CC 02E 010 001 011 011 033 001 023 025 015 017 1C8 012 03E 023 012 01B 011 001 091 0E3 01F 020 025 1C8 01F 017 036 02F 084 015 001 084 029 039 024 016 03F 011 011 033 1C0</x:v>
      </x:c>
    </x:row>
    <x:row r="1053">
      <x:c r="A1053" s="22" t="str">
        <x:f>"04"</x:f>
        <x:v>04</x:v>
      </x:c>
      <x:c r="B1053" s="22" t="str">
        <x:f>"1B"</x:f>
        <x:v>1B</x:v>
      </x:c>
      <x:c r="C1053" s="22" t="str">
        <x:f>"0x041B"</x:f>
        <x:v>0x041B</x:v>
      </x:c>
      <x:c r="D1053" s="21" t="str">
        <x:v>&lt;CLEAR&gt;
ひじょうベルの スイッチが
おされている&lt;WAIT&gt;
&lt;CLEAR&gt;
もういちど おしますか?</x:v>
      </x:c>
      <x:c r="E1053" s="19" t="str">
        <x:v>&lt;CLEAR&gt;The emergency-bell
switch has been pressed.&lt;WAIT&gt;&lt;CLEAR&gt;Press it again?</x:v>
      </x:c>
      <x:c r="F1053" s="20" t="str"/>
      <x:c r="G1053" s="20" t="str"/>
      <x:c r="H1053" s="23" t="str">
        <x:v>CLEAR NEWLINE WAIT CLEAR END</x:v>
      </x:c>
      <x:c r="I1053" s="23" t="str">
        <x:v>E9:6F96</x:v>
      </x:c>
      <x:c r="J1053" s="23" t="str">
        <x:v>D0 54 68 65 01 65 6D 65 72 67 65 6E 63 79 2D 62 65 6C 6C C8 73 77 69 74 63 68 01 68 61 73 01 62 65 65 6E 01 70 72 65 73 73 65 64 2E C5 D0 50 72 65 73 73 01 69 74 01 61 67 61 69 6E 3F C0</x:v>
      </x:c>
      <x:c r="K1053" s="23" t="str">
        <x:v>1D0 02A 084 01B 041 012 084 05E 06A 028 001 04E 043 070 052 084 015 1C8 014 01A 039 022 011 038 1C5 1D0 032 012 011 020 084 023 001 014 01B 02E 01C 015 079 1C0</x:v>
      </x:c>
    </x:row>
    <x:row r="1054">
      <x:c r="A1054" s="22" t="str">
        <x:f>"04"</x:f>
        <x:v>04</x:v>
      </x:c>
      <x:c r="B1054" s="22" t="str">
        <x:f>"1C"</x:f>
        <x:v>1C</x:v>
      </x:c>
      <x:c r="C1054" s="22" t="str">
        <x:f>"0x041C"</x:f>
        <x:v>0x041C</x:v>
      </x:c>
      <x:c r="D1054" s="21" t="str">
        <x:v>&lt;CLEAR&gt;
ひじょうベルは かいじょされた
しかし 力を いれすぎて
スイッチが こわれてしまった</x:v>
      </x:c>
      <x:c r="E1054" s="19" t="str">
        <x:v>&lt;CLEAR&gt;The emergency alarm was
canceled. But too much force
was used, and the switch broke.</x:v>
      </x:c>
      <x:c r="F1054" s="20" t="str"/>
      <x:c r="G1054" s="20" t="str"/>
      <x:c r="H1054" s="23" t="str">
        <x:v>CLEAR NEWLINE NEWLINE END</x:v>
      </x:c>
      <x:c r="I1054" s="23" t="str">
        <x:v>E9:6FD4</x:v>
      </x:c>
      <x:c r="J1054" s="23" t="str">
        <x:v>D0 54 68 65 01 65 6D 65 72 67 65 6E 63 79 01 61 6C 61 72 6D 01 77 61 73 C8 63 61 6E 63 65 6C 65 64 2E 01 42 75 74 01 74 6F 6F 01 6D 75 63 68 01 66 6F 72 63 65 C8 77 61 73 01 75 73 65 64 2C 01 61 6E 64 01 74 68 65 01 73 77 69 74 63 68 01 62 72 6F 6B 65 2E C0</x:v>
      </x:c>
      <x:c r="K1054" s="23" t="str">
        <x:v>1D0 02A 084 01B 041 012 084 05E 06A 029 001 015 011 084 01B 041 01A 039 01F 1C8 01B 015 01B 001 107 03C 001 011 039 01C 084 016 022 1C8 04E 043 070 052 084 015 001 019 03B 039 022 01B 02E 03E 01F 1C0</x:v>
      </x:c>
    </x:row>
    <x:row r="1055">
      <x:c r="A1055" s="22" t="str">
        <x:f>"04"</x:f>
        <x:v>04</x:v>
      </x:c>
      <x:c r="B1055" s="22" t="str">
        <x:f>"1D"</x:f>
        <x:v>1D</x:v>
      </x:c>
      <x:c r="C1055" s="22" t="str">
        <x:f>"0x041D"</x:f>
        <x:v>0x041D</x:v>
      </x:c>
      <x:c r="D1055" s="21" t="str">
        <x:v>&lt;CLEAR&gt;
ひじょうベルの スイッチは
こわれている</x:v>
      </x:c>
      <x:c r="E1055" s="19" t="str">
        <x:v>&lt;CLEAR&gt;The emergency-bell
switch is broken.</x:v>
      </x:c>
      <x:c r="F1055" s="20" t="str"/>
      <x:c r="G1055" s="20" t="str"/>
      <x:c r="H1055" s="23" t="str">
        <x:v>CLEAR NEWLINE END</x:v>
      </x:c>
      <x:c r="I1055" s="23" t="str">
        <x:v>E9:702A</x:v>
      </x:c>
      <x:c r="J1055" s="23" t="str">
        <x:v>D0 54 68 65 01 65 6D 65 72 67 65 6E 63 79 2D 62 65 6C 6C C8 73 77 69 74 63 68 01 69 73 01 62 72 6F 6B 65 6E 2E C0</x:v>
      </x:c>
      <x:c r="K1055" s="23" t="str">
        <x:v>1D0 02A 084 01B 041 012 084 05E 06A 028 001 04E 043 070 052 029 1C8 019 03B 039 022 011 038 1C0</x:v>
      </x:c>
    </x:row>
    <x:row r="1056">
      <x:c r="A1056" s="22" t="str">
        <x:f>"04"</x:f>
        <x:v>04</x:v>
      </x:c>
      <x:c r="B1056" s="22" t="str">
        <x:f>"1E"</x:f>
        <x:v>1E</x:v>
      </x:c>
      <x:c r="C1056" s="22" t="str">
        <x:f>"0x041E"</x:f>
        <x:v>0x041E</x:v>
      </x:c>
      <x:c r="D1056" s="21" t="str">
        <x:v>&lt;SPEAKER&gt;「うわっ! 何もの? 人間かっ</x:v>
      </x:c>
      <x:c r="E1056" s="19" t="str">
        <x:v>&lt;SPEAKER&gt;Whoa! Who
are you?! A human?!</x:v>
      </x:c>
      <x:c r="F1056" s="20" t="str"/>
      <x:c r="G1056" s="20" t="str"/>
      <x:c r="H1056" s="23" t="str">
        <x:v>SPEAKER NEWLINE END</x:v>
      </x:c>
      <x:c r="I1056" s="23" t="str">
        <x:v>E9:7050</x:v>
      </x:c>
      <x:c r="J1056" s="23" t="str">
        <x:v>CC 57 68 6F 61 21 01 57 68 6F C8 61 72 65 01 79 6F 75 3F 21 01 41 01 68 75 6D 61 6E 3F 21 C0</x:v>
      </x:c>
      <x:c r="K1056" s="23" t="str">
        <x:v>1CC 012 03B 03E 07A 001 093 032 028 079 001 091 0E3 015 03E 1C0</x:v>
      </x:c>
    </x:row>
    <x:row r="1057">
      <x:c r="A1057" s="22" t="str">
        <x:f>"04"</x:f>
        <x:v>04</x:v>
      </x:c>
      <x:c r="B1057" s="22" t="str">
        <x:f>"1F"</x:f>
        <x:v>1F</x:v>
      </x:c>
      <x:c r="C1057" s="22" t="str">
        <x:f>"0x041F"</x:f>
        <x:v>0x041F</x:v>
      </x:c>
      <x:c r="D1057" s="21" t="str">
        <x:v>&lt;CLEAR&gt;
魔物は ひじょうベルを おした</x:v>
      </x:c>
      <x:c r="E1057" s="19" t="str">
        <x:v>&lt;CLEAR&gt;The monster pressed
the emergency alarm.</x:v>
      </x:c>
      <x:c r="F1057" s="20" t="str"/>
      <x:c r="G1057" s="20" t="str"/>
      <x:c r="H1057" s="23" t="str">
        <x:v>CLEAR NEWLINE END</x:v>
      </x:c>
      <x:c r="I1057" s="23" t="str">
        <x:v>E9:706F</x:v>
      </x:c>
      <x:c r="J1057" s="23" t="str">
        <x:v>D0 54 68 65 01 6D 6F 6E 73 74 65 72 01 70 72 65 73 73 65 64 C8 74 68 65 01 65 6D 65 72 67 65 6E 63 79 01 61 6C 61 72 6D 2E C0</x:v>
      </x:c>
      <x:c r="K1057" s="23" t="str">
        <x:v>1D0 09A 08B 029 001 02A 084 01B 041 012 084 05E 06A 03C 001 014 01B 01F 1C0</x:v>
      </x:c>
    </x:row>
    <x:row r="1058">
      <x:c r="A1058" s="22" t="str">
        <x:f>"04"</x:f>
        <x:v>04</x:v>
      </x:c>
      <x:c r="B1058" s="22" t="str">
        <x:f>"20"</x:f>
        <x:v>20</x:v>
      </x:c>
      <x:c r="C1058" s="22" t="str">
        <x:f>"0x0420"</x:f>
        <x:v>0x0420</x:v>
      </x:c>
      <x:c r="D1058" s="21" t="str">
        <x:v>&lt;SPEAKER&gt;「こんなところに 人間が
くるとは さては バロン城を
ぬけてきおったな&lt;WAIT&gt;&lt;SPEAKER&gt;「わしこそは この 地下水道の
かんりにん ゲスタフだ!
じごくへ 行けい!</x:v>
      </x:c>
      <x:c r="E1058" s="19" t="str">
        <x:v>&lt;SPEAKER&gt;A human, down
here? You must have made
it through Baron Castle.&lt;WAIT&gt;&lt;SPEAKER&gt;I am Gustav,
keeper of this underground
waterway! Go straight to hell!</x:v>
      </x:c>
      <x:c r="F1058" s="20" t="str"/>
      <x:c r="G1058" s="20" t="str"/>
      <x:c r="H1058" s="23" t="str">
        <x:v>SPEAKER NEWLINE NEWLINE WAIT SPEAKER NEWLINE NEWLINE END</x:v>
      </x:c>
      <x:c r="I1058" s="23" t="str">
        <x:v>E9:7099</x:v>
      </x:c>
      <x:c r="J1058" s="23" t="str">
        <x:v>CC 41 01 68 75 6D 61 6E 2C 01 64 6F 77 6E C8 68 65 72 65 3F 01 59 6F 75 01 6D 75 73 74 01 68 61 76 65 01 6D 61 64 65 C8 69 74 01 74 68 72 6F 75 67 68 01 42 61 72 6F 6E 01 43 61 73 74 6C 65 2E C5 CC 49 01 61 6D 01 47 75 73 74 61 76 2C C8 6B 65 65 70 65 72 01 6F 66 01 74 68 69 73 01 75 6E 64 65 72 67 72 6F 75 6E 64 C8 77 61 74 65 72 77 61 79 21 01 47 6F 01 73 74 72 61 69 67 68 74 01 74 6F 01 68 65 6C 6C 21 C0</x:v>
      </x:c>
      <x:c r="K1058" s="23" t="str">
        <x:v>1CC 019 03D 024 023 019 03A 025 001 091 0E3 084 015 1C8 017 038 023 029 001 01A 022 029 001 084 05B 06C 06F 08C 03C 1C8 026 018 022 016 014 03E 01F 024 1C5 1CC 03B 01B 019 01E 029 001 019 028 001 0D5 0B8 0B2 0C7 028 1C8 015 03D 037 025 03D 001 084 04A 04E 051 05D 084 01F 07A 1C8 084 01B 084 019 017 02C 001 08D 018 011 07A 1C0</x:v>
      </x:c>
    </x:row>
    <x:row r="1059">
      <x:c r="A1059" s="22" t="str">
        <x:f>"04"</x:f>
        <x:v>04</x:v>
      </x:c>
      <x:c r="B1059" s="22" t="str">
        <x:f>"21"</x:f>
        <x:v>21</x:v>
      </x:c>
      <x:c r="C1059" s="22" t="str">
        <x:f>"0x0421"</x:f>
        <x:v>0x0421</x:v>
      </x:c>
      <x:c r="D1059" s="21" t="str">
        <x:v>&lt;CLEAR&gt;
ゆうきある 冒険者へ&lt;WAIT&gt;
&lt;CLEAR&gt;
わたしの 名は サジク
古代デスランドの 謎を
研究する 考古学者だ&lt;WAIT&gt;
&lt;CLEAR&gt;
わたしは デスバレー鉱山と
よばれる 山の 地下深くで
ついに 化石を 発見した&lt;WAIT&gt;
&lt;CLEAR&gt;
伝説に すぎなかった
巨大な トマトンの 化石だ&lt;WAIT&gt;
&lt;CLEAR&gt;
わたしは うちょうてんになり
化石を 町に 持ち帰ったあと
ふたたび 鉱山に もぐった&lt;WAIT&gt;
&lt;CLEAR&gt;
なぜなら もっと 化石が
あるのでは ないかと
おもったからだ・・・・&lt;WAIT&gt;
&lt;CLEAR&gt;
そして わたしは とうとう
キングバロンの ひつぎと
おもわれる・・・・・&lt;WAIT&gt;
&lt;CLEAR&gt;
てがみは ここで やぶれている</x:v>
      </x:c>
      <x:c r="E1059" s="19" t="str">
        <x:v>&lt;CLEAR&gt;To the brave adventurer:&lt;WAIT&gt;&lt;CLEAR&gt;My name is Sajik. I am an
archaeologist researching the
mysteries of ancient Deathland.&lt;WAIT&gt;&lt;CLEAR&gt;Deep beneath the mountain
called Deathvalley Mine, I
finally discovered a fossil.&lt;WAIT&gt;&lt;CLEAR&gt;It was the fossil of a
giant Tomaton, once thought
to be only a legend.&lt;WAIT&gt;&lt;CLEAR&gt;Overjoyed, I carried it back to
town, then returned to the mine.&lt;WAIT&gt;&lt;CLEAR&gt;I believed there might be
more fossils still waiting below...&lt;WAIT&gt;&lt;CLEAR&gt;And at last I found what I
believe to be King Baron's coffin...&lt;WAIT&gt;&lt;CLEAR&gt;The letter is torn off here.</x:v>
      </x:c>
      <x:c r="F1059" s="20" t="str"/>
      <x:c r="G1059" s="20" t="str"/>
      <x:c r="H1059" s="23" t="str">
        <x:v>CLEAR WAIT CLEAR NEWLINE NEWLINE WAIT CLEAR NEWLINE NEWLINE WAIT CLEAR NEWLINE NEWLINE WAIT CLEAR NEWLINE WAIT CLEAR NEWLINE WAIT CLEAR NEWLINE WAIT CLEAR END</x:v>
      </x:c>
      <x:c r="I1059" s="23" t="str">
        <x:v>E9:7122</x:v>
      </x:c>
      <x:c r="J1059" s="23" t="str">
        <x:v>D0 54 6F 01 74 68 65 01 62 72 61 76 65 01 61 64 76 65 6E 74 75 72 65 72 3A C5 D0 4D 79 01 6E 61 6D 65 01 69 73 01 53 61 6A 69 6B 2E 01 49 01 61 6D 01 61 6E C8 61 72 63 68 61 65 6F 6C 6F 67 69 73 74 01 72 65 73 65 61 72 63 68 69 6E 67 01 74 68 65 C8 6D 79 73 74 65 72 69 65 73 01 6F 66 01 61 6E 63 69 65 6E 74 01 44 65 61 74 68 6C 61 6E 64 2E C5 D0 44 65 65 70 01 62 65 6E 65 61 74 68 01 74 68 65 01 6D 6F 75 6E 74 61 69 6E C8 63 61 6C 6C 65 64 01 44 65 61 74 68 76 61 6C 6C 65 79 01 4D 69 6E 65 2C 01 49 C8 66 69 6E 61 6C 6C 79 01 64 69 73 63 6F 76 65 72 65 64 01 61 01 66 6F 73 73 69 6C 2E C5 D0 49 74 01 77 61 73 01 74 68 65 01 66 6F 73 73 69 6C 01 6F 66 01 61 C8 67 69 61 6E 74 01 54 6F 6D 61 74 6F 6E 2C 01 6F 6E 63 65 01 74 68 6F 75 67 68 74 C8 74 6F 01 62 65 01 6F 6E 6C 79 01 61 01 6C 65 67 65 6E 64 2E C5 D0 4F 76 65 72 6A 6F 79 65 64 2C 01 49 01 63 61 72 72 69 65 64 01 69 74 01 62 61 63 6B 01 74 6F C8 74 6F 77 6E 2C 01 74 68 65 6E 01 72 65 74 75 72 6E 65 64 01 74 6F 01 74 68 65 01 6D 69 6E 65 2E C5 D0 49 01 62 65 6C 69 65 76 65 64 01 74 68 65 72 65 01 6D 69 67 68 74 01 62 65 C8 6D 6F 72 65 01 66 6F 73 73 69 6C 73 01 73 74 69 6C 6C 01 77 61 69 74 69 6E 67 01 62 65 6C 6F 77 2E 2E 2E C5 D0 41 6E 64 01 61 74 01 6C 61 73 74 01 49 01 66 6F 75 6E 64 01 77 68 61 74 01 49 C8 62 65 6C 69 65 76 65 01 74 6F 01 62 65 01 4B 69 6E 67 01 42 61 72 6F 6E 27 73 01 63 6F 66 66 69 6E 2E 2E 2E C5 D0 54 68 65 01 6C 65 74 74 65 72 01 69 73 01 74 6F 72 6E 01 6F 66 66 01 68 65 72 65 2E C0</x:v>
      </x:c>
      <x:c r="K1059" s="23" t="str">
        <x:v>1D0 034 012 016 010 038 001 0BA 0BB 0A7 02C 1C5 1D0 03B 01F 01B 028 001 0CD 029 001 04C 084 04D 049 1C8 096 09F 084 054 04E 068 06F 084 055 028 001 0CF 03C 1C8 0E5 0E7 01C 038 001 0DB 096 0B7 0A7 084 01F 1C5 1D0 03B 01F 01B 029 001 084 054 04E 084 05B 06B 078 10B 10C 023 1C8 035 084 029 039 038 001 10C 028 001 0D5 0B8 14F 017 084 022 1C8 021 011 025 001 09E 09D 03C 001 0C8 090 01B 01F 1C5 1D0 092 08F 025 001 01C 084 016 024 015 03E 01F 1C8 0CC 0AC 024 001 055 060 055 06F 028 001 09E 09D 084 01F 1C5 1D0 03B 01F 01B 029 001 012 020 041 012 022 03D 025 024 037 1C8 09E 09D 03C 001 0C9 025 001 0D3 020 13D 03E 01F 010 023 1C8 02B 01F 01F 084 02A 001 10B 10C 025 001 032 084 017 03E 01F 1C5 1D0 024 084 01D 024 036 001 032 03E 023 001 09E 09D 084 015 1C8 010 038 028 084 022 029 001 024 011 015 023 1C8 014 032 03E 01F 015 036 084 01F 081 081 081 081 1C5 1D0 01E 01B 022 001 03B 01F 01B 029 001 023 012 023 012 1C8 048 06F 084 049 084 05B 06C 06F 028 001 02A 021 084 016 023 1C8 014 032 03B 039 038 081 081 081 081 081 1C5 1D0 022 084 015 02F 029 001 019 019 084 022 001 033 084 02B 039 022 011 038 1C0</x:v>
      </x:c>
    </x:row>
    <x:row r="1060">
      <x:c r="A1060" s="22" t="str">
        <x:f>"04"</x:f>
        <x:v>04</x:v>
      </x:c>
      <x:c r="B1060" s="22" t="str">
        <x:f>"22"</x:f>
        <x:v>22</x:v>
      </x:c>
      <x:c r="C1060" s="22" t="str">
        <x:f>"0x0422"</x:f>
        <x:v>0x0422</x:v>
      </x:c>
      <x:c r="D1060" s="21" t="str">
        <x:v>&lt;SPEAKER&gt;「これは! これは!
好奇心 おうせいで げんきな
お嬢さんでは ないですか?&lt;WAIT&gt;&lt;SPEAKER&gt;「こんな 山の上まで
いったい わざわざ 何をしに
来たんですかな? ゲルルルル&lt;WAIT&gt;&lt;SPEAKER&gt;「ゲルルル 好奇心の
ついきゅうは 死を まねくことを
みをもって かんじさせてやろう!&lt;WAIT&gt;&lt;SPEAKER&gt;「おれは なにごとも
じゃまされるのが へどがでるほど
きらいでね ゲルルルル&lt;WAIT&gt;&lt;SPEAKER&gt;「よーし こむすめを
ろうやに ぶちこめっ!</x:v>
      </x:c>
      <x:c r="E1060" s="19" t="str">
        <x:v>&lt;SPEAKER&gt;Well, well, well! What
a lively, curious young lady!&lt;WAIT&gt;&lt;SPEAKER&gt;What could possibly
bring you all the way
up this mountain? Grrr...&lt;WAIT&gt;&lt;SPEAKER&gt;Grrr... Curiosity
can lead to death. I will
teach you that firsthand!&lt;WAIT&gt;&lt;SPEAKER&gt;I hate being interfered
with more than anything. Grrr...&lt;WAIT&gt;&lt;SPEAKER&gt;All right! Throw the
little girl into the dungeon!</x:v>
      </x:c>
      <x:c r="F1060" s="20" t="str"/>
      <x:c r="G1060" s="20" t="str"/>
      <x:c r="H1060" s="23" t="str">
        <x:v>SPEAKER NEWLINE WAIT SPEAKER NEWLINE NEWLINE WAIT SPEAKER NEWLINE NEWLINE WAIT SPEAKER NEWLINE WAIT SPEAKER NEWLINE END</x:v>
      </x:c>
      <x:c r="I1060" s="23" t="str">
        <x:v>E9:7311</x:v>
      </x:c>
      <x:c r="J1060" s="23" t="str">
        <x:v>CC 57 65 6C 6C 2C 01 77 65 6C 6C 2C 01 77 65 6C 6C 21 01 57 68 61 74 C8 61 01 6C 69 76 65 6C 79 2C 01 63 75 72 69 6F 75 73 01 79 6F 75 6E 67 01 6C 61 64 79 21 C5 CC 57 68 61 74 01 63 6F 75 6C 64 01 70 6F 73 73 69 62 6C 79 C8 62 72 69 6E 67 01 79 6F 75 01 61 6C 6C 01 74 68 65 01 77 61 79 C8 75 70 01 74 68 69 73 01 6D 6F 75 6E 74 61 69 6E 3F 01 47 72 72 72 2E 2E 2E C5 CC 47 72 72 72 2E 2E 2E 01 43 75 72 69 6F 73 69 74 79 C8 63 61 6E 01 6C 65 61 64 01 74 6F 01 64 65 61 74 68 2E 01 49 01 77 69 6C 6C C8 74 65 61 63 68 01 79 6F 75 01 74 68 61 74 01 66 69 72 73 74 68 61 6E 64 21 C5 CC 49 01 68 61 74 65 01 62 65 69 6E 67 01 69 6E 74 65 72 66 65 72 65 64 C8 77 69 74 68 01 6D 6F 72 65 01 74 68 61 6E 01 61 6E 79 74 68 69 6E 67 2E 01 47 72 72 72 2E 2E 2E C5 CC 41 6C 6C 01 72 69 67 68 74 21 01 54 68 72 6F 77 01 74 68 65 C8 6C 69 74 74 6C 65 01 67 69 72 6C 01 69 6E 74 6F 01 74 68 65 01 64 75 6E 67 65 6F 6E 21 C0</x:v>
      </x:c>
      <x:c r="K1060" s="23" t="str">
        <x:v>1CC 019 039 029 07A 001 019 039 029 07A 1C8 1A9 1AA 0D4 001 014 012 01D 011 084 022 001 084 018 03D 016 024 1C8 014 0D8 01A 03D 084 022 029 001 024 011 084 022 01C 015 079 1C5 1CC 019 03D 024 001 10C 028 128 02E 084 022 1C8 011 03E 01F 011 001 03B 084 01A 03B 084 01A 001 093 03C 01B 025 1C8 097 01F 03D 084 022 01C 015 024 079 001 084 04A 06A 06A 06A 06A 1C5 1CC 084 04A 06A 06A 06A 001 1A9 1AA 0D4 028 1C8 021 011 016 040 012 029 001 0D6 03C 001 02E 027 017 019 023 03C 1C8 02F 03C 032 03E 022 001 015 03D 084 01B 01A 01D 022 033 03A 012 07A 1C5 1CC 014 039 029 001 024 025 084 019 023 032 1C8 084 01B 03F 02E 01A 039 038 028 084 015 001 02C 084 023 084 015 084 022 038 02D 084 023 1C8 016 036 011 084 022 027 001 084 04A 06A 06A 06A 06A 1C5 1CC 035 078 01B 001 019 030 01C 031 03C 1C8 03A 012 033 025 001 084 02B 020 019 031 03E 07A 1C0</x:v>
      </x:c>
    </x:row>
    <x:row r="1061">
      <x:c r="A1061" s="22" t="str">
        <x:f>"04"</x:f>
        <x:v>04</x:v>
      </x:c>
      <x:c r="B1061" s="22" t="str">
        <x:f>"23"</x:f>
        <x:v>23</x:v>
      </x:c>
      <x:c r="C1061" s="22" t="str">
        <x:f>"0x0423"</x:f>
        <x:v>0x0423</x:v>
      </x:c>
      <x:c r="D1061" s="21" t="str">
        <x:v>&lt;SPEAKER&gt;「きょうの ジェイビーさまは
ずいぶんと ごきげんだな</x:v>
      </x:c>
      <x:c r="E1061" s="19" t="str">
        <x:v>&lt;SPEAKER&gt;Lord J.B. is in an
awfully good mood today.</x:v>
      </x:c>
      <x:c r="F1061" s="20" t="str"/>
      <x:c r="G1061" s="20" t="str"/>
      <x:c r="H1061" s="23" t="str">
        <x:v>SPEAKER NEWLINE END</x:v>
      </x:c>
      <x:c r="I1061" s="23" t="str">
        <x:v>E9:7441</x:v>
      </x:c>
      <x:c r="J1061" s="23" t="str">
        <x:v>CC 4C 6F 72 64 01 4A 2E 42 2E 01 69 73 01 69 6E 01 61 6E C8 61 77 66 75 6C 6C 79 01 67 6F 6F 64 01 6D 6F 6F 64 01 74 6F 64 61 79 2E C0</x:v>
      </x:c>
      <x:c r="K1061" s="23" t="str">
        <x:v>1CC 016 041 012 028 001 084 04D 076 043 084 05C 078 01A 02E 029 1C8 084 01C 011 084 02B 03D 023 001 084 019 016 084 018 03D 084 01F 024 1C0</x:v>
      </x:c>
    </x:row>
    <x:row r="1062">
      <x:c r="A1062" s="22" t="str">
        <x:f>"04"</x:f>
        <x:v>04</x:v>
      </x:c>
      <x:c r="B1062" s="22" t="str">
        <x:f>"24"</x:f>
        <x:v>24</x:v>
      </x:c>
      <x:c r="C1062" s="22" t="str">
        <x:f>"0x0424"</x:f>
        <x:v>0x0424</x:v>
      </x:c>
      <x:c r="D1062" s="21" t="str">
        <x:v>&lt;SPEAKER&gt;「そりゃ そうだよ だって&lt;WAIT&gt;&lt;SPEAKER&gt;「古代の装置 復活に
ひつような物が やっと
発掘 できたんだもん</x:v>
      </x:c>
      <x:c r="E1062" s="19" t="str">
        <x:v>&lt;SPEAKER&gt;Of course he is!&lt;WAIT&gt;&lt;SPEAKER&gt;We finally excavated
something needed to
revive the ancient device.</x:v>
      </x:c>
      <x:c r="F1062" s="20" t="str"/>
      <x:c r="G1062" s="20" t="str"/>
      <x:c r="H1062" s="23" t="str">
        <x:v>SPEAKER WAIT SPEAKER NEWLINE NEWLINE END</x:v>
      </x:c>
      <x:c r="I1062" s="23" t="str">
        <x:v>E9:746E</x:v>
      </x:c>
      <x:c r="J1062" s="23" t="str">
        <x:v>CC 4F 66 01 63 6F 75 72 73 65 01 68 65 01 69 73 21 C5 CC 57 65 01 66 69 6E 61 6C 6C 79 01 65 78 63 61 76 61 74 65 64 C8 73 6F 6D 65 74 68 69 6E 67 01 6E 65 65 64 65 64 01 74 6F C8 72 65 76 69 76 65 01 74 68 65 01 61 6E 63 69 65 6E 74 01 64 65 76 69 63 65 2E C0</x:v>
      </x:c>
      <x:c r="K1062" s="23" t="str">
        <x:v>1CC 01E 037 03F 001 01E 012 084 01F 035 001 084 01F 03E 022 1C5 1CC 096 09F 028 0C2 19F 001 18B 0B4 025 1C8 02A 021 035 012 024 08B 084 015 001 033 03E 023 1C8 0C8 11C 001 084 022 016 01F 03D 084 01F 032 03D 1C0</x:v>
      </x:c>
    </x:row>
    <x:row r="1063">
      <x:c r="A1063" s="22" t="str">
        <x:f>"04"</x:f>
        <x:v>04</x:v>
      </x:c>
      <x:c r="B1063" s="22" t="str">
        <x:f>"25"</x:f>
        <x:v>25</x:v>
      </x:c>
      <x:c r="C1063" s="22" t="str">
        <x:f>"0x0425"</x:f>
        <x:v>0x0425</x:v>
      </x:c>
      <x:c r="D1063" s="21" t="str">
        <x:v>&lt;SPEAKER&gt;「ふーん ところで おまえ
古代の装置って 何?
おいしいのか?</x:v>
      </x:c>
      <x:c r="E1063" s="19" t="str">
        <x:v>&lt;SPEAKER&gt;Huh. By the
way, what is this ancient
device? Can you eat it?</x:v>
      </x:c>
      <x:c r="F1063" s="20" t="str"/>
      <x:c r="G1063" s="20" t="str"/>
      <x:c r="H1063" s="23" t="str">
        <x:v>SPEAKER NEWLINE NEWLINE END</x:v>
      </x:c>
      <x:c r="I1063" s="23" t="str">
        <x:v>E9:74C5</x:v>
      </x:c>
      <x:c r="J1063" s="23" t="str">
        <x:v>CC 48 75 68 2E 01 42 79 01 74 68 65 C8 77 61 79 2C 01 77 68 61 74 01 69 73 01 74 68 69 73 01 61 6E 63 69 65 6E 74 C8 64 65 76 69 63 65 3F 01 43 61 6E 01 79 6F 75 01 65 61 74 01 69 74 3F C0</x:v>
      </x:c>
      <x:c r="K1063" s="23" t="str">
        <x:v>1CC 02B 078 03D 001 023 019 03A 084 022 001 014 02E 013 1C8 096 09F 028 0C2 19F 03E 022 001 093 079 1C8 014 011 01B 011 028 015 079 1C0</x:v>
      </x:c>
    </x:row>
    <x:row r="1064">
      <x:c r="A1064" s="22" t="str">
        <x:f>"04"</x:f>
        <x:v>04</x:v>
      </x:c>
      <x:c r="B1064" s="22" t="str">
        <x:f>"26"</x:f>
        <x:v>26</x:v>
      </x:c>
      <x:c r="C1064" s="22" t="str">
        <x:f>"0x0426"</x:f>
        <x:v>0x0426</x:v>
      </x:c>
      <x:c r="D1064" s="21" t="str">
        <x:v>&lt;SPEAKER&gt;「いや 装置は かんづめじゃ
なくて なんか わからんけど
きかい みたいなもんだって</x:v>
      </x:c>
      <x:c r="E1064" s="19" t="str">
        <x:v>&lt;SPEAKER&gt;No, it's not canned
food. I don't know what it is,
but it's some kind of machine.</x:v>
      </x:c>
      <x:c r="F1064" s="20" t="str"/>
      <x:c r="G1064" s="20" t="str"/>
      <x:c r="H1064" s="23" t="str">
        <x:v>SPEAKER NEWLINE NEWLINE END</x:v>
      </x:c>
      <x:c r="I1064" s="23" t="str">
        <x:v>E9:7504</x:v>
      </x:c>
      <x:c r="J1064" s="23" t="str">
        <x:v>CC 4E 6F 2C 01 69 74 27 73 01 6E 6F 74 01 63 61 6E 6E 65 64 C8 66 6F 6F 64 2E 01 49 01 64 6F 6E 27 74 01 6B 6E 6F 77 01 77 68 61 74 01 69 74 01 69 73 2C C8 62 75 74 01 69 74 27 73 01 73 6F 6D 65 01 6B 69 6E 64 01 6F 66 01 6D 61 63 68 69 6E 65 2E C0</x:v>
      </x:c>
      <x:c r="K1064" s="23" t="str">
        <x:v>1CC 011 033 001 0C2 19F 029 001 015 03D 084 021 031 084 01B 03F 1C8 024 017 022 001 024 03D 015 001 03B 015 036 03D 018 084 023 1C8 016 015 011 001 02F 01F 011 024 032 03D 084 01F 03E 022 1C0</x:v>
      </x:c>
    </x:row>
    <x:row r="1065">
      <x:c r="A1065" s="22" t="str">
        <x:f>"04"</x:f>
        <x:v>04</x:v>
      </x:c>
      <x:c r="B1065" s="22" t="str">
        <x:f>"27"</x:f>
        <x:v>27</x:v>
      </x:c>
      <x:c r="C1065" s="22" t="str">
        <x:f>"0x0427"</x:f>
        <x:v>0x0427</x:v>
      </x:c>
      <x:c r="D1065" s="21" t="str">
        <x:v>&lt;SPEAKER&gt;「なんじゃ それ</x:v>
      </x:c>
      <x:c r="E1065" s="19" t="str">
        <x:v>&lt;SPEAKER&gt;What the heck is that?</x:v>
      </x:c>
      <x:c r="F1065" s="20" t="str"/>
      <x:c r="G1065" s="20" t="str"/>
      <x:c r="H1065" s="23" t="str">
        <x:v>SPEAKER END</x:v>
      </x:c>
      <x:c r="I1065" s="23" t="str">
        <x:v>E9:7557</x:v>
      </x:c>
      <x:c r="J1065" s="23" t="str">
        <x:v>CC 57 68 61 74 01 74 68 65 01 68 65 63 6B 01 69 73 01 74 68 61 74 3F C0</x:v>
      </x:c>
      <x:c r="K1065" s="23" t="str">
        <x:v>1CC 024 03D 084 01B 03F 001 01E 039 1C0</x:v>
      </x:c>
    </x:row>
    <x:row r="1066">
      <x:c r="A1066" s="22" t="str">
        <x:f>"04"</x:f>
        <x:v>04</x:v>
      </x:c>
      <x:c r="B1066" s="22" t="str">
        <x:f>"28"</x:f>
        <x:v>28</x:v>
      </x:c>
      <x:c r="C1066" s="22" t="str">
        <x:f>"0x0428"</x:f>
        <x:v>0x0428</x:v>
      </x:c>
      <x:c r="D1066" s="21" t="str">
        <x:v>&lt;SPEAKER&gt;「うん それを 使えば
ぼくたちも ジェイビーさま
みたいに 大きくなれるんだって</x:v>
      </x:c>
      <x:c r="E1066" s="19" t="str">
        <x:v>&lt;SPEAKER&gt;They say if we
use it, we can grow
huge just like Lord J.B.!</x:v>
      </x:c>
      <x:c r="F1066" s="20" t="str"/>
      <x:c r="G1066" s="20" t="str"/>
      <x:c r="H1066" s="23" t="str">
        <x:v>SPEAKER NEWLINE NEWLINE END</x:v>
      </x:c>
      <x:c r="I1066" s="23" t="str">
        <x:v>E9:756F</x:v>
      </x:c>
      <x:c r="J1066" s="23" t="str">
        <x:v>CC 54 68 65 79 01 73 61 79 01 69 66 01 77 65 C8 75 73 65 01 69 74 2C 01 77 65 01 63 61 6E 01 67 72 6F 77 C8 68 75 67 65 01 6A 75 73 74 01 6C 69 6B 65 01 4C 6F 72 64 01 4A 2E 42 2E 21 C0</x:v>
      </x:c>
      <x:c r="K1066" s="23" t="str">
        <x:v>1CC 012 03D 001 01E 039 03C 001 123 013 084 029 1C8 084 02D 017 01F 020 032 001 084 04D 076 043 084 05C 078 01A 02E 1C8 02F 01F 011 025 001 0AC 016 017 024 039 038 03D 084 01F 03E 022 1C0</x:v>
      </x:c>
    </x:row>
    <x:row r="1067">
      <x:c r="A1067" s="22" t="str">
        <x:f>"04"</x:f>
        <x:v>04</x:v>
      </x:c>
      <x:c r="B1067" s="22" t="str">
        <x:f>"29"</x:f>
        <x:v>29</x:v>
      </x:c>
      <x:c r="C1067" s="22" t="str">
        <x:f>"0x0429"</x:f>
        <x:v>0x0429</x:v>
      </x:c>
      <x:c r="D1067" s="21" t="str">
        <x:v>&lt;SPEAKER&gt;「へえ それは すごいな!</x:v>
      </x:c>
      <x:c r="E1067" s="19" t="str">
        <x:v>&lt;SPEAKER&gt;Wow! That
sounds amazing!</x:v>
      </x:c>
      <x:c r="F1067" s="20" t="str"/>
      <x:c r="G1067" s="20" t="str"/>
      <x:c r="H1067" s="23" t="str">
        <x:v>SPEAKER NEWLINE END</x:v>
      </x:c>
      <x:c r="I1067" s="23" t="str">
        <x:v>E9:75AD</x:v>
      </x:c>
      <x:c r="J1067" s="23" t="str">
        <x:v>CC 57 6F 77 21 01 54 68 61 74 C8 73 6F 75 6E 64 73 01 61 6D 61 7A 69 6E 67 21 C0</x:v>
      </x:c>
      <x:c r="K1067" s="23" t="str">
        <x:v>1CC 02C 013 001 01E 039 029 001 01C 084 019 011 024 07A 1C0</x:v>
      </x:c>
    </x:row>
    <x:row r="1068">
      <x:c r="A1068" s="22" t="str">
        <x:f>"04"</x:f>
        <x:v>04</x:v>
      </x:c>
      <x:c r="B1068" s="22" t="str">
        <x:f>"2A"</x:f>
        <x:v>2A</x:v>
      </x:c>
      <x:c r="C1068" s="22" t="str">
        <x:f>"0x042A"</x:f>
        <x:v>0x042A</x:v>
      </x:c>
      <x:c r="D1068" s="21" t="str">
        <x:v>&lt;SPEAKER&gt;「しっかり つかまってな!</x:v>
      </x:c>
      <x:c r="E1068" s="19" t="str">
        <x:v>&lt;SPEAKER&gt;Hold on tight!</x:v>
      </x:c>
      <x:c r="F1068" s="20" t="str"/>
      <x:c r="G1068" s="20" t="str"/>
      <x:c r="H1068" s="23" t="str">
        <x:v>SPEAKER END</x:v>
      </x:c>
      <x:c r="I1068" s="23" t="str">
        <x:v>E9:75C8</x:v>
      </x:c>
      <x:c r="J1068" s="23" t="str">
        <x:v>CC 48 6F 6C 64 01 6F 6E 01 74 69 67 68 74 21 C0</x:v>
      </x:c>
      <x:c r="K1068" s="23" t="str">
        <x:v>1CC 01B 03E 015 037 001 021 015 02E 03E 022 024 07A 1C0</x:v>
      </x:c>
    </x:row>
    <x:row r="1069">
      <x:c r="A1069" s="22" t="str">
        <x:f>"04"</x:f>
        <x:v>04</x:v>
      </x:c>
      <x:c r="B1069" s="22" t="str">
        <x:f>"2B"</x:f>
        <x:v>2B</x:v>
      </x:c>
      <x:c r="C1069" s="22" t="str">
        <x:f>"0x042B"</x:f>
        <x:v>0x042B</x:v>
      </x:c>
      <x:c r="D1069" s="21" t="str">
        <x:v>&lt;SPEAKER&gt;「おっしゃー! いいぞー</x:v>
      </x:c>
      <x:c r="E1069" s="19" t="str">
        <x:v>&lt;SPEAKER&gt;All right! Looking good!</x:v>
      </x:c>
      <x:c r="F1069" s="20" t="str"/>
      <x:c r="G1069" s="20" t="str"/>
      <x:c r="H1069" s="23" t="str">
        <x:v>SPEAKER END</x:v>
      </x:c>
      <x:c r="I1069" s="23" t="str">
        <x:v>E9:75D8</x:v>
      </x:c>
      <x:c r="J1069" s="23" t="str">
        <x:v>CC 41 6C 6C 01 72 69 67 68 74 21 01 4C 6F 6F 6B 69 6E 67 01 67 6F 6F 64 21 C0</x:v>
      </x:c>
      <x:c r="K1069" s="23" t="str">
        <x:v>1CC 014 03E 01B 03F 078 07A 001 011 011 084 01E 078 1C0</x:v>
      </x:c>
    </x:row>
    <x:row r="1070">
      <x:c r="A1070" s="22" t="str">
        <x:f>"04"</x:f>
        <x:v>04</x:v>
      </x:c>
      <x:c r="B1070" s="22" t="str">
        <x:f>"2C"</x:f>
        <x:v>2C</x:v>
      </x:c>
      <x:c r="C1070" s="22" t="str">
        <x:f>"0x042C"</x:f>
        <x:v>0x042C</x:v>
      </x:c>
      <x:c r="D1070" s="21" t="str">
        <x:v>&lt;SPEAKER&gt;「うわっ おまえ いつのまにっ!</x:v>
      </x:c>
      <x:c r="E1070" s="19" t="str">
        <x:v>&lt;SPEAKER&gt;Whoa! When
did you get here?!</x:v>
      </x:c>
      <x:c r="F1070" s="20" t="str"/>
      <x:c r="G1070" s="20" t="str"/>
      <x:c r="H1070" s="23" t="str">
        <x:v>SPEAKER NEWLINE END</x:v>
      </x:c>
      <x:c r="I1070" s="23" t="str">
        <x:v>E9:75F2</x:v>
      </x:c>
      <x:c r="J1070" s="23" t="str">
        <x:v>CC 57 68 6F 61 21 01 57 68 65 6E C8 64 69 64 01 79 6F 75 01 67 65 74 01 68 65 72 65 3F 21 C0</x:v>
      </x:c>
      <x:c r="K1070" s="23" t="str">
        <x:v>1CC 012 03B 03E 001 014 02E 013 001 011 021 028 02E 025 03E 07A 1C0</x:v>
      </x:c>
    </x:row>
    <x:row r="1071">
      <x:c r="A1071" s="22" t="str">
        <x:f>"04"</x:f>
        <x:v>04</x:v>
      </x:c>
      <x:c r="B1071" s="22" t="str">
        <x:f>"2D"</x:f>
        <x:v>2D</x:v>
      </x:c>
      <x:c r="C1071" s="22" t="str">
        <x:f>"0x042D"</x:f>
        <x:v>0x042D</x:v>
      </x:c>
      <x:c r="D1071" s="21" t="str">
        <x:v>&lt;SPEAKER&gt;「みなの ものよ! いよいよ
われら 魔物が うまれかわる
ときが ちかづいてきた! ゲルルル&lt;WAIT&gt;&lt;SPEAKER&gt;「大きな 体と
はったつした 脳・・・・・&lt;WAIT&gt;&lt;SPEAKER&gt;「その ふたつを てに
いれれば 人間なんぞ
まいにちでも くえるのだ</x:v>
      </x:c>
      <x:c r="E1071" s="19" t="str">
        <x:v>&lt;SPEAKER&gt;My fellow monsters!
At last, the time of our
rebirth draws near! Grrr...&lt;WAIT&gt;&lt;SPEAKER&gt;Huge bodies and
highly developed brains...&lt;WAIT&gt;&lt;SPEAKER&gt;Once we have both, we
can feast on humans every day!</x:v>
      </x:c>
      <x:c r="F1071" s="20" t="str"/>
      <x:c r="G1071" s="20" t="str"/>
      <x:c r="H1071" s="23" t="str">
        <x:v>SPEAKER NEWLINE NEWLINE WAIT SPEAKER NEWLINE WAIT SPEAKER NEWLINE END</x:v>
      </x:c>
      <x:c r="I1071" s="23" t="str">
        <x:v>E9:7611</x:v>
      </x:c>
      <x:c r="J1071" s="23" t="str">
        <x:v>CC 4D 79 01 66 65 6C 6C 6F 77 01 6D 6F 6E 73 74 65 72 73 21 C8 41 74 01 6C 61 73 74 2C 01 74 68 65 01 74 69 6D 65 01 6F 66 01 6F 75 72 C8 72 65 62 69 72 74 68 01 64 72 61 77 73 01 6E 65 61 72 21 01 47 72 72 72 2E 2E 2E C5 CC 48 75 67 65 01 62 6F 64 69 65 73 01 61 6E 64 C8 68 69 67 68 6C 79 01 64 65 76 65 6C 6F 70 65 64 01 62 72 61 69 6E 73 2E 2E 2E C5 CC 4F 6E 63 65 01 77 65 01 68 61 76 65 01 62 6F 74 68 2C 01 77 65 C8 63 61 6E 01 66 65 61 73 74 01 6F 6E 01 68 75 6D 61 6E 73 01 65 76 65 72 79 01 64 61 79 21 C0</x:v>
      </x:c>
      <x:c r="K1071" s="23" t="str">
        <x:v>1CC 02F 024 028 001 032 028 035 07A 001 011 035 011 035 1C8 03B 039 036 001 09A 08B 084 015 001 012 02E 039 015 03B 038 1C8 023 016 084 015 001 020 015 084 021 011 022 016 01F 07A 001 084 04A 06A 06A 06A 1C5 1CC 0AC 016 024 001 0F0 023 1C8 029 03E 01F 021 01B 01F 001 1BB 081 081 081 081 081 1C5 1CC 01E 028 001 02B 01F 021 03C 001 022 025 1C8 011 039 039 084 029 001 091 0E3 024 03D 084 01E 1C8 02E 011 025 020 084 022 032 001 017 013 038 028 084 01F 1C0</x:v>
      </x:c>
    </x:row>
    <x:row r="1072">
      <x:c r="A1072" s="22" t="str">
        <x:f>"04"</x:f>
        <x:v>04</x:v>
      </x:c>
      <x:c r="B1072" s="22" t="str">
        <x:f>"2E"</x:f>
        <x:v>2E</x:v>
      </x:c>
      <x:c r="C1072" s="22" t="str">
        <x:f>"0x042E"</x:f>
        <x:v>0x042E</x:v>
      </x:c>
      <x:c r="D1072" s="21" t="str">
        <x:v>&lt;SPEAKER&gt;「おおー!</x:v>
      </x:c>
      <x:c r="E1072" s="19" t="str">
        <x:v>&lt;SPEAKER&gt;Ooooooh!</x:v>
      </x:c>
      <x:c r="F1072" s="20" t="str"/>
      <x:c r="G1072" s="20" t="str"/>
      <x:c r="H1072" s="23" t="str">
        <x:v>SPEAKER END</x:v>
      </x:c>
      <x:c r="I1072" s="23" t="str">
        <x:v>E9:76BD</x:v>
      </x:c>
      <x:c r="J1072" s="23" t="str">
        <x:v>CC 4F 6F 6F 6F 6F 6F 68 21 C0</x:v>
      </x:c>
      <x:c r="K1072" s="23" t="str">
        <x:v>1CC 014 014 078 07A 1C0</x:v>
      </x:c>
    </x:row>
    <x:row r="1073">
      <x:c r="A1073" s="22" t="str">
        <x:f>"04"</x:f>
        <x:v>04</x:v>
      </x:c>
      <x:c r="B1073" s="22" t="str">
        <x:f>"2F"</x:f>
        <x:v>2F</x:v>
      </x:c>
      <x:c r="C1073" s="22" t="str">
        <x:f>"0x042F"</x:f>
        <x:v>0x042F</x:v>
      </x:c>
      <x:c r="D1073" s="21" t="str">
        <x:v>&lt;SPEAKER&gt;「おまえたちの おかげで
さがしもとめていた ひつぎも
ついに みつけることができた</x:v>
      </x:c>
      <x:c r="E1073" s="19" t="str">
        <x:v>&lt;SPEAKER&gt;Thanks to all of you,
we finally found the coffin
we have been searching for.</x:v>
      </x:c>
      <x:c r="F1073" s="20" t="str"/>
      <x:c r="G1073" s="20" t="str"/>
      <x:c r="H1073" s="23" t="str">
        <x:v>SPEAKER NEWLINE NEWLINE END</x:v>
      </x:c>
      <x:c r="I1073" s="23" t="str">
        <x:v>E9:76C7</x:v>
      </x:c>
      <x:c r="J1073" s="23" t="str">
        <x:v>CC 54 68 61 6E 6B 73 01 74 6F 01 61 6C 6C 01 6F 66 01 79 6F 75 2C C8 77 65 01 66 69 6E 61 6C 6C 79 01 66 6F 75 6E 64 01 74 68 65 01 63 6F 66 66 69 6E C8 77 65 01 68 61 76 65 01 62 65 65 6E 01 73 65 61 72 63 68 69 6E 67 01 66 6F 72 2E C0</x:v>
      </x:c>
      <x:c r="K1073" s="23" t="str">
        <x:v>1CC 014 02E 013 01F 020 028 001 014 015 084 018 084 022 1C8 01A 084 015 01B 032 023 031 022 011 01F 001 02A 021 084 016 032 1C8 021 011 025 001 02F 021 018 038 019 023 084 015 084 022 016 01F 1C0</x:v>
      </x:c>
    </x:row>
    <x:row r="1074">
      <x:c r="A1074" s="22" t="str">
        <x:f>"04"</x:f>
        <x:v>04</x:v>
      </x:c>
      <x:c r="B1074" s="22" t="str">
        <x:f>"30"</x:f>
        <x:v>30</x:v>
      </x:c>
      <x:c r="C1074" s="22" t="str">
        <x:f>"0x0430"</x:f>
        <x:v>0x0430</x:v>
      </x:c>
      <x:c r="D1074" s="21" t="str">
        <x:v>&lt;SPEAKER&gt;「そこで きょうは
おまえたちに とっておきの
ショーを みせてやろう!</x:v>
      </x:c>
      <x:c r="E1074" s="19" t="str">
        <x:v>&lt;SPEAKER&gt;So today, I have prepared
a very special show for you!</x:v>
      </x:c>
      <x:c r="F1074" s="20" t="str"/>
      <x:c r="G1074" s="20" t="str"/>
      <x:c r="H1074" s="23" t="str">
        <x:v>SPEAKER NEWLINE END</x:v>
      </x:c>
      <x:c r="I1074" s="23" t="str">
        <x:v>E9:7716</x:v>
      </x:c>
      <x:c r="J1074" s="23" t="str">
        <x:v>CC 53 6F 01 74 6F 64 61 79 2C 01 49 01 68 61 76 65 01 70 72 65 70 61 72 65 64 C8 61 01 76 65 72 79 01 73 70 65 63 69 61 6C 01 73 68 6F 77 01 66 6F 72 01 79 6F 75 21 C0</x:v>
      </x:c>
      <x:c r="K1074" s="23" t="str">
        <x:v>1CC 01E 019 084 022 001 016 041 012 029 1C8 014 02E 013 01F 020 025 001 023 03E 022 014 016 028 1C8 04D 073 078 03C 001 02F 01D 022 033 03A 012 07A 1C0</x:v>
      </x:c>
    </x:row>
    <x:row r="1075">
      <x:c r="A1075" s="22" t="str">
        <x:f>"04"</x:f>
        <x:v>04</x:v>
      </x:c>
      <x:c r="B1075" s="22" t="str">
        <x:f>"31"</x:f>
        <x:v>31</x:v>
      </x:c>
      <x:c r="C1075" s="22" t="str">
        <x:f>"0x0431"</x:f>
        <x:v>0x0431</x:v>
      </x:c>
      <x:c r="D1075" s="21" t="str">
        <x:v>&lt;SPEAKER&gt;「おおー! おおー!</x:v>
      </x:c>
      <x:c r="E1075" s="19" t="str">
        <x:v>&lt;SPEAKER&gt;Oooooh! Oooooh!</x:v>
      </x:c>
      <x:c r="F1075" s="20" t="str"/>
      <x:c r="G1075" s="20" t="str"/>
      <x:c r="H1075" s="23" t="str">
        <x:v>SPEAKER END</x:v>
      </x:c>
      <x:c r="I1075" s="23" t="str">
        <x:v>E9:774E</x:v>
      </x:c>
      <x:c r="J1075" s="23" t="str">
        <x:v>CC 4F 6F 6F 6F 6F 68 21 01 4F 6F 6F 6F 6F 68 21 C0</x:v>
      </x:c>
      <x:c r="K1075" s="23" t="str">
        <x:v>1CC 014 014 078 07A 001 014 014 078 07A 1C0</x:v>
      </x:c>
    </x:row>
    <x:row r="1076">
      <x:c r="A1076" s="22" t="str">
        <x:f>"04"</x:f>
        <x:v>04</x:v>
      </x:c>
      <x:c r="B1076" s="22" t="str">
        <x:f>"32"</x:f>
        <x:v>32</x:v>
      </x:c>
      <x:c r="C1076" s="22" t="str">
        <x:f>"0x0432"</x:f>
        <x:v>0x0432</x:v>
      </x:c>
      <x:c r="D1076" s="21" t="str">
        <x:v>&lt;SPEAKER&gt;「さあ わかき 人間よ&lt;WAIT&gt;&lt;SPEAKER&gt;「お前に めいよある
しごとを あたえてやろう&lt;WAIT&gt;&lt;SPEAKER&gt;「なあに かんたんなことだ
この ひつぎを あけるだけだよ
さあ あけろ! あけるのだ!</x:v>
      </x:c>
      <x:c r="E1076" s="19" t="str">
        <x:v>&lt;SPEAKER&gt;Now then, young human.&lt;WAIT&gt;&lt;SPEAKER&gt;I grant you the honor
of performing a simple task.&lt;WAIT&gt;&lt;SPEAKER&gt;All you have to do is
open this coffin. Go on! Open it!</x:v>
      </x:c>
      <x:c r="F1076" s="20" t="str"/>
      <x:c r="G1076" s="20" t="str"/>
      <x:c r="H1076" s="23" t="str">
        <x:v>SPEAKER WAIT SPEAKER NEWLINE WAIT SPEAKER NEWLINE END</x:v>
      </x:c>
      <x:c r="I1076" s="23" t="str">
        <x:v>E9:775F</x:v>
      </x:c>
      <x:c r="J1076" s="23" t="str">
        <x:v>CC 4E 6F 77 01 74 68 65 6E 2C 01 79 6F 75 6E 67 01 68 75 6D 61 6E 2E C5 CC 49 01 67 72 61 6E 74 01 79 6F 75 01 74 68 65 01 68 6F 6E 6F 72 C8 6F 66 01 70 65 72 66 6F 72 6D 69 6E 67 01 61 01 73 69 6D 70 6C 65 01 74 61 73 6B 2E C5 CC 41 6C 6C 01 79 6F 75 01 68 61 76 65 01 74 6F 01 64 6F 01 69 73 C8 6F 70 65 6E 01 74 68 69 73 01 63 6F 66 66 69 6E 2E 01 47 6F 01 6F 6E 21 01 4F 70 65 6E 01 69 74 21 C0</x:v>
      </x:c>
      <x:c r="K1076" s="23" t="str">
        <x:v>1CC 01A 010 001 03B 015 016 001 091 0E3 035 1C5 1CC 014 0C3 025 001 031 011 035 010 038 1C8 01B 084 019 023 03C 001 010 01F 013 022 033 03A 012 1C5 1CC 024 010 025 001 015 03D 01F 03D 024 019 023 084 01F 1C8 019 028 001 02A 021 084 016 03C 001 010 018 038 084 01F 018 084 01F 035 1C8 01A 010 001 010 018 03A 07A 001 010 018 038 028 084 01F 07A 1C0</x:v>
      </x:c>
    </x:row>
    <x:row r="1077">
      <x:c r="A1077" s="22" t="str">
        <x:f>"04"</x:f>
        <x:v>04</x:v>
      </x:c>
      <x:c r="B1077" s="22" t="str">
        <x:f>"33"</x:f>
        <x:v>33</x:v>
      </x:c>
      <x:c r="C1077" s="22" t="str">
        <x:f>"0x0433"</x:f>
        <x:v>0x0433</x:v>
      </x:c>
      <x:c r="D1077" s="21" t="str">
        <x:v>&lt;SPEAKER&gt;「えーい この よわむしがっ!
ていこうすると いたいめに あうぞ</x:v>
      </x:c>
      <x:c r="E1077" s="19" t="str">
        <x:v>&lt;SPEAKER&gt;You coward! Resist
and you will only get hurt!</x:v>
      </x:c>
      <x:c r="F1077" s="20" t="str"/>
      <x:c r="G1077" s="20" t="str"/>
      <x:c r="H1077" s="23" t="str">
        <x:v>SPEAKER NEWLINE END</x:v>
      </x:c>
      <x:c r="I1077" s="23" t="str">
        <x:v>E9:77E4</x:v>
      </x:c>
      <x:c r="J1077" s="23" t="str">
        <x:v>CC 59 6F 75 01 63 6F 77 61 72 64 21 01 52 65 73 69 73 74 C8 61 6E 64 01 79 6F 75 01 77 69 6C 6C 01 6F 6E 6C 79 01 67 65 74 01 68 75 72 74 21 C0</x:v>
      </x:c>
      <x:c r="K1077" s="23" t="str">
        <x:v>1CC 013 078 011 001 019 028 001 035 03B 030 01B 084 015 03E 07A 1C8 022 011 019 012 01C 038 023 001 011 01F 011 031 025 001 010 012 084 01E 1C0</x:v>
      </x:c>
    </x:row>
    <x:row r="1078">
      <x:c r="A1078" s="22" t="str">
        <x:f>"04"</x:f>
        <x:v>04</x:v>
      </x:c>
      <x:c r="B1078" s="22" t="str">
        <x:f>"34"</x:f>
        <x:v>34</x:v>
      </x:c>
      <x:c r="C1078" s="22" t="str">
        <x:f>"0x0434"</x:f>
        <x:v>0x0434</x:v>
      </x:c>
      <x:c r="D1078" s="21" t="str">
        <x:v>&lt;SPEAKER&gt;「うっ しまった! ちょっと
おどかす つもりだったのに
おれは 力が 強すぎるのだ!&lt;WAIT&gt;&lt;SPEAKER&gt;「うーむ・・まいったな・・・
あけて 中から ぶっそうなものが
出たら オレは たまらんからな・・・</x:v>
      </x:c>
      <x:c r="E1078" s="19" t="str">
        <x:v>&lt;SPEAKER&gt;Oops! I only meant
to scare you a little.
I am just too strong!&lt;WAIT&gt;&lt;SPEAKER&gt;Hmm... this is a problem.
If something dangerous comes out,
I do not want to be near it...</x:v>
      </x:c>
      <x:c r="F1078" s="20" t="str"/>
      <x:c r="G1078" s="20" t="str"/>
      <x:c r="H1078" s="23" t="str">
        <x:v>SPEAKER NEWLINE NEWLINE WAIT SPEAKER NEWLINE NEWLINE END</x:v>
      </x:c>
      <x:c r="I1078" s="23" t="str">
        <x:v>E9:7814</x:v>
      </x:c>
      <x:c r="J1078" s="23" t="str">
        <x:v>CC 4F 6F 70 73 21 01 49 01 6F 6E 6C 79 01 6D 65 61 6E 74 C8 74 6F 01 73 63 61 72 65 01 79 6F 75 01 61 01 6C 69 74 74 6C 65 2E C8 49 01 61 6D 01 6A 75 73 74 01 74 6F 6F 01 73 74 72 6F 6E 67 21 C5 CC 48 6D 6D 2E 2E 2E 01 74 68 69 73 01 69 73 01 61 01 70 72 6F 62 6C 65 6D 2E C8 49 66 01 73 6F 6D 65 74 68 69 6E 67 01 64 61 6E 67 65 72 6F 75 73 01 63 6F 6D 65 73 01 6F 75 74 2C C8 49 01 64 6F 01 6E 6F 74 01 77 61 6E 74 01 74 6F 01 62 65 01 6E 65 61 72 01 69 74 2E 2E 2E C0</x:v>
      </x:c>
      <x:c r="K1078" s="23" t="str">
        <x:v>1CC 012 03E 001 01B 02E 03E 01F 07A 001 020 041 03E 023 1C8 014 084 023 015 01C 001 021 032 037 084 01F 03E 01F 028 025 1C8 014 039 029 001 107 084 015 001 138 01C 084 016 038 028 084 01F 07A 1C5 1CC 012 078 030 081 081 02E 011 03E 01F 024 081 081 081 1C8 010 018 022 001 0A1 015 036 001 084 02B 03E 01E 012 024 032 028 084 015 1C8 106 01F 036 001 046 06B 029 001 01F 02E 036 03D 015 036 024 081 081 081 1C0</x:v>
      </x:c>
    </x:row>
    <x:row r="1079">
      <x:c r="A1079" s="22" t="str">
        <x:f>"04"</x:f>
        <x:v>04</x:v>
      </x:c>
      <x:c r="B1079" s="22" t="str">
        <x:f>"35"</x:f>
        <x:v>35</x:v>
      </x:c>
      <x:c r="C1079" s="22" t="str">
        <x:f>"0x0435"</x:f>
        <x:v>0x0435</x:v>
      </x:c>
      <x:c r="D1079" s="21" t="str">
        <x:v>&lt;SPEAKER&gt;「おれが あけてやろう!</x:v>
      </x:c>
      <x:c r="E1079" s="19" t="str">
        <x:v>&lt;SPEAKER&gt;I will open it!</x:v>
      </x:c>
      <x:c r="F1079" s="20" t="str"/>
      <x:c r="G1079" s="20" t="str"/>
      <x:c r="H1079" s="23" t="str">
        <x:v>SPEAKER END</x:v>
      </x:c>
      <x:c r="I1079" s="23" t="str">
        <x:v>E9:78B1</x:v>
      </x:c>
      <x:c r="J1079" s="23" t="str">
        <x:v>CC 49 01 77 69 6C 6C 01 6F 70 65 6E 01 69 74 21 C0</x:v>
      </x:c>
      <x:c r="K1079" s="23" t="str">
        <x:v>1CC 014 039 084 015 001 010 018 022 033 03A 012 07A 1C0</x:v>
      </x:c>
    </x:row>
    <x:row r="1080">
      <x:c r="A1080" s="22" t="str">
        <x:f>"04"</x:f>
        <x:v>04</x:v>
      </x:c>
      <x:c r="B1080" s="22" t="str">
        <x:f>"36"</x:f>
        <x:v>36</x:v>
      </x:c>
      <x:c r="C1080" s="22" t="str">
        <x:f>"0x0436"</x:f>
        <x:v>0x0436</x:v>
      </x:c>
      <x:c r="D1080" s="21" t="str">
        <x:v>&lt;SPEAKER&gt;「ん? モグきちが?
ゲルルルル?
びっくりばこだったら どうするのだ?</x:v>
      </x:c>
      <x:c r="E1080" s="19" t="str">
        <x:v>&lt;SPEAKER&gt;Huh? Mogukichi will?
Grrr... What if it is a mimic?</x:v>
      </x:c>
      <x:c r="F1080" s="20" t="str"/>
      <x:c r="G1080" s="20" t="str"/>
      <x:c r="H1080" s="23" t="str">
        <x:v>SPEAKER NEWLINE END</x:v>
      </x:c>
      <x:c r="I1080" s="23" t="str">
        <x:v>E9:78C2</x:v>
      </x:c>
      <x:c r="J1080" s="23" t="str">
        <x:v>CC 48 75 68 3F 01 4D 6F 67 75 6B 69 63 68 69 01 77 69 6C 6C 3F C8 47 72 72 72 2E 2E 2E 01 57 68 61 74 01 69 66 01 69 74 01 69 73 01 61 01 6D 69 6D 69 63 3F C0</x:v>
      </x:c>
      <x:c r="K1080" s="23" t="str">
        <x:v>1CC 03D 079 001 064 084 049 016 020 084 015 079 1C8 084 04A 06A 06A 06A 06A 079 1C8 084 02A 03E 017 037 084 029 019 084 01F 03E 01F 036 001 084 023 012 01C 038 028 084 01F 079 1C0</x:v>
      </x:c>
    </x:row>
    <x:row r="1081">
      <x:c r="A1081" s="22" t="str">
        <x:f>"04"</x:f>
        <x:v>04</x:v>
      </x:c>
      <x:c r="B1081" s="22" t="str">
        <x:f>"37"</x:f>
        <x:v>37</x:v>
      </x:c>
      <x:c r="C1081" s="22" t="str">
        <x:f>"0x0437"</x:f>
        <x:v>0x0437</x:v>
      </x:c>
      <x:c r="D1081" s="21" t="str">
        <x:v>&lt;SPEAKER&gt;「ここからでも へへへ
あけられるのさ! このオレはなっ!</x:v>
      </x:c>
      <x:c r="E1081" s="19" t="str">
        <x:v>&lt;SPEAKER&gt;Heh heh! I can open it
from way over here! Watch me!</x:v>
      </x:c>
      <x:c r="F1081" s="20" t="str"/>
      <x:c r="G1081" s="20" t="str"/>
      <x:c r="H1081" s="23" t="str">
        <x:v>SPEAKER NEWLINE END</x:v>
      </x:c>
      <x:c r="I1081" s="23" t="str">
        <x:v>E9:78F7</x:v>
      </x:c>
      <x:c r="J1081" s="23" t="str">
        <x:v>CC 48 65 68 01 68 65 68 21 01 49 01 63 61 6E 01 6F 70 65 6E 01 69 74 C8 66 72 6F 6D 01 77 61 79 01 6F 76 65 72 01 68 65 72 65 21 01 57 61 74 63 68 01 6D 65 21 C0</x:v>
      </x:c>
      <x:c r="K1081" s="23" t="str">
        <x:v>1CC 019 019 015 036 084 022 032 001 02C 02C 02C 1C8 010 018 036 039 038 028 01A 07A 001 019 028 046 06B 029 024 03E 07A 1C0</x:v>
      </x:c>
    </x:row>
    <x:row r="1082">
      <x:c r="A1082" s="22" t="str">
        <x:f>"04"</x:f>
        <x:v>04</x:v>
      </x:c>
      <x:c r="B1082" s="22" t="str">
        <x:f>"38"</x:f>
        <x:v>38</x:v>
      </x:c>
      <x:c r="C1082" s="22" t="str">
        <x:f>"0x0438"</x:f>
        <x:v>0x0438</x:v>
      </x:c>
      <x:c r="D1082" s="21" t="str">
        <x:v>&lt;SPEAKER&gt;「おお! モグきち! すごいぞ!</x:v>
      </x:c>
      <x:c r="E1082" s="19" t="str">
        <x:v>&lt;SPEAKER&gt;Whoa! Mogukichi! Amazing!</x:v>
      </x:c>
      <x:c r="F1082" s="20" t="str"/>
      <x:c r="G1082" s="20" t="str"/>
      <x:c r="H1082" s="23" t="str">
        <x:v>SPEAKER END</x:v>
      </x:c>
      <x:c r="I1082" s="23" t="str">
        <x:v>E9:792D</x:v>
      </x:c>
      <x:c r="J1082" s="23" t="str">
        <x:v>CC 57 68 6F 61 21 01 4D 6F 67 75 6B 69 63 68 69 21 01 41 6D 61 7A 69 6E 67 21 C0</x:v>
      </x:c>
      <x:c r="K1082" s="23" t="str">
        <x:v>1CC 014 014 07A 001 064 084 049 016 020 07A 001 01C 084 019 011 084 01E 07A 1C0</x:v>
      </x:c>
    </x:row>
    <x:row r="1083">
      <x:c r="A1083" s="22" t="str">
        <x:f>"04"</x:f>
        <x:v>04</x:v>
      </x:c>
      <x:c r="B1083" s="22" t="str">
        <x:f>"39"</x:f>
        <x:v>39</x:v>
      </x:c>
      <x:c r="C1083" s="22" t="str">
        <x:f>"0x0439"</x:f>
        <x:v>0x0439</x:v>
      </x:c>
      <x:c r="D1083" s="21" t="str">
        <x:v>&lt;SPEAKER&gt;「だてに 研究は
してねえぜ! フッフッ</x:v>
      </x:c>
      <x:c r="E1083" s="19" t="str">
        <x:v>&lt;SPEAKER&gt;All that research was
not for nothing! Heh heh!</x:v>
      </x:c>
      <x:c r="F1083" s="20" t="str"/>
      <x:c r="G1083" s="20" t="str"/>
      <x:c r="H1083" s="23" t="str">
        <x:v>SPEAKER NEWLINE END</x:v>
      </x:c>
      <x:c r="I1083" s="23" t="str">
        <x:v>E9:7948</x:v>
      </x:c>
      <x:c r="J1083" s="23" t="str">
        <x:v>CC 41 6C 6C 01 74 68 61 74 01 72 65 73 65 61 72 63 68 01 77 61 73 C8 6E 6F 74 01 66 6F 72 01 6E 6F 74 68 69 6E 67 21 01 48 65 68 01 68 65 68 21 C0</x:v>
      </x:c>
      <x:c r="K1083" s="23" t="str">
        <x:v>1CC 084 01F 022 025 001 0E5 0E7 029 1C8 01B 022 027 013 084 01D 07A 001 05D 070 05D 070 1C0</x:v>
      </x:c>
    </x:row>
    <x:row r="1084">
      <x:c r="A1084" s="22" t="str">
        <x:f>"04"</x:f>
        <x:v>04</x:v>
      </x:c>
      <x:c r="B1084" s="22" t="str">
        <x:f>"3A"</x:f>
        <x:v>3A</x:v>
      </x:c>
      <x:c r="C1084" s="22" t="str">
        <x:f>"0x043A"</x:f>
        <x:v>0x043A</x:v>
      </x:c>
      <x:c r="D1084" s="21" t="str">
        <x:v>&lt;SPEAKER&gt;「どうやら ひつぎには
わなは しかけられて ないようだな
ゲルル</x:v>
      </x:c>
      <x:c r="E1084" s="19" t="str">
        <x:v>&lt;SPEAKER&gt;Looks like there are
no traps on the coffin. Grrr...</x:v>
      </x:c>
      <x:c r="F1084" s="20" t="str"/>
      <x:c r="G1084" s="20" t="str"/>
      <x:c r="H1084" s="23" t="str">
        <x:v>SPEAKER NEWLINE END</x:v>
      </x:c>
      <x:c r="I1084" s="23" t="str">
        <x:v>E9:7979</x:v>
      </x:c>
      <x:c r="J1084" s="23" t="str">
        <x:v>CC 4C 6F 6F 6B 73 01 6C 69 6B 65 01 74 68 65 72 65 01 61 72 65 C8 6E 6F 01 74 72 61 70 73 01 6F 6E 01 74 68 65 01 63 6F 66 66 69 6E 2E 01 47 72 72 72 2E 2E 2E C0</x:v>
      </x:c>
      <x:c r="K1084" s="23" t="str">
        <x:v>1CC 084 023 012 033 036 001 02A 021 084 016 025 029 1C8 03B 024 029 001 01B 015 018 036 039 022 001 024 011 035 012 084 01F 024 1C8 084 04A 06A 06A 1C0</x:v>
      </x:c>
    </x:row>
    <x:row r="1085">
      <x:c r="A1085" s="22" t="str">
        <x:f>"04"</x:f>
        <x:v>04</x:v>
      </x:c>
      <x:c r="B1085" s="22" t="str">
        <x:f>"3B"</x:f>
        <x:v>3B</x:v>
      </x:c>
      <x:c r="C1085" s="22" t="str">
        <x:f>"0x043B"</x:f>
        <x:v>0x043B</x:v>
      </x:c>
      <x:c r="D1085" s="21" t="str">
        <x:v>&lt;SPEAKER&gt;「ゲルルル うおおー!
なんてことだ! いつのまに・・・・
ゲルルル うかつだった!</x:v>
      </x:c>
      <x:c r="E1085" s="19" t="str">
        <x:v>&lt;SPEAKER&gt;Grrr... Whoa! What
the hell?! When did... Grrr...
I let my guard down!</x:v>
      </x:c>
      <x:c r="F1085" s="20" t="str"/>
      <x:c r="G1085" s="20" t="str"/>
      <x:c r="H1085" s="23" t="str">
        <x:v>SPEAKER NEWLINE NEWLINE END</x:v>
      </x:c>
      <x:c r="I1085" s="23" t="str">
        <x:v>E9:79AF</x:v>
      </x:c>
      <x:c r="J1085" s="23" t="str">
        <x:v>CC 47 72 72 72 2E 2E 2E 01 57 68 6F 61 21 01 57 68 61 74 C8 74 68 65 01 68 65 6C 6C 3F 21 01 57 68 65 6E 01 64 69 64 2E 2E 2E 01 47 72 72 72 2E 2E 2E C8 49 01 6C 65 74 01 6D 79 01 67 75 61 72 64 01 64 6F 77 6E 21 C0</x:v>
      </x:c>
      <x:c r="K1085" s="23" t="str">
        <x:v>1CC 084 04A 06A 06A 06A 001 012 014 014 078 07A 1C8 024 03D 022 019 023 084 01F 07A 001 011 021 028 02E 025 081 081 081 081 1C8 084 04A 06A 06A 06A 001 012 015 021 084 01F 03E 01F 07A 1C0</x:v>
      </x:c>
    </x:row>
    <x:row r="1086">
      <x:c r="A1086" s="22" t="str">
        <x:f>"04"</x:f>
        <x:v>04</x:v>
      </x:c>
      <x:c r="B1086" s="22" t="str">
        <x:f>"3C"</x:f>
        <x:v>3C</x:v>
      </x:c>
      <x:c r="C1086" s="22" t="str">
        <x:f>"0x043C"</x:f>
        <x:v>0x043C</x:v>
      </x:c>
      <x:c r="D1086" s="21" t="str">
        <x:v>&lt;SPEAKER&gt;「モグきち ここは
たのんだぞ! おれは また
探さねば ならん物が できた</x:v>
      </x:c>
      <x:c r="E1086" s="19" t="str">
        <x:v>&lt;SPEAKER&gt;Mogukichi, I leave this
to you! I have something
else I must go find now.</x:v>
      </x:c>
      <x:c r="F1086" s="20" t="str"/>
      <x:c r="G1086" s="20" t="str"/>
      <x:c r="H1086" s="23" t="str">
        <x:v>SPEAKER NEWLINE NEWLINE END</x:v>
      </x:c>
      <x:c r="I1086" s="23" t="str">
        <x:v>E9:79F7</x:v>
      </x:c>
      <x:c r="J1086" s="23" t="str">
        <x:v>CC 4D 6F 67 75 6B 69 63 68 69 2C 01 49 01 6C 65 61 76 65 01 74 68 69 73 C8 74 6F 01 79 6F 75 21 01 49 01 68 61 76 65 01 73 6F 6D 65 74 68 69 6E 67 C8 65 6C 73 65 01 49 01 6D 75 73 74 01 67 6F 01 66 69 6E 64 01 6E 6F 77 2E C0</x:v>
      </x:c>
      <x:c r="K1086" s="23" t="str">
        <x:v>1CC 064 084 049 016 020 001 019 019 029 1C8 01F 028 03D 084 01F 084 01E 07A 001 014 039 029 001 02E 01F 1C8 184 01A 027 084 029 001 024 036 03D 08B 084 015 001 084 022 016 01F 1C0</x:v>
      </x:c>
    </x:row>
    <x:row r="1087">
      <x:c r="A1087" s="22" t="str">
        <x:f>"04"</x:f>
        <x:v>04</x:v>
      </x:c>
      <x:c r="B1087" s="22" t="str">
        <x:f>"3D"</x:f>
        <x:v>3D</x:v>
      </x:c>
      <x:c r="C1087" s="22" t="str">
        <x:f>"0x043D"</x:f>
        <x:v>0x043D</x:v>
      </x:c>
      <x:c r="D1087" s="21" t="str">
        <x:v>&lt;SPEAKER&gt;「オーケー わかった</x:v>
      </x:c>
      <x:c r="E1087" s="19" t="str">
        <x:v>&lt;SPEAKER&gt;Okay. Got it.</x:v>
      </x:c>
      <x:c r="F1087" s="20" t="str"/>
      <x:c r="G1087" s="20" t="str"/>
      <x:c r="H1087" s="23" t="str">
        <x:v>SPEAKER END</x:v>
      </x:c>
      <x:c r="I1087" s="23" t="str">
        <x:v>E9:7A42</x:v>
      </x:c>
      <x:c r="J1087" s="23" t="str">
        <x:v>CC 4F 6B 61 79 2E 01 47 6F 74 01 69 74 2E C0</x:v>
      </x:c>
      <x:c r="K1087" s="23" t="str">
        <x:v>1CC 046 078 04A 078 001 03B 015 03E 01F 1C0</x:v>
      </x:c>
    </x:row>
    <x:row r="1088">
      <x:c r="A1088" s="22" t="str">
        <x:f>"04"</x:f>
        <x:v>04</x:v>
      </x:c>
      <x:c r="B1088" s="22" t="str">
        <x:f>"3E"</x:f>
        <x:v>3E</x:v>
      </x:c>
      <x:c r="C1088" s="22" t="str">
        <x:f>"0x043E"</x:f>
        <x:v>0x043E</x:v>
      </x:c>
      <x:c r="D1088" s="21" t="str">
        <x:v>&lt;CLEAR&gt;
ヨシオの字で ふりがなが ふってある&lt;WAIT&gt;
&lt;CLEAR&gt;
「・・・よって 装置を
封印することに きめた・・・
ふたたび 動かさんと するとき</x:v>
      </x:c>
      <x:c r="E1088" s="19" t="str">
        <x:v>&lt;CLEAR&gt;Yoshio added pronunciation
guides in his own handwriting.&lt;WAIT&gt;&lt;CLEAR&gt;"...Thus, I have decided to
seal the device away... If one
should seek to awaken it again,</x:v>
      </x:c>
      <x:c r="F1088" s="20" t="str"/>
      <x:c r="G1088" s="20" t="str"/>
      <x:c r="H1088" s="23" t="str">
        <x:v>CLEAR NEWLINE WAIT CLEAR NEWLINE NEWLINE END</x:v>
      </x:c>
      <x:c r="I1088" s="23" t="str">
        <x:v>E9:7A51</x:v>
      </x:c>
      <x:c r="J1088" s="23" t="str">
        <x:v>D0 59 6F 73 68 69 6F 01 61 64 64 65 64 01 70 72 6F 6E 75 6E 63 69 61 74 69 6F 6E C8 67 75 69 64 65 73 01 69 6E 01 68 69 73 01 6F 77 6E 01 68 61 6E 64 77 72 69 74 69 6E 67 2E C5 D0 22 2E 2E 2E 54 68 75 73 2C 01 49 01 68 61 76 65 01 64 65 63 69 64 65 64 01 74 6F C8 73 65 61 6C 01 74 68 65 01 64 65 76 69 63 65 01 61 77 61 79 2E 2E 2E 01 49 66 01 6F 6E 65 C8 73 68 6F 75 6C 64 01 73 65 65 6B 01 74 6F 01 61 77 61 6B 65 6E 01 69 74 01 61 67 61 69 6E 2C C0</x:v>
      </x:c>
      <x:c r="K1088" s="23" t="str">
        <x:v>1D0 067 04D 046 028 153 084 022 001 02B 037 084 015 024 084 015 001 02B 03E 022 010 038 1C5 1D0 07D 081 081 081 035 03E 022 001 0C2 19F 03C 1C8 134 133 01C 038 019 023 025 001 016 031 01F 081 081 081 1C8 02B 01F 01F 084 02A 001 0B1 015 01A 03D 023 001 01C 038 023 016 1C0</x:v>
      </x:c>
    </x:row>
    <x:row r="1089">
      <x:c r="A1089" s="22" t="str">
        <x:f>"04"</x:f>
        <x:v>04</x:v>
      </x:c>
      <x:c r="B1089" s="22" t="str">
        <x:f>"3F"</x:f>
        <x:v>3F</x:v>
      </x:c>
      <x:c r="C1089" s="22" t="str">
        <x:f>"0x043F"</x:f>
        <x:v>0x043F</x:v>
      </x:c>
      <x:c r="D1089" s="21" t="str">
        <x:v>&lt;CLEAR&gt;
「ちゅうじつなる わが しもべ
ガヌビスに 白き ボールを ささげ
わが名を しめすべし・・・さすれば&lt;WAIT&gt;
&lt;CLEAR&gt;
「装置は ふたたび 命を
えるであろう・・・・・・・ただし
黒き ボールを ささげたときは&lt;WAIT&gt;
&lt;CLEAR&gt;
「装置は 二度と 目を
さますことは ないだろう・・・</x:v>
      </x:c>
      <x:c r="E1089" s="19" t="str">
        <x:v>&lt;CLEAR&gt;"offer a white ball to
Ganubis, my faithful servant,
and reveal my name. Then...&lt;WAIT&gt;&lt;CLEAR&gt;"the device shall live
once more... However, if
a black ball is offered,&lt;WAIT&gt;&lt;CLEAR&gt;"the device shall
never awaken again..."</x:v>
      </x:c>
      <x:c r="F1089" s="20" t="str"/>
      <x:c r="G1089" s="20" t="str"/>
      <x:c r="H1089" s="23" t="str">
        <x:v>CLEAR NEWLINE NEWLINE WAIT CLEAR NEWLINE NEWLINE WAIT CLEAR NEWLINE END</x:v>
      </x:c>
      <x:c r="I1089" s="23" t="str">
        <x:v>E9:7AE8</x:v>
      </x:c>
      <x:c r="J1089" s="23" t="str">
        <x:v>D0 22 6F 66 66 65 72 01 61 01 77 68 69 74 65 01 62 61 6C 6C 01 74 6F C8 47 61 6E 75 62 69 73 2C 01 6D 79 01 66 61 69 74 68 66 75 6C 01 73 65 72 76 61 6E 74 2C C8 61 6E 64 01 72 65 76 65 61 6C 01 6D 79 01 6E 61 6D 65 2E 01 54 68 65 6E 2E 2E 2E C5 D0 22 74 68 65 01 64 65 76 69 63 65 01 73 68 61 6C 6C 01 6C 69 76 65 C8 6F 6E 63 65 01 6D 6F 72 65 2E 2E 2E 01 48 6F 77 65 76 65 72 2C 01 69 66 C8 61 01 62 6C 61 63 6B 01 62 61 6C 6C 01 69 73 01 6F 66 66 65 72 65 64 2C C5 D0 22 74 68 65 01 64 65 76 69 63 65 01 73 68 61 6C 6C C8 6E 65 76 65 72 01 61 77 61 6B 65 6E 01 61 67 61 69 6E 2E 2E 2E 22 C0</x:v>
      </x:c>
      <x:c r="K1089" s="23" t="str">
        <x:v>1D0 07D 020 040 012 084 01B 021 024 038 001 03B 084 015 001 01B 032 084 02C 1C8 084 047 058 084 05C 04E 025 001 141 016 001 084 05F 078 06A 03C 001 01A 01A 084 018 1C8 03B 084 015 0CD 03C 001 01B 031 01C 084 02C 01B 081 081 081 01A 01C 039 084 029 1C5 1D0 07D 0C2 19F 029 001 02B 01F 01F 084 02A 001 0EE 03C 1C8 013 038 084 022 010 03A 012 081 081 081 081 081 081 081 01F 084 01F 01B 1C8 180 016 001 084 05F 078 06A 03C 001 01A 01A 084 018 01F 023 016 029 1C5 1D0 07D 0C2 19F 029 001 189 13E 023 001 0B6 03C 1C8 01A 02E 01C 019 023 029 001 024 011 084 01F 03A 012 081 081 081 1C0</x:v>
      </x:c>
    </x:row>
    <x:row r="1090">
      <x:c r="A1090" s="22" t="str">
        <x:f>"04"</x:f>
        <x:v>04</x:v>
      </x:c>
      <x:c r="B1090" s="22" t="str">
        <x:f>"40"</x:f>
        <x:v>40</x:v>
      </x:c>
      <x:c r="C1090" s="22" t="str">
        <x:f>"0x0440"</x:f>
        <x:v>0x0440</x:v>
      </x:c>
      <x:c r="D1090" s="21" t="str">
        <x:v>&lt;CLEAR&gt;
地なりと しんどうが しずまった
溶岩炉が なおったようだ</x:v>
      </x:c>
      <x:c r="E1090" s="19" t="str">
        <x:v>&lt;CLEAR&gt;The rumbling and shaking
have stopped. The lava
furnace seems to be fixed.</x:v>
      </x:c>
      <x:c r="F1090" s="20" t="str"/>
      <x:c r="G1090" s="20" t="str"/>
      <x:c r="H1090" s="23" t="str">
        <x:v>CLEAR NEWLINE NEWLINE END</x:v>
      </x:c>
      <x:c r="I1090" s="23" t="str">
        <x:v>E9:7BAE</x:v>
      </x:c>
      <x:c r="J1090" s="23" t="str">
        <x:v>D0 54 68 65 01 72 75 6D 62 6C 69 6E 67 01 61 6E 64 01 73 68 61 6B 69 6E 67 C8 68 61 76 65 01 73 74 6F 70 70 65 64 2E 01 54 68 65 01 6C 61 76 61 C8 66 75 72 6E 61 63 65 01 73 65 65 6D 73 01 74 6F 01 62 65 01 66 69 78 65 64 2E C0</x:v>
      </x:c>
      <x:c r="K1090" s="23" t="str">
        <x:v>1D0 0D5 024 037 023 001 01B 03D 084 023 012 084 015 001 01B 084 01C 02E 03E 01F 1C8 119 158 11D 084 015 001 024 014 03E 01F 035 012 084 01F 1C0</x:v>
      </x:c>
    </x:row>
    <x:row r="1091">
      <x:c r="A1091" s="22" t="str">
        <x:f>"04"</x:f>
        <x:v>04</x:v>
      </x:c>
      <x:c r="B1091" s="22" t="str">
        <x:f>"41"</x:f>
        <x:v>41</x:v>
      </x:c>
      <x:c r="C1091" s="22" t="str">
        <x:f>"0x0441"</x:f>
        <x:v>0x0441</x:v>
      </x:c>
      <x:c r="D1091" s="21" t="str">
        <x:v>&lt;SPEAKER&gt;「お お嬢さまー!
ご ごぶじでしたかっ!&lt;WAIT&gt;&lt;SPEAKER&gt;「この ヨシオが どんなに
しんぱいしたか! まったく もう!&lt;WAIT&gt;&lt;SPEAKER&gt;「しかも 火をけそうと
さわいでいたら 魔術を あらかた
どわすれして しまいましたわい!&lt;WAIT&gt;&lt;SPEAKER&gt;「おかげで お嬢さまを
おいかけて この島に 来たとたん
この ありさまですじゃ・・・&lt;WAIT&gt;&lt;SPEAKER&gt;「とにかく お嬢さまっ!
コックスを さがしましょう!&lt;WAIT&gt;&lt;SPEAKER&gt;「たった今 この鉱山の
どこかへ つれていかれたのです
さあ 急ぎましょうぞ!</x:v>
      </x:c>
      <x:c r="E1091" s="19" t="str">
        <x:v>&lt;SPEAKER&gt;M-my lady! You are safe!&lt;WAIT&gt;&lt;SPEAKER&gt;Do you know
how worried I was
about you?! Honestly!&lt;WAIT&gt;&lt;SPEAKER&gt;And while I was panicking
about putting out the fire, I
forgot nearly all my magic!&lt;WAIT&gt;&lt;SPEAKER&gt;I chased you all
the way to this island, and
look what became of me...&lt;WAIT&gt;&lt;SPEAKER&gt;Never mind that, my
lady! We must find Cox!&lt;WAIT&gt;&lt;SPEAKER&gt;He was taken somewhere
inside this mine just moments
ago. Come! We must hurry!</x:v>
      </x:c>
      <x:c r="F1091" s="20" t="str"/>
      <x:c r="G1091" s="20" t="str"/>
      <x:c r="H1091" s="23" t="str">
        <x:v>SPEAKER WAIT SPEAKER NEWLINE NEWLINE WAIT SPEAKER NEWLINE NEWLINE WAIT SPEAKER NEWLINE NEWLINE WAIT SPEAKER NEWLINE WAIT SPEAKER NEWLINE NEWLINE END</x:v>
      </x:c>
      <x:c r="I1091" s="23" t="str">
        <x:v>E9:7BFA</x:v>
      </x:c>
      <x:c r="J1091" s="23" t="str">
        <x:v>CC 4D 2D 6D 79 01 6C 61 64 79 21 01 59 6F 75 01 61 72 65 01 73 61 66 65 21 C5 CC 44 6F 01 79 6F 75 01 6B 6E 6F 77 C8 68 6F 77 01 77 6F 72 72 69 65 64 01 49 01 77 61 73 C8 61 62 6F 75 74 01 79 6F 75 3F 21 01 48 6F 6E 65 73 74 6C 79 21 C5 CC 41 6E 64 01 77 68 69 6C 65 01 49 01 77 61 73 01 70 61 6E 69 63 6B 69 6E 67 C8 61 62 6F 75 74 01 70 75 74 74 69 6E 67 01 6F 75 74 01 74 68 65 01 66 69 72 65 2C 01 49 C8 66 6F 72 67 6F 74 01 6E 65 61 72 6C 79 01 61 6C 6C 01 6D 79 01 6D 61 67 69 63 21 C5 CC 49 01 63 68 61 73 65 64 01 79 6F 75 01 61 6C 6C C8 74 68 65 01 77 61 79 01 74 6F 01 74 68 69 73 01 69 73 6C 61 6E 64 2C 01 61 6E 64 C8 6C 6F 6F 6B 01 77 68 61 74 01 62 65 63 61 6D 65 01 6F 66 01 6D 65 2E 2E 2E C5 CC 4E 65 76 65 72 01 6D 69 6E 64 01 74 68 61 74 2C 01 6D 79 C8 6C 61 64 79 21 01 57 65 01 6D 75 73 74 01 66 69 6E 64 01 43 6F 78 21 C5 CC 48 65 01 77 61 73 01 74 61 6B 65 6E 01 73 6F 6D 65 77 68 65 72 65 C8 69 6E 73 69 64 65 01 74 68 69 73 01 6D 69 6E 65 01 6A 75 73 74 01 6D 6F 6D 65 6E 74 73 C8 61 67 6F 2E 01 43 6F 6D 65 21 01 57 65 01 6D 75 73 74 01 68 75 72 72 79 21 C0</x:v>
      </x:c>
      <x:c r="K1091" s="23" t="str">
        <x:v>1CC 014 001 014 0D8 01A 02E 078 07A 1C8 084 019 001 084 019 084 02B 084 01B 084 022 01B 01F 015 03E 07A 1C5 1CC 019 028 001 067 04D 046 084 015 001 084 023 03D 024 025 1C8 01B 03D 083 029 011 01B 01F 015 07A 001 02E 03E 01F 017 001 032 012 07A 1C5 1CC 01B 015 032 001 110 03C 018 01E 012 023 1C8 01A 03B 011 084 022 011 01F 036 001 09A 16A 03C 001 010 036 015 01F 1C8 084 023 03B 01C 039 01B 022 001 01B 02E 011 02E 01B 01F 03B 011 07A 1C5 1CC 014 015 084 018 084 022 001 014 0D8 01A 02E 03C 1C8 014 011 015 018 022 001 019 028 08A 025 001 097 01F 023 01F 03D 1C8 019 028 001 010 037 01A 02E 084 022 01C 084 01B 03F 081 081 081 1C5 1CC 023 025 015 017 001 014 0D8 01A 02E 03E 07A 1C8 04B 070 049 04E 03C 001 01A 084 015 01B 02E 01B 041 012 07A 1C5 1CC 01F 03E 01F 150 001 019 028 10B 10C 028 1C8 084 023 019 015 02C 001 021 039 022 011 015 039 01F 028 084 022 01C 1C8 01A 010 001 1B5 084 016 02E 01B 041 012 084 01E 07A 1C0</x:v>
      </x:c>
    </x:row>
    <x:row r="1092">
      <x:c r="A1092" s="22" t="str">
        <x:f>"04"</x:f>
        <x:v>04</x:v>
      </x:c>
      <x:c r="B1092" s="22" t="str">
        <x:f>"42"</x:f>
        <x:v>42</x:v>
      </x:c>
      <x:c r="C1092" s="22" t="str">
        <x:f>"0x0442"</x:f>
        <x:v>0x0442</x:v>
      </x:c>
      <x:c r="D1092" s="21" t="str">
        <x:v>&lt;CLEAR&gt;
ヨシオが パーティーに くわわった</x:v>
      </x:c>
      <x:c r="E1092" s="19" t="str">
        <x:v>&lt;CLEAR&gt;Yoshio joined the party.&lt;LINE&gt;&lt;LINE&gt;</x:v>
      </x:c>
      <x:c r="F1092" s="20" t="str"/>
      <x:c r="G1092" s="20" t="str"/>
      <x:c r="H1092" s="23" t="str">
        <x:v>CLEAR LINE LINE END</x:v>
      </x:c>
      <x:c r="I1092" s="23" t="str">
        <x:v>E9:7D63</x:v>
      </x:c>
      <x:c r="J1092" s="23" t="str">
        <x:v>D0 59 6F 73 68 69 6F 01 6A 6F 69 6E 65 64 01 74 68 65 01 70 61 72 74 79 2E C3 C3 C0</x:v>
      </x:c>
      <x:c r="K1092" s="23" t="str">
        <x:v>1D0 067 04D 046 084 015 001 083 05B 078 054 075 078 025 001 017 03B 03B 03E 01F 1C3 1C3 1C0</x:v>
      </x:c>
    </x:row>
    <x:row r="1093">
      <x:c r="A1093" s="22" t="str">
        <x:f>"04"</x:f>
        <x:v>04</x:v>
      </x:c>
      <x:c r="B1093" s="22" t="str">
        <x:f>"43"</x:f>
        <x:v>43</x:v>
      </x:c>
      <x:c r="C1093" s="22" t="str">
        <x:f>"0x0443"</x:f>
        <x:v>0x0443</x:v>
      </x:c>
      <x:c r="D1093" s="21" t="str">
        <x:v>&lt;CLEAR&gt;
かべに ひびが はいっている
ヨシオも がんばっていたようだ&lt;WAIT&gt;
&lt;CLEAR&gt;
はげしい しょうげきを あたえれば
かべを やぶれるかもしれない・・・</x:v>
      </x:c>
      <x:c r="E1093" s="19" t="str">
        <x:v>&lt;CLEAR&gt;There is a crack in
the wall. Yoshio must
have struggled hard here.&lt;WAIT&gt;&lt;CLEAR&gt;A powerful impact might
break through the wall...&lt;LINE&gt;</x:v>
      </x:c>
      <x:c r="F1093" s="20" t="str"/>
      <x:c r="G1093" s="20" t="str"/>
      <x:c r="H1093" s="23" t="str">
        <x:v>CLEAR NEWLINE NEWLINE WAIT CLEAR NEWLINE LINE END</x:v>
      </x:c>
      <x:c r="I1093" s="23" t="str">
        <x:v>E9:7D7F</x:v>
      </x:c>
      <x:c r="J1093" s="23" t="str">
        <x:v>D0 54 68 65 72 65 01 69 73 01 61 01 63 72 61 63 6B 01 69 6E C8 74 68 65 01 77 61 6C 6C 2E 01 59 6F 73 68 69 6F 01 6D 75 73 74 C8 68 61 76 65 01 73 74 72 75 67 67 6C 65 64 01 68 61 72 64 01 68 65 72 65 2E C5 D0 41 01 70 6F 77 65 72 66 75 6C 01 69 6D 70 61 63 74 01 6D 69 67 68 74 C8 62 72 65 61 6B 01 74 68 72 6F 75 67 68 01 74 68 65 01 77 61 6C 6C 2E 2E 2E C3 C0</x:v>
      </x:c>
      <x:c r="K1093" s="23" t="str">
        <x:v>1D0 015 084 02C 025 001 02A 084 02A 084 015 001 029 011 03E 022 011 038 1C8 067 04D 046 032 001 084 015 03D 084 029 03E 022 011 01F 035 012 084 01F 1C5 1D0 029 084 018 01B 011 001 01B 041 012 084 018 016 03C 001 010 01F 013 039 084 029 1C8 015 084 02C 03C 001 033 084 02B 039 038 015 032 01B 039 024 011 081 081 081 1C3 1C0</x:v>
      </x:c>
    </x:row>
    <x:row r="1094">
      <x:c r="A1094" s="22" t="str">
        <x:f>"04"</x:f>
        <x:v>04</x:v>
      </x:c>
      <x:c r="B1094" s="22" t="str">
        <x:f>"44"</x:f>
        <x:v>44</x:v>
      </x:c>
      <x:c r="C1094" s="22" t="str">
        <x:f>"0x0444"</x:f>
        <x:v>0x0444</x:v>
      </x:c>
      <x:c r="D1094" s="21" t="str">
        <x:v>&lt;SPEAKER&gt;「うう う うう・・・・・&lt;WAIT&gt;&lt;SPEAKER&gt;「こ ここは? いったい・・・・</x:v>
      </x:c>
      <x:c r="E1094" s="19" t="str">
        <x:v>&lt;SPEAKER&gt;Ugh... uhh...&lt;WAIT&gt;&lt;SPEAKER&gt;W-where am I...?</x:v>
      </x:c>
      <x:c r="F1094" s="20" t="str"/>
      <x:c r="G1094" s="20" t="str"/>
      <x:c r="H1094" s="23" t="str">
        <x:v>SPEAKER WAIT SPEAKER END</x:v>
      </x:c>
      <x:c r="I1094" s="23" t="str">
        <x:v>E9:7DF8</x:v>
      </x:c>
      <x:c r="J1094" s="23" t="str">
        <x:v>CC 55 67 68 2E 2E 2E 01 75 68 68 2E 2E 2E C5 CC 57 2D 77 68 65 72 65 01 61 6D 01 49 2E 2E 2E 3F C0</x:v>
      </x:c>
      <x:c r="K1094" s="23" t="str">
        <x:v>1CC 012 012 001 012 001 012 012 081 081 081 081 081 1C5 1CC 019 001 019 019 029 079 001 011 03E 01F 011 081 081 081 081 1C0</x:v>
      </x:c>
    </x:row>
    <x:row r="1095">
      <x:c r="A1095" s="22" t="str">
        <x:f>"04"</x:f>
        <x:v>04</x:v>
      </x:c>
      <x:c r="B1095" s="22" t="str">
        <x:f>"45"</x:f>
        <x:v>45</x:v>
      </x:c>
      <x:c r="C1095" s="22" t="str">
        <x:f>"0x0445"</x:f>
        <x:v>0x0445</x:v>
      </x:c>
      <x:c r="D1095" s="21" t="str">
        <x:v>&lt;SPEAKER&gt;「あ あなたたちが わたしを
たすけてくれたんですね・・・&lt;WAIT&gt;&lt;SPEAKER&gt;「かたじけない・・いやいや
なんと おれいを いったら
よいか わかりません・・・・&lt;WAIT&gt;&lt;SPEAKER&gt;「わたしの名は サジク
この島で 古代の伝説の
研究をしていた 考古学者です&lt;WAIT&gt;&lt;SPEAKER&gt;「え? 知っていなさる?
そりゃまた どうして?&lt;WAIT&gt;&lt;SPEAKER&gt;「・・・・・・そうですか
・・・ぎせい者が そんなに?&lt;WAIT&gt;&lt;SPEAKER&gt;「すべて わたしの せいです!
わたしが あんな物を う う
ほりださなければ よかったのです</x:v>
      </x:c>
      <x:c r="E1095" s="19" t="str">
        <x:v>&lt;SPEAKER&gt;Y-you saved
me, did you not...?&lt;WAIT&gt;&lt;SPEAKER&gt;I am deeply grateful... I
hardly know how to thank you.&lt;WAIT&gt;&lt;SPEAKER&gt;My name is Sajik. I am
an archaeologist who studied the
ancient legends of this island.&lt;WAIT&gt;&lt;SPEAKER&gt;What? You already know
of me? How could that be?&lt;WAIT&gt;&lt;SPEAKER&gt;...I see. So many victims...?&lt;WAIT&gt;&lt;SPEAKER&gt;This is all my fault!
I never should have dug that
thing out of the ground!</x:v>
      </x:c>
      <x:c r="F1095" s="20" t="str"/>
      <x:c r="G1095" s="20" t="str"/>
      <x:c r="H1095" s="23" t="str">
        <x:v>SPEAKER NEWLINE WAIT SPEAKER NEWLINE WAIT SPEAKER NEWLINE NEWLINE WAIT SPEAKER NEWLINE WAIT SPEAKER WAIT SPEAKER NEWLINE NEWLINE END</x:v>
      </x:c>
      <x:c r="I1095" s="23" t="str">
        <x:v>E9:7E19</x:v>
      </x:c>
      <x:c r="J1095" s="23" t="str">
        <x:v>CC 59 2D 79 6F 75 01 73 61 76 65 64 C8 6D 65 2C 01 64 69 64 01 79 6F 75 01 6E 6F 74 2E 2E 2E 3F C5 CC 49 01 61 6D 01 64 65 65 70 6C 79 01 67 72 61 74 65 66 75 6C 2E 2E 2E 01 49 C8 68 61 72 64 6C 79 01 6B 6E 6F 77 01 68 6F 77 01 74 6F 01 74 68 61 6E 6B 01 79 6F 75 2E C5 CC 4D 79 01 6E 61 6D 65 01 69 73 01 53 61 6A 69 6B 2E 01 49 01 61 6D C8 61 6E 01 61 72 63 68 61 65 6F 6C 6F 67 69 73 74 01 77 68 6F 01 73 74 75 64 69 65 64 01 74 68 65 C8 61 6E 63 69 65 6E 74 01 6C 65 67 65 6E 64 73 01 6F 66 01 74 68 69 73 01 69 73 6C 61 6E 64 2E C5 CC 57 68 61 74 3F 01 59 6F 75 01 61 6C 72 65 61 64 79 01 6B 6E 6F 77 C8 6F 66 01 6D 65 3F 01 48 6F 77 01 63 6F 75 6C 64 01 74 68 61 74 01 62 65 3F C5 CC 2E 2E 2E 49 01 73 65 65 2E 01 53 6F 01 6D 61 6E 79 01 76 69 63 74 69 6D 73 2E 2E 2E 3F C5 CC 54 68 69 73 01 69 73 01 61 6C 6C 01 6D 79 01 66 61 75 6C 74 21 C8 49 01 6E 65 76 65 72 01 73 68 6F 75 6C 64 01 68 61 76 65 01 64 75 67 01 74 68 61 74 C8 74 68 69 6E 67 01 6F 75 74 01 6F 66 01 74 68 65 01 67 72 6F 75 6E 64 21 C0</x:v>
      </x:c>
      <x:c r="K1095" s="23" t="str">
        <x:v>1CC 010 001 010 024 01F 01F 020 084 015 001 03B 01F 01B 03C 1C8 01F 01C 018 022 017 039 01F 03D 084 022 01C 027 081 081 081 1C5 1CC 015 01F 084 01B 018 024 011 081 081 011 033 011 033 1C8 024 03D 023 001 014 039 011 03C 001 011 03E 01F 036 1C8 035 011 015 001 03B 015 037 02E 01D 03D 081 081 081 081 1C5 1CC 03B 01F 01B 028 0CD 029 001 04C 084 04D 049 1C8 019 028 08A 084 022 001 096 09F 028 092 08F 028 1C8 0E5 0E7 03C 01B 022 011 01F 001 0DB 096 0B7 0A7 084 022 01C 1C5 1CC 013 079 001 15C 03E 022 011 024 01A 038 079 1C8 01E 037 03F 02E 01F 001 084 023 012 01B 022 079 1C5 1CC 081 081 081 081 081 081 01E 012 084 022 01C 015 1C8 081 081 081 084 016 01D 011 0A7 084 015 001 01E 03D 024 025 079 1C5 1CC 01C 084 02C 022 001 03B 01F 01B 028 001 01D 011 084 022 01C 07A 1C8 03B 01F 01B 084 015 001 010 03D 024 08B 03C 001 012 001 012 1C8 02D 037 084 01F 01A 024 018 039 084 029 001 035 015 03E 01F 028 084 022 01C 1C0</x:v>
      </x:c>
    </x:row>
    <x:row r="1096">
      <x:c r="A1096" s="22" t="str">
        <x:f>"04"</x:f>
        <x:v>04</x:v>
      </x:c>
      <x:c r="B1096" s="22" t="str">
        <x:f>"46"</x:f>
        <x:v>46</x:v>
      </x:c>
      <x:c r="C1096" s="22" t="str">
        <x:f>"0x0446"</x:f>
        <x:v>0x0446</x:v>
      </x:c>
      <x:c r="D1096" s="21" t="str">
        <x:v>&lt;SPEAKER&gt;「じつは デスバレーで 化石を
掘り出したあと わたしは さらに
奥で ひつぎを 発見したのです!&lt;WAIT&gt;&lt;SPEAKER&gt;「とても 大きなひつぎで
こおりのように つめたくて
あおじろく かがやいていました&lt;WAIT&gt;&lt;SPEAKER&gt;「ひつぎには 古代文字で
キングバロン と かかれていました&lt;WAIT&gt;&lt;SPEAKER&gt;「そして ひつぎを
あけたとたん 中の むらさき色の
大きな 何かが 目をあけて・・・&lt;WAIT&gt;&lt;SPEAKER&gt;「そのあとの きおくは
ありません・・気がつくと
あなたたちが いたのです・・・&lt;WAIT&gt;&lt;SPEAKER&gt;「はっ! こうしては いられない
すぐに メグに あいたい! わたしの
いとしき つま メグ!&lt;WAIT&gt;&lt;SPEAKER&gt;「のちほど わたしの家に
来てください! リバータウンの
2かいだての 家です!&lt;WAIT&gt;&lt;SPEAKER&gt;「わたしなりに 情報を せいりして
なんとか 島を すくいたいのです!&lt;WAIT&gt;&lt;SPEAKER&gt;「おっと はなしを
いそぎすぎましたね・・・
もういちど お話しましょうか?</x:v>
      </x:c>
      <x:c r="E1096" s="19" t="str">
        <x:v>&lt;SPEAKER&gt;After I unearthed the
fossil at Deathvalley, I went
deeper and discovered a coffin!&lt;WAIT&gt;&lt;SPEAKER&gt;It was enormous, cold
as ice, and glowing a pale blue.&lt;WAIT&gt;&lt;SPEAKER&gt;Ancient writing
on the coffin spelled
the name King Baron.&lt;WAIT&gt;&lt;SPEAKER&gt;The moment I opened
it, something huge and purple
inside opened its eyes...&lt;WAIT&gt;&lt;SPEAKER&gt;I remember
nothing after that. When
I awoke, you were here.&lt;WAIT&gt;&lt;SPEAKER&gt;Ah! I cannot stay here! I
must see Meg, my beloved wife!&lt;WAIT&gt;&lt;SPEAKER&gt;Please visit my
home later. It is the
two-story house in Rivertown.&lt;WAIT&gt;&lt;SPEAKER&gt;I will organize what
I know and find some
way to save this island!&lt;WAIT&gt;&lt;SPEAKER&gt;Oh, I rushed through
that story. Would you
like me to tell it again?</x:v>
      </x:c>
      <x:c r="F1096" s="20" t="str"/>
      <x:c r="G1096" s="20" t="str"/>
      <x:c r="H1096" s="23" t="str">
        <x:v>SPEAKER NEWLINE NEWLINE WAIT SPEAKER NEWLINE WAIT SPEAKER NEWLINE NEWLINE WAIT SPEAKER NEWLINE NEWLINE WAIT SPEAKER NEWLINE NEWLINE WAIT SPEAKER NEWLINE WAIT SPEAKER NEWLINE NEWLINE WAIT SPEAKER NEWLINE NEWLINE WAIT SPEAKER NEWLINE NEWLINE END</x:v>
      </x:c>
      <x:c r="I1096" s="23" t="str">
        <x:v>E9:7F6A</x:v>
      </x:c>
      <x:c r="J1096" s="23" t="str">
        <x:v>CC 41 66 74 65 72 01 49 01 75 6E 65 61 72 74 68 65 64 01 74 68 65 C8 66 6F 73 73 69 6C 01 61 74 01 44 65 61 74 68 76 61 6C 6C 65 79 2C 01 49 01 77 65 6E 74 C8 64 65 65 70 65 72 01 61 6E 64 01 64 69 73 63 6F 76 65 72 65 64 01 61 01 63 6F 66 66 69 6E 21 C5 CC 49 74 01 77 61 73 01 65 6E 6F 72 6D 6F 75 73 2C 01 63 6F 6C 64 C8 61 73 01 69 63 65 2C 01 61 6E 64 01 67 6C 6F 77 69 6E 67 01 61 01 70 61 6C 65 01 62 6C 75 65 2E C5 CC 41 6E 63 69 65 6E 74 01 77 72 69 74 69 6E 67 C8 6F 6E 01 74 68 65 01 63 6F 66 66 69 6E 01 73 70 65 6C 6C 65 64 C8 74 68 65 01 6E 61 6D 65 01 4B 69 6E 67 01 42 61 72 6F 6E 2E C5 CC 54 68 65 01 6D 6F 6D 65 6E 74 01 49 01 6F 70 65 6E 65 64 C8 69 74 2C 01 73 6F 6D 65 74 68 69 6E 67 01 68 75 67 65 01 61 6E 64 01 70 75 72 70 6C 65 C8 69 6E 73 69 64 65 01 6F 70 65 6E 65 64 01 69 74 73 01 65 79 65 73 2E 2E 2E C5 CC 49 01 72 65 6D 65 6D 62 65 72 C8 6E 6F 74 68 69 6E 67 01 61 66 74 65 72 01 74 68 61 74 2E 01 57 68 65 6E C8 49 01 61 77 6F 6B 65 2C 01 79 6F 75 01 77 65 72 65 01 68 65 72 65 2E C5 CC 41 68 21 01 49 01 63 61 6E 6E 6F 74 01 73 74 61 79 01 68 65 72 65 21 01 49 C8 6D 75 73 74 01 73 65 65 01 4D 65 67 2C 01 6D 79 01 62 65 6C 6F 76 65 64 01 77 69 66 65 21 C5 CC 50 6C 65 61 73 65 01 76 69 73 69 74 01 6D 79 C8 68 6F 6D 65 01 6C 61 74 65 72 2E 01 49 74 01 69 73 01 74 68 65 C8 74 77 6F 2D 73 74 6F 72 79 01 68 6F 75 73 65 01 69 6E 01 52 69 76 65 72 74 6F 77 6E 2E C5 CC 49 01 77 69 6C 6C 01 6F 72 67 61 6E 69 7A 65 01 77 68 61 74 C8 49 01 6B 6E 6F 77 01 61 6E 64 01 66 69 6E 64 01 73 6F 6D 65 C8 77 61 79 01 74 6F 01 73 61 76 65 01 74 68 69 73 01 69 73 6C 61 6E 64 21 C5 CC 4F 68 2C 01 49 01 72 75 73 68 65 64 01 74 68 72 6F 75 67 68 C8 74 68 61 74 01 73 74 6F 72 79 2E 01 57 6F 75 6C 64 01 79 6F 75 C8 6C 69 6B 65 01 6D 65 01 74 6F 01 74 65 6C 6C 01 69 74 01 61 67 61 69 6E 3F C0</x:v>
      </x:c>
      <x:c r="K1096" s="23" t="str">
        <x:v>1CC 084 01B 021 029 001 084 054 04E 084 05B 06B 078 084 022 001 09E 09D 03C 1C8 11C 037 106 01B 01F 010 023 001 03B 01F 01B 029 001 01A 036 025 1C8 0ED 084 022 001 02A 021 084 016 03C 001 0C8 090 01B 01F 028 084 022 01C 07A 1C5 1CC 023 022 032 001 0AC 016 024 02A 021 084 016 084 022 1C8 019 014 037 028 035 012 025 001 021 031 01F 017 022 1C8 010 014 084 01B 03A 017 001 015 084 015 033 011 022 011 02E 01B 01F 1C5 1CC 02A 021 084 016 025 029 001 096 09F 152 153 084 022 1C8 048 06F 084 049 084 05B 06C 06F 001 023 001 015 015 039 022 011 02E 01B 01F 1C5 1CC 01E 01B 022 001 02A 021 084 016 03C 1C8 010 018 01F 023 01F 03D 001 0A1 028 001 030 036 01A 016 19E 028 1C8 0AC 016 024 001 093 015 084 015 001 0B6 03C 010 018 022 081 081 081 1C5 1CC 01E 028 010 023 028 001 016 014 017 029 1C8 010 037 02E 01D 03D 081 081 099 084 015 021 017 023 1C8 010 024 01F 01F 020 084 015 001 011 01F 028 084 022 01C 081 081 081 1C5 1CC 029 03E 07A 001 019 012 01B 022 029 001 011 036 039 024 011 1C8 01C 084 017 025 001 063 084 049 025 001 010 011 01F 011 07A 001 03B 01F 01B 028 1C8 011 023 01B 016 001 021 02E 001 063 084 049 07A 1C5 1CC 028 020 02D 084 023 001 03B 01F 01B 028 161 025 1C8 097 022 017 084 01F 01A 011 07A 001 069 084 05B 078 051 044 06F 028 1C8 004 015 011 084 01F 022 028 001 161 084 022 01C 07A 1C5 1CC 03B 01F 01B 024 037 025 001 0AD 0AE 03C 001 01D 011 037 01B 022 1C8 024 03D 023 015 001 08A 03C 001 01C 017 011 01F 011 028 084 022 01C 07A 1C5 1CC 014 03E 023 001 029 024 01B 03C 1C8 011 01E 084 016 01C 084 016 02E 01B 01F 027 081 081 081 1C8 032 012 011 020 084 023 001 014 0A0 01B 02E 01B 041 012 015 079 1C0</x:v>
      </x:c>
    </x:row>
    <x:row r="1097">
      <x:c r="A1097" s="22" t="str">
        <x:f>"04"</x:f>
        <x:v>04</x:v>
      </x:c>
      <x:c r="B1097" s="22" t="str">
        <x:f>"47"</x:f>
        <x:v>47</x:v>
      </x:c>
      <x:c r="C1097" s="22" t="str">
        <x:f>"0x0447"</x:f>
        <x:v>0x0447</x:v>
      </x:c>
      <x:c r="D1097" s="21" t="str">
        <x:v>&lt;SPEAKER&gt;「そうですか
それでは しつれいします
ヤッホー! メグー!</x:v>
      </x:c>
      <x:c r="E1097" s="19" t="str">
        <x:v>&lt;SPEAKER&gt;I see. Then please
excuse me. Yaaahoo! Meeeg!</x:v>
      </x:c>
      <x:c r="F1097" s="20" t="str"/>
      <x:c r="G1097" s="20" t="str"/>
      <x:c r="H1097" s="23" t="str">
        <x:v>SPEAKER NEWLINE END</x:v>
      </x:c>
      <x:c r="I1097" s="23" t="str">
        <x:v>E9:81C6</x:v>
      </x:c>
      <x:c r="J1097" s="23" t="str">
        <x:v>CC 49 01 73 65 65 2E 01 54 68 65 6E 01 70 6C 65 61 73 65 C8 65 78 63 75 73 65 01 6D 65 2E 01 59 61 61 61 68 6F 6F 21 01 4D 65 65 65 67 21 C0</x:v>
      </x:c>
      <x:c r="K1097" s="23" t="str">
        <x:v>1CC 01E 012 084 022 01C 015 1C8 01E 039 084 022 029 001 01B 021 039 011 01B 02E 01C 1C8 065 070 05F 078 07A 001 063 084 049 078 07A 1C0</x:v>
      </x:c>
    </x:row>
    <x:row r="1098">
      <x:c r="A1098" s="22" t="str">
        <x:f>"04"</x:f>
        <x:v>04</x:v>
      </x:c>
      <x:c r="B1098" s="22" t="str">
        <x:f>"48"</x:f>
        <x:v>48</x:v>
      </x:c>
      <x:c r="C1098" s="22" t="str">
        <x:f>"0x0448"</x:f>
        <x:v>0x0448</x:v>
      </x:c>
      <x:c r="D1098" s="21" t="str">
        <x:v>&lt;CLEAR&gt;
「れいぞう中
と かいてある&lt;WAIT&gt;
&lt;CLEAR&gt;
食品の しんせんさを たもつため
とびらは とざされているようだ</x:v>
      </x:c>
      <x:c r="E1098" s="19" t="str">
        <x:v>&lt;CLEAR&gt;The sign says "REFRIGERATED."&lt;WAIT&gt;&lt;CLEAR&gt;The door is sealed shut
to keep the food fresh.&lt;LINE&gt;</x:v>
      </x:c>
      <x:c r="F1098" s="20" t="str"/>
      <x:c r="G1098" s="20" t="str"/>
      <x:c r="H1098" s="23" t="str">
        <x:v>CLEAR WAIT CLEAR NEWLINE LINE END</x:v>
      </x:c>
      <x:c r="I1098" s="23" t="str">
        <x:v>E9:81F5</x:v>
      </x:c>
      <x:c r="J1098" s="23" t="str">
        <x:v>D0 54 68 65 01 73 69 67 6E 01 73 61 79 73 01 22 52 45 46 52 49 47 45 52 41 54 45 44 2E 22 C5 D0 54 68 65 01 64 6F 6F 72 01 69 73 01 73 65 61 6C 65 64 01 73 68 75 74 C8 74 6F 01 6B 65 65 70 01 74 68 65 01 66 6F 6F 64 01 66 72 65 73 68 2E C3 C0</x:v>
      </x:c>
      <x:c r="K1098" s="23" t="str">
        <x:v>1D0 07D 039 011 084 01E 012 0A1 1C8 023 001 015 011 022 010 038 1C5 1D0 0E4 12B 028 001 01B 03D 01D 03D 01A 03C 001 01F 032 021 01F 031 1C8 023 084 02A 036 029 001 023 084 01A 01A 039 022 011 038 035 012 084 01F 1C3 1C0</x:v>
      </x:c>
    </x:row>
    <x:row r="1099">
      <x:c r="A1099" s="22" t="str">
        <x:f>"04"</x:f>
        <x:v>04</x:v>
      </x:c>
      <x:c r="B1099" s="22" t="str">
        <x:f>"49"</x:f>
        <x:v>49</x:v>
      </x:c>
      <x:c r="C1099" s="22" t="str">
        <x:f>"0x0449"</x:f>
        <x:v>0x0449</x:v>
      </x:c>
      <x:c r="D1099" s="21" t="str">
        <x:v>&lt;CLEAR&gt;
こおりの中に 人かげが見える
とても すずしそうだ</x:v>
      </x:c>
      <x:c r="E1099" s="19" t="str">
        <x:v>&lt;CLEAR&gt;A human figure is visible in the
ice. It looks very cool in there.</x:v>
      </x:c>
      <x:c r="F1099" s="20" t="str"/>
      <x:c r="G1099" s="20" t="str"/>
      <x:c r="H1099" s="23" t="str">
        <x:v>CLEAR NEWLINE END</x:v>
      </x:c>
      <x:c r="I1099" s="23" t="str">
        <x:v>E9:8246</x:v>
      </x:c>
      <x:c r="J1099" s="23" t="str">
        <x:v>D0 41 01 68 75 6D 61 6E 01 66 69 67 75 72 65 01 69 73 01 76 69 73 69 62 6C 65 01 69 6E 01 74 68 65 C8 69 63 65 2E 01 49 74 01 6C 6F 6F 6B 73 01 76 65 72 79 01 63 6F 6F 6C 01 69 6E 01 74 68 65 72 65 2E C0</x:v>
      </x:c>
      <x:c r="K1099" s="23" t="str">
        <x:v>1D0 019 014 037 028 0A1 025 001 091 015 084 018 084 015 090 013 038 1C8 023 022 032 001 01C 084 01C 01B 01E 012 084 01F 1C0</x:v>
      </x:c>
    </x:row>
    <x:row r="1100">
      <x:c r="A1100" s="22" t="str">
        <x:f>"04"</x:f>
        <x:v>04</x:v>
      </x:c>
      <x:c r="B1100" s="22" t="str">
        <x:f>"4A"</x:f>
        <x:v>4A</x:v>
      </x:c>
      <x:c r="C1100" s="22" t="str">
        <x:f>"0x044A"</x:f>
        <x:v>0x044A</x:v>
      </x:c>
      <x:c r="D1100" s="21" t="str">
        <x:v>&lt;SPEAKER&gt;「レディどの!
お待ちしておりましたぞ!&lt;WAIT&gt;&lt;SPEAKER&gt;「ボブの情報と わたしの
ちしきを せいりしてみたところ
おぼろげながら わかりましたぞ&lt;WAIT&gt;&lt;SPEAKER&gt;「まず わたしが 発見した
ひつぎに 入っていたモンスターは
キングバロンでは ありませんな&lt;WAIT&gt;&lt;SPEAKER&gt;「おそらく ジェイビーという
モンスターが なんらかの理由で
キングバロンの ひつぎに入った</x:v>
      </x:c>
      <x:c r="E1100" s="19" t="str">
        <x:v>&lt;SPEAKER&gt;Lady! I've been waiting!&lt;WAIT&gt;&lt;SPEAKER&gt;I compared Bob's
information with what I know.
I think I understand now.&lt;WAIT&gt;&lt;SPEAKER&gt;The monster in the coffin
I found was not King Baron.&lt;WAIT&gt;&lt;SPEAKER&gt;I think J.B. entered
King Baron's coffin for
some unknown reason...</x:v>
      </x:c>
      <x:c r="F1100" s="20" t="str"/>
      <x:c r="G1100" s="20" t="str"/>
      <x:c r="H1100" s="23" t="str">
        <x:v>SPEAKER WAIT SPEAKER NEWLINE NEWLINE WAIT SPEAKER NEWLINE WAIT SPEAKER NEWLINE NEWLINE END</x:v>
      </x:c>
      <x:c r="I1100" s="23" t="str">
        <x:v>E9:828A</x:v>
      </x:c>
      <x:c r="J1100" s="23" t="str">
        <x:v>CC 4C 61 64 79 21 01 49 27 76 65 01 62 65 65 6E 01 77 61 69 74 69 6E 67 21 C5 CC 49 01 63 6F 6D 70 61 72 65 64 01 42 6F 62 27 73 C8 69 6E 66 6F 72 6D 61 74 69 6F 6E 01 77 69 74 68 01 77 68 61 74 01 49 01 6B 6E 6F 77 2E C8 49 01 74 68 69 6E 6B 01 49 01 75 6E 64 65 72 73 74 61 6E 64 01 6E 6F 77 2E C5 CC 54 68 65 01 6D 6F 6E 73 74 65 72 01 69 6E 01 74 68 65 01 63 6F 66 66 69 6E C8 49 01 66 6F 75 6E 64 01 77 61 73 01 6E 6F 74 01 4B 69 6E 67 01 42 61 72 6F 6E 2E C5 CC 49 01 74 68 69 6E 6B 01 4A 2E 42 2E 01 65 6E 74 65 72 65 64 C8 4B 69 6E 67 01 42 61 72 6F 6E 27 73 01 63 6F 66 66 69 6E 01 66 6F 72 C8 73 6F 6D 65 01 75 6E 6B 6E 6F 77 6E 01 72 65 61 73 6F 6E 2E 2E 2E C0</x:v>
      </x:c>
      <x:c r="K1100" s="23" t="str">
        <x:v>1CC 06B 084 054 075 084 023 028 07A 1C8 014 16B 020 01B 022 014 037 02E 01B 01F 084 01E 07A 1C5 1CC 084 05F 084 05D 028 0AD 0AE 023 001 03B 01F 01B 028 1C8 020 01B 016 03C 001 01D 011 037 01B 022 02F 01F 023 019 03A 1C8 014 084 02D 03A 084 018 024 084 015 036 001 03B 015 037 02E 01B 01F 084 01E 1C5 1CC 02E 084 01C 001 03B 01F 01B 084 015 001 0C8 090 01B 01F 1C8 02A 021 084 016 025 001 08E 03E 022 011 01F 064 06F 04E 051 078 029 1C8 048 06F 084 049 084 05B 06C 06F 084 022 029 001 010 037 02E 01D 03D 024 1C5 1CC 014 01E 036 017 001 084 04D 076 043 084 05C 078 023 011 012 1C8 064 06F 04E 051 078 084 015 001 024 03D 036 015 028 165 163 084 022 1C8 048 06F 084 049 084 05B 06C 06F 028 001 02A 021 084 016 025 08E 03E 01F 1C0</x:v>
      </x:c>
    </x:row>
    <x:row r="1101">
      <x:c r="A1101" s="22" t="str">
        <x:f>"04"</x:f>
        <x:v>04</x:v>
      </x:c>
      <x:c r="B1101" s="22" t="str">
        <x:f>"4B"</x:f>
        <x:v>4B</x:v>
      </x:c>
      <x:c r="C1101" s="22" t="str">
        <x:f>"0x044B"</x:f>
        <x:v>0x044B</x:v>
      </x:c>
      <x:c r="D1101" s="21" t="str">
        <x:v>&lt;SPEAKER&gt;「・・・と かんがえます</x:v>
      </x:c>
      <x:c r="E1101" s="19" t="str">
        <x:v>&lt;SPEAKER&gt;...That is my conclusion.</x:v>
      </x:c>
      <x:c r="F1101" s="20" t="str"/>
      <x:c r="G1101" s="20" t="str"/>
      <x:c r="H1101" s="23" t="str">
        <x:v>SPEAKER END</x:v>
      </x:c>
      <x:c r="I1101" s="23" t="str">
        <x:v>E9:836A</x:v>
      </x:c>
      <x:c r="J1101" s="23" t="str">
        <x:v>CC 2E 2E 2E 54 68 61 74 01 69 73 01 6D 79 01 63 6F 6E 63 6C 75 73 69 6F 6E 2E C0</x:v>
      </x:c>
      <x:c r="K1101" s="23" t="str">
        <x:v>1CC 081 081 081 023 001 015 03D 084 015 013 02E 01C 1C0</x:v>
      </x:c>
    </x:row>
    <x:row r="1102">
      <x:c r="A1102" s="22" t="str">
        <x:f>"04"</x:f>
        <x:v>04</x:v>
      </x:c>
      <x:c r="B1102" s="22" t="str">
        <x:f>"4C"</x:f>
        <x:v>4C</x:v>
      </x:c>
      <x:c r="C1102" s="22" t="str">
        <x:f>"0x044C"</x:f>
        <x:v>0x044C</x:v>
      </x:c>
      <x:c r="D1102" s="21" t="str">
        <x:v>&lt;SPEAKER&gt;「にげてきた 囚人の話でも
ジェイビーは キングバロンの
発明した 巨大化装置・・・・&lt;WAIT&gt;&lt;SPEAKER&gt;「ぞくにいう 古代の装置を
復活させるのに ちまなこに
なっている と いうじゃねえか</x:v>
      </x:c>
      <x:c r="E1102" s="19" t="str">
        <x:v>&lt;SPEAKER&gt;Escaped prisoners say
J.B. is restoring King Baron's
Monster Enlarging Device...&lt;WAIT&gt;&lt;SPEAKER&gt;the so-called
ancient device. He's
desperate to revive it.</x:v>
      </x:c>
      <x:c r="F1102" s="20" t="str"/>
      <x:c r="G1102" s="20" t="str"/>
      <x:c r="H1102" s="23" t="str">
        <x:v>SPEAKER NEWLINE NEWLINE WAIT SPEAKER NEWLINE NEWLINE END</x:v>
      </x:c>
      <x:c r="I1102" s="23" t="str">
        <x:v>E9:8385</x:v>
      </x:c>
      <x:c r="J1102" s="23" t="str">
        <x:v>CC 45 73 63 61 70 65 64 01 70 72 69 73 6F 6E 65 72 73 01 73 61 79 C8 4A 2E 42 2E 01 69 73 01 72 65 73 74 6F 72 69 6E 67 01 4B 69 6E 67 01 42 61 72 6F 6E 27 73 C8 4D 6F 6E 73 74 65 72 01 45 6E 6C 61 72 67 69 6E 67 01 44 65 76 69 63 65 2E 2E 2E C5 CC 74 68 65 01 73 6F 2D 63 61 6C 6C 65 64 C8 61 6E 63 69 65 6E 74 01 64 65 76 69 63 65 2E 01 48 65 27 73 C8 64 65 73 70 65 72 61 74 65 01 74 6F 01 72 65 76 69 76 65 01 69 74 2E C0</x:v>
      </x:c>
      <x:c r="K1102" s="23" t="str">
        <x:v>1CC 025 084 018 022 016 01F 001 113 091 028 0A0 084 022 032 1C8 084 04D 076 043 084 05C 078 029 001 048 06F 084 049 084 05B 06C 06F 028 1C8 0C8 0BF 01B 01F 001 0CC 0AC 09E 0C2 19F 081 081 081 081 1C5 1CC 084 01E 017 025 011 012 001 096 09F 028 0C2 19F 03C 1C8 18B 0B4 01A 01D 038 028 025 001 020 02E 024 019 025 1C8 024 03E 022 011 038 001 023 001 011 012 084 01B 03F 027 013 015 1C0</x:v>
      </x:c>
    </x:row>
    <x:row r="1103">
      <x:c r="A1103" s="22" t="str">
        <x:f>"04"</x:f>
        <x:v>04</x:v>
      </x:c>
      <x:c r="B1103" s="22" t="str">
        <x:f>"4D"</x:f>
        <x:v>4D</x:v>
      </x:c>
      <x:c r="C1103" s="22" t="str">
        <x:f>"0x044D"</x:f>
        <x:v>0x044D</x:v>
      </x:c>
      <x:c r="D1103" s="21" t="str">
        <x:v>&lt;SPEAKER&gt;「そのてんからも ジェイビーは
キングバロンでは ないでしょう&lt;WAIT&gt;&lt;SPEAKER&gt;「では キングバロンの
古代の装置は いったい
どこにあるのか?&lt;WAIT&gt;&lt;SPEAKER&gt;「その なぞは おそらく
この 地図にあると わたしは
思います!</x:v>
      </x:c>
      <x:c r="E1103" s="19" t="str">
        <x:v>&lt;SPEAKER&gt;That is further
proof J.B. is not King Baron.&lt;WAIT&gt;&lt;SPEAKER&gt;Then where is
King Baron's ancient
device actually located?&lt;WAIT&gt;&lt;SPEAKER&gt;I believe the answer
may be hidden in this map!</x:v>
      </x:c>
      <x:c r="F1103" s="20" t="str"/>
      <x:c r="G1103" s="20" t="str"/>
      <x:c r="H1103" s="23" t="str">
        <x:v>SPEAKER NEWLINE WAIT SPEAKER NEWLINE NEWLINE WAIT SPEAKER NEWLINE END</x:v>
      </x:c>
      <x:c r="I1103" s="23" t="str">
        <x:v>E9:8413</x:v>
      </x:c>
      <x:c r="J1103" s="23" t="str">
        <x:v>CC 54 68 61 74 01 69 73 01 66 75 72 74 68 65 72 C8 70 72 6F 6F 66 01 4A 2E 42 2E 01 69 73 01 6E 6F 74 01 4B 69 6E 67 01 42 61 72 6F 6E 2E C5 CC 54 68 65 6E 01 77 68 65 72 65 01 69 73 C8 4B 69 6E 67 01 42 61 72 6F 6E 27 73 01 61 6E 63 69 65 6E 74 C8 64 65 76 69 63 65 01 61 63 74 75 61 6C 6C 79 01 6C 6F 63 61 74 65 64 3F C5 CC 49 01 62 65 6C 69 65 76 65 01 74 68 65 01 61 6E 73 77 65 72 C8 6D 61 79 01 62 65 01 68 69 64 64 65 6E 01 69 6E 01 74 68 69 73 01 6D 61 70 21 C0</x:v>
      </x:c>
      <x:c r="K1103" s="23" t="str">
        <x:v>1CC 01E 028 022 03D 015 036 032 001 084 04D 076 043 084 05C 078 029 1C8 048 06F 084 049 084 05B 06C 06F 084 022 029 001 024 011 084 022 01B 041 012 1C5 1CC 084 022 029 001 048 06F 084 049 084 05B 06C 06F 028 1C8 096 09F 028 0C2 19F 029 001 011 03E 01F 011 1C8 084 023 019 025 010 038 028 015 079 1C5 1CC 01E 028 001 024 084 01E 029 001 014 01E 036 017 1C8 019 028 001 0D5 160 025 010 038 023 001 03B 01F 01B 029 1C8 10F 011 02E 01C 07A 1C0</x:v>
      </x:c>
    </x:row>
    <x:row r="1104">
      <x:c r="A1104" s="22" t="str">
        <x:f>"04"</x:f>
        <x:v>04</x:v>
      </x:c>
      <x:c r="B1104" s="22" t="str">
        <x:f>"4E"</x:f>
        <x:v>4E</x:v>
      </x:c>
      <x:c r="C1104" s="22" t="str">
        <x:f>"0x044E"</x:f>
        <x:v>0x044E</x:v>
      </x:c>
      <x:c r="D1104" s="21" t="str">
        <x:v>&lt;SPEAKER&gt;「これも 掘り出した物で
過去の 考古学者が 作った物と
思われますが・・・</x:v>
      </x:c>
      <x:c r="E1104" s="19" t="str">
        <x:v>&lt;SPEAKER&gt;I excavated this as well.
It seems to be a map made
by an archaeologist long ago...</x:v>
      </x:c>
      <x:c r="F1104" s="20" t="str"/>
      <x:c r="G1104" s="20" t="str"/>
      <x:c r="H1104" s="23" t="str">
        <x:v>SPEAKER NEWLINE NEWLINE END</x:v>
      </x:c>
      <x:c r="I1104" s="23" t="str">
        <x:v>E9:84B0</x:v>
      </x:c>
      <x:c r="J1104" s="23" t="str">
        <x:v>CC 49 01 65 78 63 61 76 61 74 65 64 01 74 68 69 73 01 61 73 01 77 65 6C 6C 2E C8 49 74 01 73 65 65 6D 73 01 74 6F 01 62 65 01 61 01 6D 61 70 01 6D 61 64 65 C8 62 79 01 61 6E 01 61 72 63 68 61 65 6F 6C 6F 67 69 73 74 01 6C 6F 6E 67 01 61 67 6F 2E 2E 2E C0</x:v>
      </x:c>
      <x:c r="K1104" s="23" t="str">
        <x:v>1CC 019 039 032 001 11C 037 106 01B 01F 08B 084 022 1C8 18C 18D 028 001 0DB 096 0B7 0A7 084 015 001 0F6 03E 01F 08B 023 1C8 10F 03B 039 02E 01C 084 015 081 081 081 1C0</x:v>
      </x:c>
    </x:row>
    <x:row r="1105">
      <x:c r="A1105" s="22" t="str">
        <x:f>"04"</x:f>
        <x:v>04</x:v>
      </x:c>
      <x:c r="B1105" s="22" t="str">
        <x:f>"4F"</x:f>
        <x:v>4F</x:v>
      </x:c>
      <x:c r="C1105" s="22" t="str">
        <x:f>"0x044F"</x:f>
        <x:v>0x044F</x:v>
      </x:c>
      <x:c r="D1105" s="21" t="str">
        <x:v>&lt;SPEAKER&gt;「この部分 島からも はなれた
この時代では バロンロックと
よばれていた 巨大な 岩の島&lt;WAIT&gt;&lt;SPEAKER&gt;「ここを キングバロンは
きょてんに していたものと
しるされています&lt;WAIT&gt;&lt;SPEAKER&gt;「ただ ここには 誰も
たどりついた ことがない・・
とも かかれています・・</x:v>
      </x:c>
      <x:c r="E1105" s="19" t="str">
        <x:v>&lt;SPEAKER&gt;This shows a huge rock
island apart from the main
island. It was called Baron Rock.&lt;WAIT&gt;&lt;SPEAKER&gt;The notes say King
Baron used it as his base.&lt;WAIT&gt;&lt;SPEAKER&gt;But they also say nobody
ever managed to reach it...</x:v>
      </x:c>
      <x:c r="F1105" s="20" t="str"/>
      <x:c r="G1105" s="20" t="str"/>
      <x:c r="H1105" s="23" t="str">
        <x:v>SPEAKER NEWLINE NEWLINE WAIT SPEAKER NEWLINE WAIT SPEAKER NEWLINE END</x:v>
      </x:c>
      <x:c r="I1105" s="23" t="str">
        <x:v>E9:8505</x:v>
      </x:c>
      <x:c r="J1105" s="23" t="str">
        <x:v>CC 54 68 69 73 01 73 68 6F 77 73 01 61 01 68 75 67 65 01 72 6F 63 6B C8 69 73 6C 61 6E 64 01 61 70 61 72 74 01 66 72 6F 6D 01 74 68 65 01 6D 61 69 6E C8 69 73 6C 61 6E 64 2E 01 49 74 01 77 61 73 01 63 61 6C 6C 65 64 01 42 61 72 6F 6E 01 52 6F 63 6B 2E C5 CC 54 68 65 01 6E 6F 74 65 73 01 73 61 79 01 4B 69 6E 67 C8 42 61 72 6F 6E 01 75 73 65 64 01 69 74 01 61 73 01 68 69 73 01 62 61 73 65 2E C5 CC 42 75 74 01 74 68 65 79 01 61 6C 73 6F 01 73 61 79 01 6E 6F 62 6F 64 79 C8 65 76 65 72 01 6D 61 6E 61 67 65 64 01 74 6F 01 72 65 61 63 68 01 69 74 2E 2E 2E C0</x:v>
      </x:c>
      <x:c r="K1105" s="23" t="str">
        <x:v>1CC 019 028 0DA 16C 001 08A 015 036 032 001 029 024 039 01F 1C8 019 028 164 09F 084 022 029 001 084 05B 06C 06F 06C 070 049 023 1C8 035 084 029 039 022 011 01F 001 0CC 0AC 024 001 158 028 08A 1C5 1CC 019 019 03C 001 048 06F 084 049 084 05B 06C 06F 029 1C8 016 041 022 03D 025 001 01B 022 011 01F 032 028 023 1C8 01B 038 01A 039 022 011 02E 01C 1C5 1CC 01F 084 01F 001 019 019 025 029 001 0FA 032 1C8 01F 084 023 037 021 011 01F 001 019 023 084 015 024 011 081 081 1C8 023 032 001 015 015 039 022 011 02E 01C 081 081 1C0</x:v>
      </x:c>
    </x:row>
    <x:row r="1106">
      <x:c r="A1106" s="22" t="str">
        <x:f>"04"</x:f>
        <x:v>04</x:v>
      </x:c>
      <x:c r="B1106" s="22" t="str">
        <x:f>"50"</x:f>
        <x:v>50</x:v>
      </x:c>
      <x:c r="C1106" s="22" t="str">
        <x:f>"0x0450"</x:f>
        <x:v>0x0450</x:v>
      </x:c>
      <x:c r="D1106" s="21" t="str">
        <x:v>&lt;SPEAKER&gt;「この時代の 人たちは
王の めいれいで この塔を
建てた とも ありますな&lt;WAIT&gt;&lt;SPEAKER&gt;「バロンロックを 見おろす
ばしょに 塔を建てて そこで
研究していたんでしょうな・・・</x:v>
      </x:c>
      <x:c r="E1106" s="19" t="str">
        <x:v>&lt;SPEAKER&gt;The people of that
age apparently built this
tower by order of their king.&lt;WAIT&gt;&lt;SPEAKER&gt;They must have built
it overlooking Baron Rock
and conducted research here...</x:v>
      </x:c>
      <x:c r="F1106" s="20" t="str"/>
      <x:c r="G1106" s="20" t="str"/>
      <x:c r="H1106" s="23" t="str">
        <x:v>SPEAKER NEWLINE NEWLINE WAIT SPEAKER NEWLINE NEWLINE END</x:v>
      </x:c>
      <x:c r="I1106" s="23" t="str">
        <x:v>E9:85BF</x:v>
      </x:c>
      <x:c r="J1106" s="23" t="str">
        <x:v>CC 54 68 65 01 70 65 6F 70 6C 65 01 6F 66 01 74 68 61 74 C8 61 67 65 01 61 70 70 61 72 65 6E 74 6C 79 01 62 75 69 6C 74 01 74 68 69 73 C8 74 6F 77 65 72 01 62 79 01 6F 72 64 65 72 01 6F 66 01 74 68 65 69 72 01 6B 69 6E 67 2E C5 CC 54 68 65 79 01 6D 75 73 74 01 68 61 76 65 01 62 75 69 6C 74 C8 69 74 01 6F 76 65 72 6C 6F 6F 6B 69 6E 67 01 42 61 72 6F 6E 01 52 6F 63 6B C8 61 6E 64 01 63 6F 6E 64 75 63 74 65 64 01 72 65 73 65 61 72 63 68 01 68 65 72 65 2E 2E 2E C0</x:v>
      </x:c>
      <x:c r="K1106" s="23" t="str">
        <x:v>1CC 019 028 164 09F 028 001 091 01F 020 029 1C8 155 028 001 031 011 039 011 084 022 001 019 028 154 03C 1C8 15A 022 01F 001 023 032 001 010 037 02E 01C 024 1C5 1CC 084 05B 06C 06F 06C 070 049 03C 001 090 014 03A 01C 1C8 084 029 01B 041 025 001 154 03C 15A 022 022 001 01E 019 084 022 1C8 0E5 0E7 01B 022 011 01F 03D 084 022 01B 041 012 024 081 081 081 1C0</x:v>
      </x:c>
    </x:row>
    <x:row r="1107">
      <x:c r="A1107" s="22" t="str">
        <x:f>"04"</x:f>
        <x:v>04</x:v>
      </x:c>
      <x:c r="B1107" s="22" t="str">
        <x:f>"51"</x:f>
        <x:v>51</x:v>
      </x:c>
      <x:c r="C1107" s="22" t="str">
        <x:f>"0x0451"</x:f>
        <x:v>0x0451</x:v>
      </x:c>
      <x:c r="D1107" s="21" t="str">
        <x:v>&lt;SPEAKER&gt;「ん? この塔の このマークは
なんでえ? どっかで見たことが・・・
あっ! そうだ!</x:v>
      </x:c>
      <x:c r="E1107" s="19" t="str">
        <x:v>&lt;SPEAKER&gt;Huh? What is this
mark on the tower? I have
seen it... Ah! I remember!</x:v>
      </x:c>
      <x:c r="F1107" s="20" t="str"/>
      <x:c r="G1107" s="20" t="str"/>
      <x:c r="H1107" s="23" t="str">
        <x:v>SPEAKER NEWLINE NEWLINE END</x:v>
      </x:c>
      <x:c r="I1107" s="23" t="str">
        <x:v>E9:865A</x:v>
      </x:c>
      <x:c r="J1107" s="23" t="str">
        <x:v>CC 48 75 68 3F 01 57 68 61 74 01 69 73 01 74 68 69 73 C8 6D 61 72 6B 01 6F 6E 01 74 68 65 01 74 6F 77 65 72 3F 01 49 01 68 61 76 65 C8 73 65 65 6E 01 69 74 2E 2E 2E 01 41 68 21 01 49 01 72 65 6D 65 6D 62 65 72 21 C0</x:v>
      </x:c>
      <x:c r="K1107" s="23" t="str">
        <x:v>1CC 03D 079 001 019 028 154 028 001 019 028 060 078 049 029 1C8 024 03D 084 022 013 079 001 084 023 03E 015 084 022 090 01F 019 023 084 015 081 081 081 1C8 010 03E 07A 001 01E 012 084 01F 07A 1C0</x:v>
      </x:c>
    </x:row>
    <x:row r="1108">
      <x:c r="A1108" s="22" t="str">
        <x:f>"04"</x:f>
        <x:v>04</x:v>
      </x:c>
      <x:c r="B1108" s="22" t="str">
        <x:f>"52"</x:f>
        <x:v>52</x:v>
      </x:c>
      <x:c r="C1108" s="22" t="str">
        <x:f>"0x0452"</x:f>
        <x:v>0x0452</x:v>
      </x:c>
      <x:c r="D1108" s="21" t="str">
        <x:v>&lt;SPEAKER&gt;「こりゃあ 博物館にある
石像と そっくりだよ!</x:v>
      </x:c>
      <x:c r="E1108" s="19" t="str">
        <x:v>&lt;SPEAKER&gt;It looks exactly like
the statue in the museum!</x:v>
      </x:c>
      <x:c r="F1108" s="20" t="str"/>
      <x:c r="G1108" s="20" t="str"/>
      <x:c r="H1108" s="23" t="str">
        <x:v>SPEAKER NEWLINE END</x:v>
      </x:c>
      <x:c r="I1108" s="23" t="str">
        <x:v>E9:86A2</x:v>
      </x:c>
      <x:c r="J1108" s="23" t="str">
        <x:v>CC 49 74 01 6C 6F 6F 6B 73 01 65 78 61 63 74 6C 79 01 6C 69 6B 65 C8 74 68 65 01 73 74 61 74 75 65 01 69 6E 01 74 68 65 01 6D 75 73 65 75 6D 21 C0</x:v>
      </x:c>
      <x:c r="K1108" s="23" t="str">
        <x:v>1CC 019 037 03F 010 001 0A4 08B 0A3 025 010 038 1C8 09D 159 023 001 01E 03E 017 037 084 01F 035 07A 1C0</x:v>
      </x:c>
    </x:row>
    <x:row r="1109">
      <x:c r="A1109" s="22" t="str">
        <x:f>"04"</x:f>
        <x:v>04</x:v>
      </x:c>
      <x:c r="B1109" s="22" t="str">
        <x:f>"53"</x:f>
        <x:v>53</x:v>
      </x:c>
      <x:c r="C1109" s="22" t="str">
        <x:f>"0x0453"</x:f>
        <x:v>0x0453</x:v>
      </x:c>
      <x:c r="D1109" s="21" t="str">
        <x:v>&lt;SPEAKER&gt;「うーむ その石像と
この塔は いったい どういう
かんけいなのか? うーむ</x:v>
      </x:c>
      <x:c r="E1109" s="19" t="str">
        <x:v>&lt;SPEAKER&gt;Hmm... What connection
could that statue have
with this tower? Hmm...</x:v>
      </x:c>
      <x:c r="F1109" s="20" t="str"/>
      <x:c r="G1109" s="20" t="str"/>
      <x:c r="H1109" s="23" t="str">
        <x:v>SPEAKER NEWLINE NEWLINE END</x:v>
      </x:c>
      <x:c r="I1109" s="23" t="str">
        <x:v>E9:86D3</x:v>
      </x:c>
      <x:c r="J1109" s="23" t="str">
        <x:v>CC 48 6D 6D 2E 2E 2E 01 57 68 61 74 01 63 6F 6E 6E 65 63 74 69 6F 6E C8 63 6F 75 6C 64 01 74 68 61 74 01 73 74 61 74 75 65 01 68 61 76 65 C8 77 69 74 68 01 74 68 69 73 01 74 6F 77 65 72 3F 01 48 6D 6D 2E 2E 2E C0</x:v>
      </x:c>
      <x:c r="K1109" s="23" t="str">
        <x:v>1CC 012 078 030 001 01E 028 09D 159 023 1C8 019 028 154 029 001 011 03E 01F 011 001 084 023 012 011 012 1C8 015 03D 018 011 024 028 015 079 001 012 078 030 1C0</x:v>
      </x:c>
    </x:row>
    <x:row r="1110">
      <x:c r="A1110" s="22" t="str">
        <x:f>"04"</x:f>
        <x:v>04</x:v>
      </x:c>
      <x:c r="B1110" s="22" t="str">
        <x:f>"54"</x:f>
        <x:v>54</x:v>
      </x:c>
      <x:c r="C1110" s="22" t="str">
        <x:f>"0x0454"</x:f>
        <x:v>0x0454</x:v>
      </x:c>
      <x:c r="D1110" s="21" t="str">
        <x:v>&lt;SPEAKER&gt;「うぐおお! それは たしか
はるか むかしに どこかの商人が
持ってきた 空とぶじゅうたん!&lt;WAIT&gt;&lt;SPEAKER&gt;「・・・だが だめじゃった・・ふん!
そんな たましいの ぬけた
じゅうたんを いまさら・・・・・・&lt;WAIT&gt;&lt;SPEAKER&gt;「・・・・・・・・・・・・・・&lt;WAIT&gt;&lt;SPEAKER&gt;「・・・そうかっ!・・・・・
わたしじしんが その じゅうたんの
たましいに なれば・・・!&lt;WAIT&gt;&lt;SPEAKER&gt;「おお&lt;PAUSE_30&gt; 全能なる 神よ!&lt;PAUSE_30&gt;
200年の わが 思いを
いま かなえたまえ!</x:v>
      </x:c>
      <x:c r="E1110" s="19" t="str">
        <x:v>&lt;SPEAKER&gt;Ugh! That is the
flying carpet a merchant
brought here long ago!&lt;WAIT&gt;&lt;SPEAKER&gt;...But it was useless.
Hmph! A carpet without
a soul cannot fly now...&lt;WAIT&gt;&lt;SPEAKER&gt;................&lt;WAIT&gt;&lt;SPEAKER&gt;Of course! If I myself
became the soul of that carpet...!&lt;WAIT&gt;&lt;SPEAKER&gt;O almighty God!&lt;PAUSE_30&gt; Grant
the wish I have carried
for two hundred years!&lt;PAUSE_30&gt;</x:v>
      </x:c>
      <x:c r="F1110" s="20" t="str"/>
      <x:c r="G1110" s="20" t="str"/>
      <x:c r="H1110" s="23" t="str">
        <x:v>SPEAKER NEWLINE NEWLINE WAIT SPEAKER NEWLINE NEWLINE WAIT SPEAKER WAIT SPEAKER NEWLINE WAIT SPEAKER PAUSE_30 NEWLINE NEWLINE PAUSE_30 END</x:v>
      </x:c>
      <x:c r="I1110" s="23" t="str">
        <x:v>E9:871A</x:v>
      </x:c>
      <x:c r="J1110" s="23" t="str">
        <x:v>CC 55 67 68 21 01 54 68 61 74 01 69 73 01 74 68 65 C8 66 6C 79 69 6E 67 01 63 61 72 70 65 74 01 61 01 6D 65 72 63 68 61 6E 74 C8 62 72 6F 75 67 68 74 01 68 65 72 65 01 6C 6F 6E 67 01 61 67 6F 21 C5 CC 2E 2E 2E 42 75 74 01 69 74 01 77 61 73 01 75 73 65 6C 65 73 73 2E C8 48 6D 70 68 21 01 41 01 63 61 72 70 65 74 01 77 69 74 68 6F 75 74 C8 61 01 73 6F 75 6C 01 63 61 6E 6E 6F 74 01 66 6C 79 01 6E 6F 77 2E 2E 2E C5 CC 2E 2E 2E 2E 2E 2E 2E 2E 2E 2E 2E 2E 2E 2E 2E 2E C5 CC 4F 66 01 63 6F 75 72 73 65 21 01 49 66 01 49 01 6D 79 73 65 6C 66 C8 62 65 63 61 6D 65 01 74 68 65 01 73 6F 75 6C 01 6F 66 01 74 68 61 74 01 63 61 72 70 65 74 2E 2E 2E 21 C5 CC 4F 01 61 6C 6D 69 67 68 74 79 01 47 6F 64 21 CD 01 47 72 61 6E 74 C8 74 68 65 01 77 69 73 68 01 49 01 68 61 76 65 01 63 61 72 72 69 65 64 C8 66 6F 72 01 74 77 6F 01 68 75 6E 64 72 65 64 01 79 65 61 72 73 21 CD C0</x:v>
      </x:c>
      <x:c r="K1110" s="23" t="str">
        <x:v>1CC 012 084 017 014 014 07A 001 01E 039 029 001 01F 01B 015 1C8 029 038 015 001 030 015 01B 025 001 084 023 019 015 028 109 091 084 015 1C8 0D3 03E 022 016 01F 001 156 023 084 02B 084 01B 040 012 01F 03D 07A 1C5 1CC 081 081 081 084 01F 084 015 001 084 01F 031 084 01B 03F 03E 01F 081 081 02B 03D 07A 1C8 01E 03D 024 001 01F 02E 01B 011 028 001 026 018 01F 1C8 084 01B 040 012 01F 03D 03C 001 011 02E 01A 036 081 081 081 081 081 081 1C5 1CC 081 081 081 081 081 081 081 081 081 081 081 081 081 081 1C5 1CC 081 081 081 01E 012 015 03E 07A 081 081 081 081 081 1C8 03B 01F 01B 084 01B 01B 03D 084 015 001 01E 028 001 084 01B 040 012 01F 03D 028 1C8 01F 02E 01B 011 025 001 024 039 084 029 081 081 081 07A 1C5 1CC 014 014 1CD 001 145 14C 024 038 001 0DC 035 07A 1CD 1C8 004 002 002 0CA 028 001 03B 084 015 001 10F 011 03C 1C8 011 02E 001 015 024 013 01F 02E 013 07A 1C0</x:v>
      </x:c>
    </x:row>
    <x:row r="1111">
      <x:c r="A1111" s="22" t="str">
        <x:f>"04"</x:f>
        <x:v>04</x:v>
      </x:c>
      <x:c r="B1111" s="22" t="str">
        <x:f>"55"</x:f>
        <x:v>55</x:v>
      </x:c>
      <x:c r="C1111" s="22" t="str">
        <x:f>"0x0455"</x:f>
        <x:v>0x0455</x:v>
      </x:c>
      <x:c r="D1111" s="21" t="str">
        <x:v>&lt;SPEAKER&gt;「さあ わたしと 空をとび
バロンロックへ 行こうではないか!</x:v>
      </x:c>
      <x:c r="E1111" s="19" t="str">
        <x:v>&lt;SPEAKER&gt;Come! Fly with
me to Baron Rock!</x:v>
      </x:c>
      <x:c r="F1111" s="20" t="str"/>
      <x:c r="G1111" s="20" t="str"/>
      <x:c r="H1111" s="23" t="str">
        <x:v>SPEAKER NEWLINE END</x:v>
      </x:c>
      <x:c r="I1111" s="23" t="str">
        <x:v>E9:8839</x:v>
      </x:c>
      <x:c r="J1111" s="23" t="str">
        <x:v>CC 43 6F 6D 65 21 01 46 6C 79 01 77 69 74 68 C8 6D 65 01 74 6F 01 42 61 72 6F 6E 01 52 6F 63 6B 21 C0</x:v>
      </x:c>
      <x:c r="K1111" s="23" t="str">
        <x:v>1CC 01A 010 001 03B 01F 01B 023 001 156 03C 023 084 02A 1C8 084 05B 06C 06F 06C 070 049 02C 001 08D 019 012 084 022 029 024 011 015 07A 1C0</x:v>
      </x:c>
    </x:row>
    <x:row r="1112">
      <x:c r="A1112" s="22" t="str">
        <x:f>"04"</x:f>
        <x:v>04</x:v>
      </x:c>
      <x:c r="B1112" s="22" t="str">
        <x:f>"56"</x:f>
        <x:v>56</x:v>
      </x:c>
      <x:c r="C1112" s="22" t="str">
        <x:f>"0x0456"</x:f>
        <x:v>0x0456</x:v>
      </x:c>
      <x:c r="D1112" s="21" t="str">
        <x:v>&lt;SPEAKER&gt;「そこから わたしに
とびのるがよい! さあ おいで!</x:v>
      </x:c>
      <x:c r="E1112" s="19" t="str">
        <x:v>&lt;SPEAKER&gt;Climb aboard me
from there! Come on!</x:v>
      </x:c>
      <x:c r="F1112" s="20" t="str"/>
      <x:c r="G1112" s="20" t="str"/>
      <x:c r="H1112" s="23" t="str">
        <x:v>SPEAKER NEWLINE END</x:v>
      </x:c>
      <x:c r="I1112" s="23" t="str">
        <x:v>E9:885B</x:v>
      </x:c>
      <x:c r="J1112" s="23" t="str">
        <x:v>CC 43 6C 69 6D 62 01 61 62 6F 61 72 64 01 6D 65 C8 66 72 6F 6D 01 74 68 65 72 65 21 01 43 6F 6D 65 01 6F 6E 21 C0</x:v>
      </x:c>
      <x:c r="K1112" s="23" t="str">
        <x:v>1CC 01E 019 015 036 001 03B 01F 01B 025 1C8 023 084 02A 028 038 084 015 035 011 07A 001 01A 010 001 014 011 084 022 07A 1C0</x:v>
      </x:c>
    </x:row>
    <x:row r="1113">
      <x:c r="A1113" s="22" t="str">
        <x:f>"04"</x:f>
        <x:v>04</x:v>
      </x:c>
      <x:c r="B1113" s="22" t="str">
        <x:f>"57"</x:f>
        <x:v>57</x:v>
      </x:c>
      <x:c r="C1113" s="22" t="str">
        <x:f>"0x0457"</x:f>
        <x:v>0x0457</x:v>
      </x:c>
      <x:c r="D1113" s="21" t="str">
        <x:v>&lt;SPEAKER&gt;「なんと よく見れば
なかまが 死んでおるではないか!</x:v>
      </x:c>
      <x:c r="E1113" s="19" t="str">
        <x:v>&lt;SPEAKER&gt;Wait! One of
your companions is dead!</x:v>
      </x:c>
      <x:c r="F1113" s="20" t="str"/>
      <x:c r="G1113" s="20" t="str"/>
      <x:c r="H1113" s="23" t="str">
        <x:v>SPEAKER NEWLINE END</x:v>
      </x:c>
      <x:c r="I1113" s="23" t="str">
        <x:v>E9:8881</x:v>
      </x:c>
      <x:c r="J1113" s="23" t="str">
        <x:v>CC 57 61 69 74 21 01 4F 6E 65 01 6F 66 C8 79 6F 75 72 01 63 6F 6D 70 61 6E 69 6F 6E 73 01 69 73 01 64 65 61 64 21 C0</x:v>
      </x:c>
      <x:c r="K1113" s="23" t="str">
        <x:v>1CC 024 03D 023 001 035 017 090 039 084 029 1C8 024 015 02E 084 015 001 0D6 03D 084 022 014 038 084 022 029 024 011 015 07A 1C0</x:v>
      </x:c>
    </x:row>
    <x:row r="1114">
      <x:c r="A1114" s="22" t="str">
        <x:f>"04"</x:f>
        <x:v>04</x:v>
      </x:c>
      <x:c r="B1114" s="22" t="str">
        <x:f>"58"</x:f>
        <x:v>58</x:v>
      </x:c>
      <x:c r="C1114" s="22" t="str">
        <x:f>"0x0458"</x:f>
        <x:v>0x0458</x:v>
      </x:c>
      <x:c r="D1114" s="21" t="str">
        <x:v>&lt;SPEAKER&gt;「むう! さすがに 3人も
乗ると すこし おもいな!&lt;WAIT&gt;&lt;SPEAKER&gt;「よし いきなり バロンロックに
行かないで すこし 島のようすを
空から 見てから 行くとしよう!</x:v>
      </x:c>
      <x:c r="E1114" s="19" t="str">
        <x:v>&lt;SPEAKER&gt;Hmm! Three
riders are a little heavy!&lt;WAIT&gt;&lt;SPEAKER&gt;Before heading straight
to Baron Rock, let us survey
the island from the air.</x:v>
      </x:c>
      <x:c r="F1114" s="20" t="str"/>
      <x:c r="G1114" s="20" t="str"/>
      <x:c r="H1114" s="23" t="str">
        <x:v>SPEAKER NEWLINE WAIT SPEAKER NEWLINE NEWLINE END</x:v>
      </x:c>
      <x:c r="I1114" s="23" t="str">
        <x:v>E9:88A8</x:v>
      </x:c>
      <x:c r="J1114" s="23" t="str">
        <x:v>CC 48 6D 6D 21 01 54 68 72 65 65 C8 72 69 64 65 72 73 01 61 72 65 01 61 01 6C 69 74 74 6C 65 01 68 65 61 76 79 21 C5 CC 42 65 66 6F 72 65 01 68 65 61 64 69 6E 67 01 73 74 72 61 69 67 68 74 C8 74 6F 01 42 61 72 6F 6E 01 52 6F 63 6B 2C 01 6C 65 74 01 75 73 01 73 75 72 76 65 79 C8 74 68 65 01 69 73 6C 61 6E 64 01 66 72 6F 6D 01 74 68 65 01 61 69 72 2E C0</x:v>
      </x:c>
      <x:c r="K1114" s="23" t="str">
        <x:v>1CC 030 012 07A 001 01A 01C 084 015 025 001 005 091 032 1C8 13F 038 023 001 01C 019 01B 001 014 032 011 024 07A 1C5 1CC 035 01B 001 011 016 024 037 001 084 05B 06C 06F 06C 070 049 025 1C8 08D 015 024 011 084 022 001 01C 019 01B 001 08A 028 035 012 01C 03C 1C8 156 015 036 001 090 022 015 036 001 08D 017 023 01B 035 012 07A 1C0</x:v>
      </x:c>
    </x:row>
    <x:row r="1115">
      <x:c r="A1115" s="22" t="str">
        <x:f>"04"</x:f>
        <x:v>04</x:v>
      </x:c>
      <x:c r="B1115" s="22" t="str">
        <x:f>"59"</x:f>
        <x:v>59</x:v>
      </x:c>
      <x:c r="C1115" s="22" t="str">
        <x:f>"0x0459"</x:f>
        <x:v>0x0459</x:v>
      </x:c>
      <x:c r="D1115" s="21" t="str">
        <x:v>&lt;SPEAKER&gt;「ここから さきは 海から
ふきあがる 強い風で 進めない
ここで おりるぞ!</x:v>
      </x:c>
      <x:c r="E1115" s="19" t="str">
        <x:v>&lt;SPEAKER&gt;The wind rising from
the sea is too strong to fly
any farther. We will land here!</x:v>
      </x:c>
      <x:c r="F1115" s="20" t="str"/>
      <x:c r="G1115" s="20" t="str"/>
      <x:c r="H1115" s="23" t="str">
        <x:v>SPEAKER NEWLINE NEWLINE END</x:v>
      </x:c>
      <x:c r="I1115" s="23" t="str">
        <x:v>E9:891E</x:v>
      </x:c>
      <x:c r="J1115" s="23" t="str">
        <x:v>CC 54 68 65 01 77 69 6E 64 01 72 69 73 69 6E 67 01 66 72 6F 6D C8 74 68 65 01 73 65 61 01 69 73 01 74 6F 6F 01 73 74 72 6F 6E 67 01 74 6F 01 66 6C 79 C8 61 6E 79 01 66 61 72 74 68 65 72 2E 01 57 65 01 77 69 6C 6C 01 6C 61 6E 64 01 68 65 72 65 21 C0</x:v>
      </x:c>
      <x:c r="K1115" s="23" t="str">
        <x:v>1CC 019 019 015 036 001 01A 016 029 001 162 015 036 1C8 02B 016 010 084 015 038 001 138 011 168 084 022 001 15D 031 024 011 1C8 019 019 084 022 001 014 037 038 084 01E 07A 1C0</x:v>
      </x:c>
    </x:row>
    <x:row r="1116">
      <x:c r="A1116" s="22" t="str">
        <x:f>"04"</x:f>
        <x:v>04</x:v>
      </x:c>
      <x:c r="B1116" s="22" t="str">
        <x:f>"5A"</x:f>
        <x:v>5A</x:v>
      </x:c>
      <x:c r="C1116" s="22" t="str">
        <x:f>"0x045A"</x:f>
        <x:v>0x045A</x:v>
      </x:c>
      <x:c r="D1116" s="21" t="str">
        <x:v>&lt;SPEAKER&gt;「バロンロックは 謎だらけだ!
キングバロンが あらゆる 仕掛けを
実験した ところらしい・・・&lt;WAIT&gt;&lt;SPEAKER&gt;「わたしは やっと この世から
すがたを けすことができる・・・&lt;WAIT&gt;&lt;SPEAKER&gt;「塔にいる わが しもべたちも
やすらかに ねむれるだろう・・・&lt;WAIT&gt;&lt;SPEAKER&gt;「ありがとう お嬢さん!
くれぐれも 気をつけてな・・・</x:v>
      </x:c>
      <x:c r="E1116" s="19" t="str">
        <x:v>&lt;SPEAKER&gt;Baron Rock is full of
mysteries. King Baron tested
every sort of contraption there...&lt;WAIT&gt;&lt;SPEAKER&gt;At last I can vanish
from this world in peace...&lt;WAIT&gt;&lt;SPEAKER&gt;My servants in the
tower may finally rest as well...&lt;WAIT&gt;&lt;SPEAKER&gt;Thank you, young
lady. Please be very careful...</x:v>
      </x:c>
      <x:c r="F1116" s="20" t="str"/>
      <x:c r="G1116" s="20" t="str"/>
      <x:c r="H1116" s="23" t="str">
        <x:v>SPEAKER NEWLINE NEWLINE WAIT SPEAKER NEWLINE WAIT SPEAKER NEWLINE WAIT SPEAKER NEWLINE END</x:v>
      </x:c>
      <x:c r="I1116" s="23" t="str">
        <x:v>E9:8971</x:v>
      </x:c>
      <x:c r="J1116" s="23" t="str">
        <x:v>CC 42 61 72 6F 6E 01 52 6F 63 6B 01 69 73 01 66 75 6C 6C 01 6F 66 C8 6D 79 73 74 65 72 69 65 73 2E 01 4B 69 6E 67 01 42 61 72 6F 6E 01 74 65 73 74 65 64 C8 65 76 65 72 79 01 73 6F 72 74 01 6F 66 01 63 6F 6E 74 72 61 70 74 69 6F 6E 01 74 68 65 72 65 2E 2E 2E C5 CC 41 74 01 6C 61 73 74 01 49 01 63 61 6E 01 76 61 6E 69 73 68 C8 66 72 6F 6D 01 74 68 69 73 01 77 6F 72 6C 64 01 69 6E 01 70 65 61 63 65 2E 2E 2E C5 CC 4D 79 01 73 65 72 76 61 6E 74 73 01 69 6E 01 74 68 65 C8 74 6F 77 65 72 01 6D 61 79 01 66 69 6E 61 6C 6C 79 01 72 65 73 74 01 61 73 01 77 65 6C 6C 2E 2E 2E C5 CC 54 68 61 6E 6B 01 79 6F 75 2C 01 79 6F 75 6E 67 C8 6C 61 64 79 2E 01 50 6C 65 61 73 65 01 62 65 01 76 65 72 79 01 63 61 72 65 66 75 6C 2E 2E 2E C0</x:v>
      </x:c>
      <x:c r="K1116" s="23" t="str">
        <x:v>1CC 084 05B 06C 06F 06C 070 049 029 001 0CF 084 01F 036 018 084 01F 07A 1C8 048 06F 084 049 084 05B 06C 06F 084 015 001 010 036 034 038 001 18F 195 018 03C 1C8 0DD 0F3 01B 01F 001 023 019 03A 036 01B 011 081 081 081 1C5 1CC 03B 01F 01B 029 001 033 03E 023 001 019 028 0A9 015 036 1C8 01C 084 015 01F 03C 001 018 01C 019 023 084 015 084 022 016 038 081 081 081 1C5 1CC 154 025 011 038 001 03B 084 015 001 01B 032 084 02C 01F 020 032 1C8 033 01C 036 015 025 001 027 030 039 038 084 01F 03A 012 081 081 081 1C5 1CC 010 037 084 015 023 012 001 014 0D8 01A 03D 07A 1C8 017 039 084 017 039 032 001 099 03C 021 018 022 024 081 081 081 1C0</x:v>
      </x:c>
    </x:row>
    <x:row r="1117">
      <x:c r="A1117" s="22" t="str">
        <x:f>"04"</x:f>
        <x:v>04</x:v>
      </x:c>
      <x:c r="B1117" s="22" t="str">
        <x:f>"5B"</x:f>
        <x:v>5B</x:v>
      </x:c>
      <x:c r="C1117" s="22" t="str">
        <x:f>"0x045B"</x:f>
        <x:v>0x045B</x:v>
      </x:c>
      <x:c r="D1117" s="21" t="str">
        <x:v>&lt;SPEAKER&gt;「お嬢さま このがけは
どうかんがえても なまみでは
のぼれそうに ないですぞ!&lt;WAIT&gt;&lt;SPEAKER&gt;「ここは いったん 町に
もどって 島の人たちに
ちえを かしてもらいましょうぞ!</x:v>
      </x:c>
      <x:c r="E1117" s="19" t="str">
        <x:v>&lt;SPEAKER&gt;My lady, there
is no way we can climb
this cliff as we are!&lt;WAIT&gt;&lt;SPEAKER&gt;Let us return to town
and ask the islanders for ideas.</x:v>
      </x:c>
      <x:c r="F1117" s="20" t="str"/>
      <x:c r="G1117" s="20" t="str"/>
      <x:c r="H1117" s="23" t="str">
        <x:v>SPEAKER NEWLINE NEWLINE WAIT SPEAKER NEWLINE END</x:v>
      </x:c>
      <x:c r="I1117" s="23" t="str">
        <x:v>E9:8A62</x:v>
      </x:c>
      <x:c r="J1117" s="23" t="str">
        <x:v>CC 4D 79 01 6C 61 64 79 2C 01 74 68 65 72 65 C8 69 73 01 6E 6F 01 77 61 79 01 77 65 01 63 61 6E 01 63 6C 69 6D 62 C8 74 68 69 73 01 63 6C 69 66 66 01 61 73 01 77 65 01 61 72 65 21 C5 CC 4C 65 74 01 75 73 01 72 65 74 75 72 6E 01 74 6F 01 74 6F 77 6E C8 61 6E 64 01 61 73 6B 01 74 68 65 01 69 73 6C 61 6E 64 65 72 73 01 66 6F 72 01 69 64 65 61 73 2E C0</x:v>
      </x:c>
      <x:c r="K1117" s="23" t="str">
        <x:v>1CC 014 0D8 01A 02E 001 019 028 084 015 018 029 1C8 084 023 012 015 03D 084 015 013 022 032 001 024 02E 02F 084 022 029 1C8 028 084 02D 039 01E 012 025 001 024 011 084 022 01C 084 01E 07A 1C5 1CC 019 019 029 001 011 03E 01F 03D 001 0C9 025 1C8 032 084 023 03E 022 001 08A 028 091 01F 020 025 1C8 020 013 03C 001 015 01B 022 032 036 011 02E 01B 041 012 084 01E 07A 1C0</x:v>
      </x:c>
    </x:row>
    <x:row r="1118">
      <x:c r="A1118" s="22" t="str">
        <x:f>"04"</x:f>
        <x:v>04</x:v>
      </x:c>
      <x:c r="B1118" s="22" t="str">
        <x:f>"5C"</x:f>
        <x:v>5C</x:v>
      </x:c>
      <x:c r="C1118" s="22" t="str">
        <x:f>"0x045C"</x:f>
        <x:v>0x045C</x:v>
      </x:c>
      <x:c r="D1118" s="21" t="str">
        <x:v>&lt;CLEAR&gt;
キングバロン
古代名 &lt;ICON_170&gt;&lt;ICON_171&gt;&lt;ICON_172&gt;&lt;ICON_173&gt;&lt;ICON_1AF&gt;&lt;ICON_174&gt;&lt;WAIT&gt;
&lt;CLEAR&gt;
古代の王に つかえた 神官&lt;WAIT&gt;
&lt;CLEAR&gt;
悪魔と 人間の あいだに
生まれた と つたえられている&lt;WAIT&gt;
&lt;CLEAR&gt;
神官でありながら 魔物の
生体実験などを くりかえしたため
ときの 王に 島流しに された&lt;WAIT&gt;
&lt;CLEAR&gt;
魔物の 体を 大きくする
装置を 作ったとされているが
かくにんは されていない・・・</x:v>
      </x:c>
      <x:c r="E1118" s="19" t="str">
        <x:v>&lt;CLEAR&gt;KING BARON Ancient
name: KING BARON&lt;WAIT&gt;&lt;CLEAR&gt;A priest who served
an ancient king.&lt;WAIT&gt;&lt;CLEAR&gt;Tradition says he was born
of a demon and a human.&lt;WAIT&gt;&lt;CLEAR&gt;Though a priest, he performed
experiments on living monsters
and was exiled to this island.&lt;WAIT&gt;&lt;CLEAR&gt;He is said to have built a
device that enlarged monsters, but
this has never been confirmed...</x:v>
      </x:c>
      <x:c r="F1118" s="20" t="str"/>
      <x:c r="G1118" s="20" t="str"/>
      <x:c r="H1118" s="23" t="str">
        <x:v>CLEAR NEWLINE WAIT CLEAR NEWLINE WAIT CLEAR NEWLINE WAIT CLEAR NEWLINE NEWLINE WAIT CLEAR NEWLINE NEWLINE END</x:v>
      </x:c>
      <x:c r="I1118" s="23" t="str">
        <x:v>E9:8AD7</x:v>
      </x:c>
      <x:c r="J1118" s="23" t="str">
        <x:v>D0 4B 49 4E 47 01 42 41 52 4F 4E 01 41 6E 63 69 65 6E 74 C8 6E 61 6D 65 3A 01 4B 49 4E 47 01 42 41 52 4F 4E C5 D0 41 01 70 72 69 65 73 74 01 77 68 6F 01 73 65 72 76 65 64 C8 61 6E 01 61 6E 63 69 65 6E 74 01 6B 69 6E 67 2E C5 D0 54 72 61 64 69 74 69 6F 6E 01 73 61 79 73 01 68 65 01 77 61 73 01 62 6F 72 6E C8 6F 66 01 61 01 64 65 6D 6F 6E 01 61 6E 64 01 61 01 68 75 6D 61 6E 2E C5 D0 54 68 6F 75 67 68 01 61 01 70 72 69 65 73 74 2C 01 68 65 01 70 65 72 66 6F 72 6D 65 64 C8 65 78 70 65 72 69 6D 65 6E 74 73 01 6F 6E 01 6C 69 76 69 6E 67 01 6D 6F 6E 73 74 65 72 73 C8 61 6E 64 01 77 61 73 01 65 78 69 6C 65 64 01 74 6F 01 74 68 69 73 01 69 73 6C 61 6E 64 2E C5 D0 48 65 01 69 73 01 73 61 69 64 01 74 6F 01 68 61 76 65 01 62 75 69 6C 74 01 61 C8 64 65 76 69 63 65 01 74 68 61 74 01 65 6E 6C 61 72 67 65 64 01 6D 6F 6E 73 74 65 72 73 2C 01 62 75 74 C8 74 68 69 73 01 68 61 73 01 6E 65 76 65 72 01 62 65 65 6E 01 63 6F 6E 66 69 72 6D 65 64 2E 2E 2E C0</x:v>
      </x:c>
      <x:c r="K1118" s="23" t="str">
        <x:v>1D0 048 06F 084 049 084 05B 06C 06F 1C8 096 09F 0CD 001 170 171 172 173 1AF 174 1C5 1D0 096 09F 028 155 025 001 021 015 013 01F 001 0DC 136 1C5 1D0 0B5 09A 023 001 091 0E3 028 001 010 011 084 01F 025 1C8 09B 02E 039 01F 001 023 001 021 01F 013 036 039 022 011 038 1C5 1D0 0DC 136 084 022 010 037 024 084 015 036 001 09A 08B 028 1C8 09B 0F0 0DD 0F3 024 084 023 03C 001 017 037 015 013 01B 01F 01F 031 1C8 023 016 028 001 155 025 001 08A 198 01B 025 001 01A 039 01F 1C5 1D0 09A 08B 028 001 0F0 03C 001 0AC 016 017 01C 038 1C8 0C2 19F 03C 001 0F6 03E 01F 023 01A 039 022 011 038 084 015 1C8 015 017 025 03D 029 001 01A 039 022 011 024 011 081 081 081 1C0</x:v>
      </x:c>
    </x:row>
    <x:row r="1119">
      <x:c r="A1119" s="22" t="str">
        <x:f>"04"</x:f>
        <x:v>04</x:v>
      </x:c>
      <x:c r="B1119" s="22" t="str">
        <x:f>"5D"</x:f>
        <x:v>5D</x:v>
      </x:c>
      <x:c r="C1119" s="22" t="str">
        <x:f>"0x045D"</x:f>
        <x:v>0x045D</x:v>
      </x:c>
      <x:c r="D1119" s="21" t="str">
        <x:v>&lt;SPEAKER&gt;「おい! 上に 誰か いるぞ!</x:v>
      </x:c>
      <x:c r="E1119" s="19" t="str">
        <x:v>&lt;SPEAKER&gt;Hey! Someone
is up there!</x:v>
      </x:c>
      <x:c r="F1119" s="20" t="str"/>
      <x:c r="G1119" s="20" t="str"/>
      <x:c r="H1119" s="23" t="str">
        <x:v>SPEAKER NEWLINE END</x:v>
      </x:c>
      <x:c r="I1119" s="23" t="str">
        <x:v>E9:8C13</x:v>
      </x:c>
      <x:c r="J1119" s="23" t="str">
        <x:v>CC 48 65 79 21 01 53 6F 6D 65 6F 6E 65 C8 69 73 01 75 70 01 74 68 65 72 65 21 C0</x:v>
      </x:c>
      <x:c r="K1119" s="23" t="str">
        <x:v>1CC 014 011 07A 001 128 025 001 0FA 015 001 011 038 084 01E 07A 1C0</x:v>
      </x:c>
    </x:row>
    <x:row r="1120">
      <x:c r="A1120" s="22" t="str">
        <x:f>"04"</x:f>
        <x:v>04</x:v>
      </x:c>
      <x:c r="B1120" s="22" t="str">
        <x:f>"5E"</x:f>
        <x:v>5E</x:v>
      </x:c>
      <x:c r="C1120" s="22" t="str">
        <x:f>"0x045E"</x:f>
        <x:v>0x045E</x:v>
      </x:c>
      <x:c r="D1120" s="21" t="str">
        <x:v>&lt;SPEAKER&gt;「人間だ! 人間だ!
きっと ジェイビーさまの いってた
侵入者にちがいない!</x:v>
      </x:c>
      <x:c r="E1120" s="19" t="str">
        <x:v>&lt;SPEAKER&gt;Humans! Humans!
They must be the intruders
Lord J.B. warned us about!</x:v>
      </x:c>
      <x:c r="F1120" s="20" t="str"/>
      <x:c r="G1120" s="20" t="str"/>
      <x:c r="H1120" s="23" t="str">
        <x:v>SPEAKER NEWLINE NEWLINE END</x:v>
      </x:c>
      <x:c r="I1120" s="23" t="str">
        <x:v>E9:8C2E</x:v>
      </x:c>
      <x:c r="J1120" s="23" t="str">
        <x:v>CC 48 75 6D 61 6E 73 21 01 48 75 6D 61 6E 73 21 C8 54 68 65 79 01 6D 75 73 74 01 62 65 01 74 68 65 01 69 6E 74 72 75 64 65 72 73 C8 4C 6F 72 64 01 4A 2E 42 2E 01 77 61 72 6E 65 64 01 75 73 01 61 62 6F 75 74 21 C0</x:v>
      </x:c>
      <x:c r="K1120" s="23" t="str">
        <x:v>1CC 091 0E3 084 01F 07A 001 091 0E3 084 01F 07A 1C8 016 03E 023 001 084 04D 076 043 084 05C 078 01A 02E 028 001 011 03E 022 01F 1C8 14D 08E 0A7 025 020 084 015 011 024 011 07A 1C0</x:v>
      </x:c>
    </x:row>
    <x:row r="1121">
      <x:c r="A1121" s="22" t="str">
        <x:f>"04"</x:f>
        <x:v>04</x:v>
      </x:c>
      <x:c r="B1121" s="22" t="str">
        <x:f>"5F"</x:f>
        <x:v>5F</x:v>
      </x:c>
      <x:c r="C1121" s="22" t="str">
        <x:f>"0x045F"</x:f>
        <x:v>0x045F</x:v>
      </x:c>
      <x:c r="D1121" s="21" t="str">
        <x:v>&lt;SPEAKER&gt;「よーし おれたちが やっつけて
ジェイビーさまに ほめてもらおう</x:v>
      </x:c>
      <x:c r="E1121" s="19" t="str">
        <x:v>&lt;SPEAKER&gt;All right! Let
us beat them and get
praised by Lord J.B.!</x:v>
      </x:c>
      <x:c r="F1121" s="20" t="str"/>
      <x:c r="G1121" s="20" t="str"/>
      <x:c r="H1121" s="23" t="str">
        <x:v>SPEAKER NEWLINE NEWLINE END</x:v>
      </x:c>
      <x:c r="I1121" s="23" t="str">
        <x:v>E9:8C75</x:v>
      </x:c>
      <x:c r="J1121" s="23" t="str">
        <x:v>CC 41 6C 6C 01 72 69 67 68 74 21 01 4C 65 74 C8 75 73 01 62 65 61 74 01 74 68 65 6D 01 61 6E 64 01 67 65 74 C8 70 72 61 69 73 65 64 01 62 79 01 4C 6F 72 64 01 4A 2E 42 2E 21 C0</x:v>
      </x:c>
      <x:c r="K1121" s="23" t="str">
        <x:v>1CC 035 078 01B 001 014 039 01F 020 084 015 001 033 03E 021 018 022 1C8 084 04D 076 043 084 05C 078 01A 02E 025 001 02D 031 022 032 036 014 012 1C0</x:v>
      </x:c>
    </x:row>
    <x:row r="1122">
      <x:c r="A1122" s="22" t="str">
        <x:f>"04"</x:f>
        <x:v>04</x:v>
      </x:c>
      <x:c r="B1122" s="22" t="str">
        <x:f>"60"</x:f>
        <x:v>60</x:v>
      </x:c>
      <x:c r="C1122" s="22" t="str">
        <x:f>"0x0460"</x:f>
        <x:v>0x0460</x:v>
      </x:c>
      <x:c r="D1122" s="21" t="str">
        <x:v>&lt;SPEAKER&gt;「じゃあ まずは おれから
行ってくるぜ! みんな!
見ててくれよ!</x:v>
      </x:c>
      <x:c r="E1122" s="19" t="str">
        <x:v>&lt;SPEAKER&gt;I will go first!
Everybody, watch me!</x:v>
      </x:c>
      <x:c r="F1122" s="20" t="str"/>
      <x:c r="G1122" s="20" t="str"/>
      <x:c r="H1122" s="23" t="str">
        <x:v>SPEAKER NEWLINE END</x:v>
      </x:c>
      <x:c r="I1122" s="23" t="str">
        <x:v>E9:8CB0</x:v>
      </x:c>
      <x:c r="J1122" s="23" t="str">
        <x:v>CC 49 01 77 69 6C 6C 01 67 6F 01 66 69 72 73 74 21 C8 45 76 65 72 79 62 6F 64 79 2C 01 77 61 74 63 68 01 6D 65 21 C0</x:v>
      </x:c>
      <x:c r="K1122" s="23" t="str">
        <x:v>1CC 084 01B 03F 010 001 02E 084 01C 029 001 014 039 015 036 1C8 08D 03E 022 017 038 084 01D 07A 001 02F 03D 024 07A 1C8 090 022 022 017 039 035 07A 1C0</x:v>
      </x:c>
    </x:row>
    <x:row r="1123">
      <x:c r="A1123" s="22" t="str">
        <x:f>"04"</x:f>
        <x:v>04</x:v>
      </x:c>
      <x:c r="B1123" s="22" t="str">
        <x:f>"61"</x:f>
        <x:v>61</x:v>
      </x:c>
      <x:c r="C1123" s="22" t="str">
        <x:f>"0x0461"</x:f>
        <x:v>0x0461</x:v>
      </x:c>
      <x:c r="D1123" s="21" t="str">
        <x:v>&lt;SPEAKER&gt;「くそー おれの ともだちを
よくも やっつけて くれたなー</x:v>
      </x:c>
      <x:c r="E1123" s="19" t="str">
        <x:v>&lt;SPEAKER&gt;Damn you!
You killed my friend!</x:v>
      </x:c>
      <x:c r="F1123" s="20" t="str"/>
      <x:c r="G1123" s="20" t="str"/>
      <x:c r="H1123" s="23" t="str">
        <x:v>SPEAKER NEWLINE END</x:v>
      </x:c>
      <x:c r="I1123" s="23" t="str">
        <x:v>E9:8CD7</x:v>
      </x:c>
      <x:c r="J1123" s="23" t="str">
        <x:v>CC 44 61 6D 6E 01 79 6F 75 21 C8 59 6F 75 01 6B 69 6C 6C 65 64 01 6D 79 01 66 72 69 65 6E 64 21 C0</x:v>
      </x:c>
      <x:c r="K1123" s="23" t="str">
        <x:v>1CC 017 01E 078 001 014 039 028 001 023 032 084 01F 020 03C 1C8 035 017 032 001 033 03E 021 018 022 001 017 039 01F 024 078 1C0</x:v>
      </x:c>
    </x:row>
    <x:row r="1124">
      <x:c r="A1124" s="22" t="str">
        <x:f>"04"</x:f>
        <x:v>04</x:v>
      </x:c>
      <x:c r="B1124" s="22" t="str">
        <x:f>"62"</x:f>
        <x:v>62</x:v>
      </x:c>
      <x:c r="C1124" s="22" t="str">
        <x:f>"0x0462"</x:f>
        <x:v>0x0462</x:v>
      </x:c>
      <x:c r="D1124" s="21" t="str">
        <x:v>&lt;SPEAKER&gt;「うわー 人間のくせに
やたらと 強いぞ こいつら!
しようがない・・・ にげろー</x:v>
      </x:c>
      <x:c r="E1124" s="19" t="str">
        <x:v>&lt;SPEAKER&gt;Whoa! They are only
humans, but they are crazy
strong! No choice... Run!</x:v>
      </x:c>
      <x:c r="F1124" s="20" t="str"/>
      <x:c r="G1124" s="20" t="str"/>
      <x:c r="H1124" s="23" t="str">
        <x:v>SPEAKER NEWLINE NEWLINE END</x:v>
      </x:c>
      <x:c r="I1124" s="23" t="str">
        <x:v>E9:8CF8</x:v>
      </x:c>
      <x:c r="J1124" s="23" t="str">
        <x:v>CC 57 68 6F 61 21 01 54 68 65 79 01 61 72 65 01 6F 6E 6C 79 C8 68 75 6D 61 6E 73 2C 01 62 75 74 01 74 68 65 79 01 61 72 65 01 63 72 61 7A 79 C8 73 74 72 6F 6E 67 21 01 4E 6F 01 63 68 6F 69 63 65 2E 2E 2E 01 52 75 6E 21 C0</x:v>
      </x:c>
      <x:c r="K1124" s="23" t="str">
        <x:v>1CC 012 03B 078 001 091 0E3 028 017 01D 025 1C8 033 01F 036 023 001 138 011 084 01E 001 019 011 021 036 07A 1C8 01B 035 012 084 015 024 011 081 081 081 001 025 084 018 03A 078 1C0</x:v>
      </x:c>
    </x:row>
    <x:row r="1125">
      <x:c r="A1125" s="22" t="str">
        <x:f>"04"</x:f>
        <x:v>04</x:v>
      </x:c>
      <x:c r="B1125" s="22" t="str">
        <x:f>"63"</x:f>
        <x:v>63</x:v>
      </x:c>
      <x:c r="C1125" s="22" t="str">
        <x:f>"0x0463"</x:f>
        <x:v>0x0463</x:v>
      </x:c>
      <x:c r="D1125" s="21" t="str">
        <x:v>&lt;SPEAKER&gt;「ジェイビーさまの じゃまを
するやつは ゆるさないぞ!&lt;WAIT&gt;&lt;SPEAKER&gt;「こおりづけの おまえたちなんか
こなごなに してやる!</x:v>
      </x:c>
      <x:c r="E1125" s="19" t="str">
        <x:v>&lt;SPEAKER&gt;No one
interferes with Lord J.B.!&lt;WAIT&gt;&lt;SPEAKER&gt;I will smash your
frozen bodies into tiny pieces!</x:v>
      </x:c>
      <x:c r="F1125" s="20" t="str"/>
      <x:c r="G1125" s="20" t="str"/>
      <x:c r="H1125" s="23" t="str">
        <x:v>SPEAKER NEWLINE WAIT SPEAKER NEWLINE END</x:v>
      </x:c>
      <x:c r="I1125" s="23" t="str">
        <x:v>E9:8D42</x:v>
      </x:c>
      <x:c r="J1125" s="23" t="str">
        <x:v>CC 4E 6F 01 6F 6E 65 C8 69 6E 74 65 72 66 65 72 65 73 01 77 69 74 68 01 4C 6F 72 64 01 4A 2E 42 2E 21 C5 CC 49 01 77 69 6C 6C 01 73 6D 61 73 68 01 79 6F 75 72 C8 66 72 6F 7A 65 6E 01 62 6F 64 69 65 73 01 69 6E 74 6F 01 74 69 6E 79 01 70 69 65 63 65 73 21 C0</x:v>
      </x:c>
      <x:c r="K1125" s="23" t="str">
        <x:v>1CC 084 04D 076 043 084 05C 078 01A 02E 028 001 084 01B 03F 02E 03C 1C8 01C 038 033 021 029 001 034 038 01A 024 011 084 01E 07A 1C5 1CC 019 014 037 084 021 018 028 001 014 02E 013 01F 020 024 03D 015 1C8 019 024 084 019 024 025 001 01B 022 033 038 07A 1C0</x:v>
      </x:c>
    </x:row>
    <x:row r="1126">
      <x:c r="A1126" s="22" t="str">
        <x:f>"04"</x:f>
        <x:v>04</x:v>
      </x:c>
      <x:c r="B1126" s="22" t="str">
        <x:f>"64"</x:f>
        <x:v>64</x:v>
      </x:c>
      <x:c r="C1126" s="22" t="str">
        <x:f>"0x0464"</x:f>
        <x:v>0x0464</x:v>
      </x:c>
      <x:c r="D1126" s="21" t="str">
        <x:v>&lt;CLEAR&gt;
レディの体力が回復した</x:v>
      </x:c>
      <x:c r="E1126" s="19" t="str">
        <x:v>&lt;CLEAR&gt;Lady's HP was restored.</x:v>
      </x:c>
      <x:c r="F1126" s="20" t="str"/>
      <x:c r="G1126" s="20" t="str"/>
      <x:c r="H1126" s="23" t="str">
        <x:v>CLEAR END</x:v>
      </x:c>
      <x:c r="I1126" s="23" t="str">
        <x:v>E9:8D98</x:v>
      </x:c>
      <x:c r="J1126" s="23" t="str">
        <x:v>D0 4C 61 64 79 27 73 01 48 50 01 77 61 73 01 72 65 73 74 6F 72 65 64 2E C0</x:v>
      </x:c>
      <x:c r="K1126" s="23" t="str">
        <x:v>1D0 06B 084 054 075 028 0F0 107 084 015 169 18B 01B 01F 1C0</x:v>
      </x:c>
    </x:row>
    <x:row r="1127">
      <x:c r="A1127" s="22" t="str">
        <x:f>"04"</x:f>
        <x:v>04</x:v>
      </x:c>
      <x:c r="B1127" s="22" t="str">
        <x:f>"65"</x:f>
        <x:v>65</x:v>
      </x:c>
      <x:c r="C1127" s="22" t="str">
        <x:f>"0x0465"</x:f>
        <x:v>0x0465</x:v>
      </x:c>
      <x:c r="D1127" s="21" t="str">
        <x:v>&lt;CLEAR&gt;
レディたちの体力が回復した</x:v>
      </x:c>
      <x:c r="E1127" s="19" t="str">
        <x:v>&lt;CLEAR&gt;The party's HP was restored.</x:v>
      </x:c>
      <x:c r="F1127" s="20" t="str"/>
      <x:c r="G1127" s="20" t="str"/>
      <x:c r="H1127" s="23" t="str">
        <x:v>CLEAR END</x:v>
      </x:c>
      <x:c r="I1127" s="23" t="str">
        <x:v>E9:8DB1</x:v>
      </x:c>
      <x:c r="J1127" s="23" t="str">
        <x:v>D0 54 68 65 01 70 61 72 74 79 27 73 01 48 50 01 77 61 73 01 72 65 73 74 6F 72 65 64 2E C0</x:v>
      </x:c>
      <x:c r="K1127" s="23" t="str">
        <x:v>1D0 06B 084 054 075 01F 020 028 0F0 107 084 015 169 18B 01B 01F 1C0</x:v>
      </x:c>
    </x:row>
    <x:row r="1128">
      <x:c r="A1128" s="22" t="str">
        <x:f>"04"</x:f>
        <x:v>04</x:v>
      </x:c>
      <x:c r="B1128" s="22" t="str">
        <x:f>"66"</x:f>
        <x:v>66</x:v>
      </x:c>
      <x:c r="C1128" s="22" t="str">
        <x:f>"0x0466"</x:f>
        <x:v>0x0466</x:v>
      </x:c>
      <x:c r="D1128" s="21" t="str">
        <x:v>&lt;CLEAR&gt;
ここでは ほのおが でない</x:v>
      </x:c>
      <x:c r="E1128" s="19" t="str">
        <x:v>&lt;CLEAR&gt;Flames will not come out here.</x:v>
      </x:c>
      <x:c r="F1128" s="20" t="str"/>
      <x:c r="G1128" s="20" t="str"/>
      <x:c r="H1128" s="23" t="str">
        <x:v>CLEAR END</x:v>
      </x:c>
      <x:c r="I1128" s="23" t="str">
        <x:v>E9:8DCF</x:v>
      </x:c>
      <x:c r="J1128" s="23" t="str">
        <x:v>D0 46 6C 61 6D 65 73 01 77 69 6C 6C 01 6E 6F 74 01 63 6F 6D 65 01 6F 75 74 01 68 65 72 65 2E C0</x:v>
      </x:c>
      <x:c r="K1128" s="23" t="str">
        <x:v>1D0 019 019 084 022 029 001 02D 028 014 084 015 001 084 022 024 011 1C0</x:v>
      </x:c>
    </x:row>
    <x:row r="1129">
      <x:c r="A1129" s="22" t="str">
        <x:f>"04"</x:f>
        <x:v>04</x:v>
      </x:c>
      <x:c r="B1129" s="22" t="str">
        <x:f>"67"</x:f>
        <x:v>67</x:v>
      </x:c>
      <x:c r="C1129" s="22" t="str">
        <x:f>"0x0467"</x:f>
        <x:v>0x0467</x:v>
      </x:c>
      <x:c r="D1129" s="21" t="str">
        <x:v>&lt;CLEAR&gt;
ガスが なくなった</x:v>
      </x:c>
      <x:c r="E1129" s="19" t="str">
        <x:v>&lt;CLEAR&gt;The gas ran out.</x:v>
      </x:c>
      <x:c r="F1129" s="20" t="str"/>
      <x:c r="G1129" s="20" t="str"/>
      <x:c r="H1129" s="23" t="str">
        <x:v>CLEAR END</x:v>
      </x:c>
      <x:c r="I1129" s="23" t="str">
        <x:v>E9:8DEF</x:v>
      </x:c>
      <x:c r="J1129" s="23" t="str">
        <x:v>D0 54 68 65 01 67 61 73 01 72 61 6E 01 6F 75 74 2E C0</x:v>
      </x:c>
      <x:c r="K1129" s="23" t="str">
        <x:v>1D0 084 047 04E 084 015 001 024 017 024 03E 01F 1C0</x:v>
      </x:c>
    </x:row>
    <x:row r="1130">
      <x:c r="A1130" s="22" t="str">
        <x:f>"04"</x:f>
        <x:v>04</x:v>
      </x:c>
      <x:c r="B1130" s="22" t="str">
        <x:f>"68"</x:f>
        <x:v>68</x:v>
      </x:c>
      <x:c r="C1130" s="22" t="str">
        <x:f>"0x0468"</x:f>
        <x:v>0x0468</x:v>
      </x:c>
      <x:c r="D1130" s="21" t="str">
        <x:v>&lt;CLEAR&gt;
ロケットぐつに ガスをじゅうてんした</x:v>
      </x:c>
      <x:c r="E1130" s="19" t="str">
        <x:v>&lt;CLEAR&gt;The Rocket Boots
were refilled with gas.</x:v>
      </x:c>
      <x:c r="F1130" s="20" t="str"/>
      <x:c r="G1130" s="20" t="str"/>
      <x:c r="H1130" s="23" t="str">
        <x:v>CLEAR NEWLINE END</x:v>
      </x:c>
      <x:c r="I1130" s="23" t="str">
        <x:v>E9:8E01</x:v>
      </x:c>
      <x:c r="J1130" s="23" t="str">
        <x:v>D0 54 68 65 01 52 6F 63 6B 65 74 01 42 6F 6F 74 73 C8 77 65 72 65 01 72 65 66 69 6C 6C 65 64 01 77 69 74 68 01 67 61 73 2E C0</x:v>
      </x:c>
      <x:c r="K1130" s="23" t="str">
        <x:v>1D0 06C 04A 070 055 084 017 021 025 001 084 047 04E 03C 084 01B 040 012 022 03D 01B 01F 1C0</x:v>
      </x:c>
    </x:row>
    <x:row r="1131">
      <x:c r="A1131" s="22" t="str">
        <x:f>"04"</x:f>
        <x:v>04</x:v>
      </x:c>
      <x:c r="B1131" s="22" t="str">
        <x:f>"69"</x:f>
        <x:v>69</x:v>
      </x:c>
      <x:c r="C1131" s="22" t="str">
        <x:f>"0x0469"</x:f>
        <x:v>0x0469</x:v>
      </x:c>
      <x:c r="D1131" s="21" t="str">
        <x:v>&lt;CLEAR&gt;
あしもとの あなから ガスが
噴出している</x:v>
      </x:c>
      <x:c r="E1131" s="19" t="str">
        <x:v>&lt;CLEAR&gt;Gas is blasting from
a hole at your feet.</x:v>
      </x:c>
      <x:c r="F1131" s="20" t="str"/>
      <x:c r="G1131" s="20" t="str"/>
      <x:c r="H1131" s="23" t="str">
        <x:v>CLEAR NEWLINE END</x:v>
      </x:c>
      <x:c r="I1131" s="23" t="str">
        <x:v>E9:8E2B</x:v>
      </x:c>
      <x:c r="J1131" s="23" t="str">
        <x:v>D0 47 61 73 01 69 73 01 62 6C 61 73 74 69 6E 67 01 66 72 6F 6D C8 61 01 68 6F 6C 65 01 61 74 01 79 6F 75 72 01 66 65 65 74 2E C0</x:v>
      </x:c>
      <x:c r="K1131" s="23" t="str">
        <x:v>1D0 010 01B 032 023 028 001 010 024 015 036 001 084 047 04E 084 015 1C8 117 106 01B 022 011 038 1C0</x:v>
      </x:c>
    </x:row>
    <x:row r="1132">
      <x:c r="A1132" s="22" t="str">
        <x:f>"04"</x:f>
        <x:v>04</x:v>
      </x:c>
      <x:c r="B1132" s="22" t="str">
        <x:f>"6A"</x:f>
        <x:v>6A</x:v>
      </x:c>
      <x:c r="C1132" s="22" t="str">
        <x:f>"0x046A"</x:f>
        <x:v>0x046A</x:v>
      </x:c>
      <x:c r="D1132" s="21" t="str">
        <x:v>&lt;SPEAKER&gt;「おろかな者に わが主の
いだいなる 遺産を
あたえる わけには いかぬ!&lt;WAIT&gt;&lt;SPEAKER&gt;「たちさるが よい!</x:v>
      </x:c>
      <x:c r="E1132" s="19" t="str">
        <x:v>&lt;SPEAKER&gt;I cannot entrust my
master's great legacy to a fool!&lt;WAIT&gt;&lt;SPEAKER&gt;Leave this place!</x:v>
      </x:c>
      <x:c r="F1132" s="20" t="str"/>
      <x:c r="G1132" s="20" t="str"/>
      <x:c r="H1132" s="23" t="str">
        <x:v>SPEAKER NEWLINE WAIT SPEAKER END</x:v>
      </x:c>
      <x:c r="I1132" s="23" t="str">
        <x:v>E9:8E56</x:v>
      </x:c>
      <x:c r="J1132" s="23" t="str">
        <x:v>CC 49 01 63 61 6E 6E 6F 74 01 65 6E 74 72 75 73 74 01 6D 79 C8 6D 61 73 74 65 72 27 73 01 67 72 65 61 74 01 6C 65 67 61 63 79 01 74 6F 01 61 01 66 6F 6F 6C 21 C5 CC 4C 65 61 76 65 01 74 68 69 73 01 70 6C 61 63 65 21 C0</x:v>
      </x:c>
      <x:c r="K1132" s="23" t="str">
        <x:v>1CC 014 03A 015 024 0A7 025 001 03B 084 015 12C 028 1C8 011 084 01F 011 024 038 001 1B8 1B1 03C 1C8 010 01F 013 038 001 03B 018 025 029 001 011 015 026 07A 1C5 1CC 01F 020 01A 038 084 015 001 035 011 07A 1C0</x:v>
      </x:c>
    </x:row>
    <x:row r="1133">
      <x:c r="A1133" s="22" t="str">
        <x:f>"04"</x:f>
        <x:v>04</x:v>
      </x:c>
      <x:c r="B1133" s="22" t="str">
        <x:f>"6B"</x:f>
        <x:v>6B</x:v>
      </x:c>
      <x:c r="C1133" s="22" t="str">
        <x:f>"0x046B"</x:f>
        <x:v>0x046B</x:v>
      </x:c>
      <x:c r="D1133" s="21" t="str">
        <x:v>&lt;SPEAKER&gt;「わが主 キングバロンの名と
その 白く かがやく
ホワイトボール&lt;WAIT&gt;&lt;SPEAKER&gt;「まさに キングバロンの
後継者の あかし!&lt;WAIT&gt;&lt;SPEAKER&gt;「いま しかと この目で
かくにんいたしましたぞ!&lt;WAIT&gt;&lt;SPEAKER&gt;「キングバロンさまの
ごめいれいどおり ふたたび
魔物巨大化装置を 作動します!</x:v>
      </x:c>
      <x:c r="E1133" s="19" t="str">
        <x:v>&lt;SPEAKER&gt;My master King
Baron's name, and that
shining White Ball...&lt;WAIT&gt;&lt;SPEAKER&gt;They are truly the
proof of King Baron's successor!&lt;WAIT&gt;&lt;SPEAKER&gt;I have confirmed
it with my own eyes!&lt;WAIT&gt;&lt;SPEAKER&gt;As King Baron
commanded, I will reactivate
the Monster Enlarging Device!</x:v>
      </x:c>
      <x:c r="F1133" s="20" t="str"/>
      <x:c r="G1133" s="20" t="str"/>
      <x:c r="H1133" s="23" t="str">
        <x:v>SPEAKER NEWLINE NEWLINE WAIT SPEAKER NEWLINE WAIT SPEAKER NEWLINE WAIT SPEAKER NEWLINE NEWLINE END</x:v>
      </x:c>
      <x:c r="I1133" s="23" t="str">
        <x:v>E9:8E9F</x:v>
      </x:c>
      <x:c r="J1133" s="23" t="str">
        <x:v>CC 4D 79 01 6D 61 73 74 65 72 01 4B 69 6E 67 C8 42 61 72 6F 6E 27 73 01 6E 61 6D 65 2C 01 61 6E 64 01 74 68 61 74 C8 73 68 69 6E 69 6E 67 01 57 68 69 74 65 01 42 61 6C 6C 2E 2E 2E C5 CC 54 68 65 79 01 61 72 65 01 74 72 75 6C 79 01 74 68 65 C8 70 72 6F 6F 66 01 6F 66 01 4B 69 6E 67 01 42 61 72 6F 6E 27 73 01 73 75 63 63 65 73 73 6F 72 21 C5 CC 49 01 68 61 76 65 01 63 6F 6E 66 69 72 6D 65 64 C8 69 74 01 77 69 74 68 01 6D 79 01 6F 77 6E 01 65 79 65 73 21 C5 CC 41 73 01 4B 69 6E 67 01 42 61 72 6F 6E C8 63 6F 6D 6D 61 6E 64 65 64 2C 01 49 01 77 69 6C 6C 01 72 65 61 63 74 69 76 61 74 65 C8 74 68 65 01 4D 6F 6E 73 74 65 72 01 45 6E 6C 61 72 67 69 6E 67 01 44 65 76 69 63 65 21 C0</x:v>
      </x:c>
      <x:c r="K1133" s="23" t="str">
        <x:v>1CC 03B 084 015 12C 001 048 06F 084 049 084 05B 06C 06F 028 0CD 023 1C8 01E 028 001 141 017 001 015 084 015 033 017 1C8 05F 06D 043 055 084 05F 078 06A 1C5 1CC 02E 01A 025 001 048 06F 084 049 084 05B 06C 06F 028 1C8 1A6 1A5 0A7 028 001 010 015 01B 07A 1C5 1CC 011 02E 001 01B 015 023 001 019 028 0B6 084 022 1C8 015 017 025 03D 011 01F 01B 02E 01B 01F 084 01E 07A 1C5 1CC 048 06F 084 049 084 05B 06C 06F 01A 02E 028 1C8 084 019 031 011 039 011 084 023 014 037 001 02B 01F 01F 084 02A 1C8 09A 08B 0CC 0AC 09E 0C2 19F 03C 001 0F6 0B1 01B 02E 01C 07A 1C0</x:v>
      </x:c>
    </x:row>
    <x:row r="1134">
      <x:c r="A1134" s="22" t="str">
        <x:f>"04"</x:f>
        <x:v>04</x:v>
      </x:c>
      <x:c r="B1134" s="22" t="str">
        <x:f>"6C"</x:f>
        <x:v>6C</x:v>
      </x:c>
      <x:c r="C1134" s="22" t="str">
        <x:f>"0x046C"</x:f>
        <x:v>0x046C</x:v>
      </x:c>
      <x:c r="D1134" s="21" t="str">
        <x:v>&lt;SPEAKER&gt;「パチパチパチパチ! ゲルル
みごとな 謎解きだよ お嬢さん!</x:v>
      </x:c>
      <x:c r="E1134" s="19" t="str">
        <x:v>&lt;SPEAKER&gt;Clap, clap, clap! Grrr...
Nicely solved, young lady!</x:v>
      </x:c>
      <x:c r="F1134" s="20" t="str"/>
      <x:c r="G1134" s="20" t="str"/>
      <x:c r="H1134" s="23" t="str">
        <x:v>SPEAKER NEWLINE END</x:v>
      </x:c>
      <x:c r="I1134" s="23" t="str">
        <x:v>E9:8F82</x:v>
      </x:c>
      <x:c r="J1134" s="23" t="str">
        <x:v>CC 43 6C 61 70 2C 01 63 6C 61 70 2C 01 63 6C 61 70 21 01 47 72 72 72 2E 2E 2E C8 4E 69 63 65 6C 79 01 73 6F 6C 76 65 64 2C 01 79 6F 75 6E 67 01 6C 61 64 79 21 C0</x:v>
      </x:c>
      <x:c r="K1134" s="23" t="str">
        <x:v>1CC 083 05B 052 083 05B 052 083 05B 052 083 05B 052 07A 001 084 04A 06A 06A 1C8 02F 084 019 023 024 001 0CF 0FE 016 084 01F 035 001 014 0D8 01A 03D 07A 1C0</x:v>
      </x:c>
    </x:row>
    <x:row r="1135">
      <x:c r="A1135" s="22" t="str">
        <x:f>"04"</x:f>
        <x:v>04</x:v>
      </x:c>
      <x:c r="B1135" s="22" t="str">
        <x:f>"6D"</x:f>
        <x:v>6D</x:v>
      </x:c>
      <x:c r="C1135" s="22" t="str">
        <x:f>"0x046D"</x:f>
        <x:v>0x046D</x:v>
      </x:c>
      <x:c r="D1135" s="21" t="str">
        <x:v>&lt;SPEAKER&gt;「おれは この部屋の 謎が
どうしても わからなかった・・・&lt;WAIT&gt;&lt;SPEAKER&gt;「だが こんなところで
あきらめては 何千年もねむっていた
いみも なくなってしまう・・・&lt;WAIT&gt;&lt;SPEAKER&gt;「そこで おれは 思いついた!&lt;WAIT&gt;&lt;SPEAKER&gt;「はえのように おれのまわりを
とびまわる こざかしい こむすめに
この部屋の謎を 解かせることをな!&lt;WAIT&gt;&lt;SPEAKER&gt;「ゲルルルルル あんたも
ほんとに おりこうさんだが&lt;WAIT&gt;&lt;SPEAKER&gt;「ちょっとばかり この
ジェイビーさまの方が
ちえが まわるって ことよ!&lt;WAIT&gt;&lt;SPEAKER&gt;「お嬢ちゃんの だいじに
持っていた ブラックボールはな!&lt;WAIT&gt;&lt;SPEAKER&gt;「おれが ホワイトボールを
黒く ぬっといた物だったのさ!
本物は とっくに すててしまったのさ&lt;WAIT&gt;&lt;SPEAKER&gt;「ゲルゲルゲル げははは
これで キングバロンの装置も
ついに 復活したぞ!&lt;WAIT&gt;&lt;SPEAKER&gt;「お前らは この
バロンロックで のたれ死ぬがよい!&lt;WAIT&gt;&lt;SPEAKER&gt;「おれさまに ころされずに
すむだけでも ありがたく思え!
げはははは ゲルゲルゲル!</x:v>
      </x:c>
      <x:c r="E1135" s="19" t="str">
        <x:v>&lt;SPEAKER&gt;I could never solve
the puzzle in this room...&lt;WAIT&gt;&lt;SPEAKER&gt;But giving up here
would make my thousands of
years of sleep meaningless...&lt;WAIT&gt;&lt;SPEAKER&gt;Then I had an idea!&lt;WAIT&gt;&lt;SPEAKER&gt;I would make the pesky
girl buzzing around me like a
fly solve the puzzle instead!&lt;WAIT&gt;&lt;SPEAKER&gt;Grrr... You really
are clever, young lady.&lt;WAIT&gt;&lt;SPEAKER&gt;But Lord J.B. is still
one step smarter than you!&lt;WAIT&gt;&lt;SPEAKER&gt;That precious Black
Ball you were carrying...&lt;WAIT&gt;&lt;SPEAKER&gt;was a White Ball I
painted black! I threw the real
Black Ball away a long time ago!&lt;WAIT&gt;&lt;SPEAKER&gt;Grrr, gehahaha!
King Baron's device has
finally been restored!&lt;WAIT&gt;&lt;SPEAKER&gt;You can rot to death
right here on Baron Rock!&lt;WAIT&gt;&lt;SPEAKER&gt;Be grateful I will
not bother killing you
myself! Gehahaha! Grrr!</x:v>
      </x:c>
      <x:c r="F1135" s="20" t="str"/>
      <x:c r="G1135" s="20" t="str"/>
      <x:c r="H1135" s="23" t="str">
        <x:v>SPEAKER NEWLINE WAIT SPEAKER NEWLINE NEWLINE WAIT SPEAKER WAIT SPEAKER NEWLINE NEWLINE WAIT SPEAKER NEWLINE WAIT SPEAKER NEWLINE WAIT SPEAKER NEWLINE WAIT SPEAKER NEWLINE NEWLINE WAIT SPEAKER NEWLINE NEWLINE WAIT SPEAKER NEWLINE WAIT SPEAKER NEWLINE NEWLINE END</x:v>
      </x:c>
      <x:c r="I1135" s="23" t="str">
        <x:v>E9:8FB8</x:v>
      </x:c>
      <x:c r="J1135" s="23" t="str">
        <x:v>CC 49 01 63 6F 75 6C 64 01 6E 65 76 65 72 01 73 6F 6C 76 65 C8 74 68 65 01 70 75 7A 7A 6C 65 01 69 6E 01 74 68 69 73 01 72 6F 6F 6D 2E 2E 2E C5 CC 42 75 74 01 67 69 76 69 6E 67 01 75 70 01 68 65 72 65 C8 77 6F 75 6C 64 01 6D 61 6B 65 01 6D 79 01 74 68 6F 75 73 61 6E 64 73 01 6F 66 C8 79 65 61 72 73 01 6F 66 01 73 6C 65 65 70 01 6D 65 61 6E 69 6E 67 6C 65 73 73 2E 2E 2E C5 CC 54 68 65 6E 01 49 01 68 61 64 01 61 6E 01 69 64 65 61 21 C5 CC 49 01 77 6F 75 6C 64 01 6D 61 6B 65 01 74 68 65 01 70 65 73 6B 79 C8 67 69 72 6C 01 62 75 7A 7A 69 6E 67 01 61 72 6F 75 6E 64 01 6D 65 01 6C 69 6B 65 01 61 C8 66 6C 79 01 73 6F 6C 76 65 01 74 68 65 01 70 75 7A 7A 6C 65 01 69 6E 73 74 65 61 64 21 C5 CC 47 72 72 72 2E 2E 2E 01 59 6F 75 01 72 65 61 6C 6C 79 C8 61 72 65 01 63 6C 65 76 65 72 2C 01 79 6F 75 6E 67 01 6C 61 64 79 2E C5 CC 42 75 74 01 4C 6F 72 64 01 4A 2E 42 2E 01 69 73 01 73 74 69 6C 6C C8 6F 6E 65 01 73 74 65 70 01 73 6D 61 72 74 65 72 01 74 68 61 6E 01 79 6F 75 21 C5 CC 54 68 61 74 01 70 72 65 63 69 6F 75 73 01 42 6C 61 63 6B C8 42 61 6C 6C 01 79 6F 75 01 77 65 72 65 01 63 61 72 72 79 69 6E 67 2E 2E 2E C5 CC 77 61 73 01 61 01 57 68 69 74 65 01 42 61 6C 6C 01 49 C8 70 61 69 6E 74 65 64 01 62 6C 61 63 6B 21 01 49 01 74 68 72 65 77 01 74 68 65 01 72 65 61 6C C8 42 6C 61 63 6B 01 42 61 6C 6C 01 61 77 61 79 01 61 01 6C 6F 6E 67 01 74 69 6D 65 01 61 67 6F 21 C5 CC 47 72 72 72 2C 01 67 65 68 61 68 61 68 61 21 C8 4B 69 6E 67 01 42 61 72 6F 6E 27 73 01 64 65 76 69 63 65 01 68 61 73 C8 66 69 6E 61 6C 6C 79 01 62 65 65 6E 01 72 65 73 74 6F 72 65 64 21 C5 CC 59 6F 75 01 63 61 6E 01 72 6F 74 01 74 6F 01 64 65 61 74 68 C8 72 69 67 68 74 01 68 65 72 65 01 6F 6E 01 42 61 72 6F 6E 01 52 6F 63 6B 21 C5 CC 42 65 01 67 72 61 74 65 66 75 6C 01 49 01 77 69 6C 6C C8 6E 6F 74 01 62 6F 74 68 65 72 01 6B 69 6C 6C 69 6E 67 01 79 6F 75 C8 6D 79 73 65 6C 66 21 01 47 65 68 61 68 61 68 61 21 01 47 72 72 72 21 C0</x:v>
      </x:c>
      <x:c r="K1135" s="23" t="str">
        <x:v>1CC 014 039 029 001 019 028 0DA 0B3 028 001 0CF 084 015 1C8 084 023 012 01B 022 032 001 03B 015 036 024 015 03E 01F 081 081 081 1C5 1CC 084 01F 084 015 001 019 03D 024 023 019 03A 084 022 1C8 010 016 036 031 022 029 001 093 0BC 0CA 032 027 030 03E 022 011 01F 1C8 011 02F 032 001 024 017 024 03E 022 01B 02E 012 081 081 081 1C5 1CC 01E 019 084 022 001 014 039 029 001 10F 011 021 011 01F 07A 1C5 1CC 029 013 028 035 012 025 001 014 039 028 02E 03B 037 03C 1C8 023 084 02A 02E 03B 038 001 019 084 01A 015 01B 011 001 019 030 01C 031 025 1C8 019 028 0DA 0B3 028 0CF 03C 001 0FE 015 01D 038 019 023 03C 024 07A 1C5 1CC 084 04A 06A 06A 06A 06A 06A 001 010 03D 01F 032 1C8 02D 03D 023 025 001 014 037 019 012 01A 03D 084 01F 084 015 1C5 1CC 020 041 03E 023 084 029 015 037 001 019 028 1C8 084 04D 076 043 084 05C 078 01A 02E 028 0B9 084 015 1C8 020 013 084 015 001 02E 03B 038 03E 022 001 019 023 035 07A 1C5 1CC 014 0D8 020 03F 03D 028 001 084 01F 011 084 01B 025 1C8 0D3 03E 022 011 01F 001 084 05D 068 070 049 084 05F 078 06A 029 024 07A 1C5 1CC 014 039 084 015 001 05F 06D 043 055 084 05F 078 06A 03C 1C8 180 017 001 026 03E 023 011 01F 08B 084 01F 03E 01F 028 01A 07A 1C8 13A 08B 029 001 023 03E 017 025 001 01C 022 022 01B 02E 03E 01F 028 01A 1C5 1CC 084 04A 06A 084 04A 06A 084 04A 06A 001 084 018 029 029 029 1C8 019 039 084 022 001 048 06F 084 049 084 05B 06C 06F 028 0C2 19F 032 1C8 021 011 025 001 18B 0B4 01B 01F 084 01E 07A 1C5 1CC 014 0C3 036 029 001 019 028 1C8 084 05B 06C 06F 06C 070 049 084 022 001 028 01F 039 0D6 026 084 015 035 011 07A 1C5 1CC 014 039 01A 02E 025 001 019 03A 01A 039 084 01C 025 1C8 01C 030 084 01F 018 084 022 032 001 010 037 084 015 01F 017 10F 013 07A 1C8 084 018 029 029 029 029 001 084 04A 06A 084 04A 06A 084 04A 06A 07A 1C0</x:v>
      </x:c>
    </x:row>
    <x:row r="1136">
      <x:c r="A1136" s="22" t="str">
        <x:f>"04"</x:f>
        <x:v>04</x:v>
      </x:c>
      <x:c r="B1136" s="22" t="str">
        <x:f>"6E"</x:f>
        <x:v>6E</x:v>
      </x:c>
      <x:c r="C1136" s="22" t="str">
        <x:f>"0x046E"</x:f>
        <x:v>0x046E</x:v>
      </x:c>
      <x:c r="D1136" s="21" t="str">
        <x:v>&lt;SPEAKER&gt;「え?&lt;PAUSE_30&gt; これは? ・・・・・主人の!
・・・・・・・・・・・・・・・・・
う・・・う・・・サジク!&lt;WAIT&gt;&lt;SPEAKER&gt;「わざわざ とどけていただいて
ありがとうございます&lt;WAIT&gt;&lt;SPEAKER&gt;「主人は きっと 生きています!
レディさん! なんとか主人を!
主人を みつけてください!&lt;WAIT&gt;&lt;SPEAKER&gt;「むりな おねがいだとは
わかって いるのですが・・・
あっ! そうだわ&lt;WAIT&gt;&lt;SPEAKER&gt;「どうか これを お持ちください
ほんの おれいの 気持ちです</x:v>
      </x:c>
      <x:c r="E1136" s="19" t="str">
        <x:v>&lt;SPEAKER&gt;Huh?&lt;PAUSE_30&gt; This is...?
My husband's! ............ Sajik!&lt;WAIT&gt;&lt;SPEAKER&gt;Thank you for bringing
this all the way to me.&lt;WAIT&gt;&lt;SPEAKER&gt;My husband must still
be alive! Lady, please! Find
him! Please find my husband!&lt;WAIT&gt;&lt;SPEAKER&gt;I know it is
a terrible thing to ask
of you... Ah! I know!&lt;WAIT&gt;&lt;SPEAKER&gt;Please take this. It is
only a small token of thanks.</x:v>
      </x:c>
      <x:c r="F1136" s="20" t="str"/>
      <x:c r="G1136" s="20" t="str"/>
      <x:c r="H1136" s="23" t="str">
        <x:v>SPEAKER PAUSE_30 NEWLINE WAIT SPEAKER NEWLINE WAIT SPEAKER NEWLINE NEWLINE WAIT SPEAKER NEWLINE NEWLINE WAIT SPEAKER NEWLINE END</x:v>
      </x:c>
      <x:c r="I1136" s="23" t="str">
        <x:v>E9:9234</x:v>
      </x:c>
      <x:c r="J1136" s="23" t="str">
        <x:v>CC 48 75 68 3F CD 01 54 68 69 73 01 69 73 2E 2E 2E 3F C8 4D 79 01 68 75 73 62 61 6E 64 27 73 21 01 2E 2E 2E 2E 2E 2E 2E 2E 2E 2E 2E 2E 01 53 61 6A 69 6B 21 C5 CC 54 68 61 6E 6B 01 79 6F 75 01 66 6F 72 01 62 72 69 6E 67 69 6E 67 C8 74 68 69 73 01 61 6C 6C 01 74 68 65 01 77 61 79 01 74 6F 01 6D 65 2E C5 CC 4D 79 01 68 75 73 62 61 6E 64 01 6D 75 73 74 01 73 74 69 6C 6C C8 62 65 01 61 6C 69 76 65 21 01 4C 61 64 79 2C 01 70 6C 65 61 73 65 21 01 46 69 6E 64 C8 68 69 6D 21 01 50 6C 65 61 73 65 01 66 69 6E 64 01 6D 79 01 68 75 73 62 61 6E 64 21 C5 CC 49 01 6B 6E 6F 77 01 69 74 01 69 73 C8 61 01 74 65 72 72 69 62 6C 65 01 74 68 69 6E 67 01 74 6F 01 61 73 6B C8 6F 66 01 79 6F 75 2E 2E 2E 01 41 68 21 01 49 01 6B 6E 6F 77 21 C5 CC 50 6C 65 61 73 65 01 74 61 6B 65 01 74 68 69 73 2E 01 49 74 01 69 73 C8 6F 6E 6C 79 01 61 01 73 6D 61 6C 6C 01 74 6F 6B 65 6E 01 6F 66 01 74 68 61 6E 6B 73 2E C0</x:v>
      </x:c>
      <x:c r="K1136" s="23" t="str">
        <x:v>1CC 013 079 1CD 001 019 039 029 079 001 081 081 081 081 081 12C 091 028 07A 1C8 081 081 081 081 081 081 081 081 081 081 081 081 081 081 081 081 081 1C8 012 081 081 081 012 081 081 081 04C 084 04D 049 07A 1C5 1CC 03B 084 01A 03B 084 01A 001 023 084 023 018 022 011 01F 084 01F 011 022 1C8 010 037 084 015 023 012 084 019 084 01A 011 02E 01C 1C5 1CC 12C 091 029 001 016 03E 023 001 09B 016 022 011 02E 01C 07A 1C8 06B 084 054 075 01A 03D 07A 001 024 03D 023 015 12C 091 03C 07A 1C8 12C 091 03C 001 02F 021 018 022 017 084 01F 01A 011 07A 1C5 1CC 030 037 024 001 014 027 084 015 011 084 01F 023 029 1C8 03B 015 03E 022 001 011 038 028 084 022 01C 084 015 081 081 081 1C8 010 03E 07A 001 01E 012 084 01F 03B 1C5 1CC 084 023 012 015 001 019 039 03C 001 014 0D3 020 017 084 01F 01A 011 1C8 02D 03D 028 001 014 039 011 028 001 099 0D3 020 084 022 01C 1C0</x:v>
      </x:c>
    </x:row>
    <x:row r="1137">
      <x:c r="A1137" s="22" t="str">
        <x:f>"04"</x:f>
        <x:v>04</x:v>
      </x:c>
      <x:c r="B1137" s="22" t="str">
        <x:f>"6F"</x:f>
        <x:v>6F</x:v>
      </x:c>
      <x:c r="C1137" s="22" t="str">
        <x:f>"0x046F"</x:f>
        <x:v>0x046F</x:v>
      </x:c>
      <x:c r="D1137" s="21" t="str">
        <x:v>&lt;SPEAKER&gt;「ためしに かぶって
ごらんになります?</x:v>
      </x:c>
      <x:c r="E1137" s="19" t="str">
        <x:v>&lt;SPEAKER&gt;Would you
like to try it on?</x:v>
      </x:c>
      <x:c r="F1137" s="20" t="str"/>
      <x:c r="G1137" s="20" t="str"/>
      <x:c r="H1137" s="23" t="str">
        <x:v>SPEAKER NEWLINE END</x:v>
      </x:c>
      <x:c r="I1137" s="23" t="str">
        <x:v>E9:935D</x:v>
      </x:c>
      <x:c r="J1137" s="23" t="str">
        <x:v>CC 57 6F 75 6C 64 01 79 6F 75 C8 6C 69 6B 65 01 74 6F 01 74 72 79 01 69 74 01 6F 6E 3F C0</x:v>
      </x:c>
      <x:c r="K1137" s="23" t="str">
        <x:v>1CC 01F 031 01B 025 001 015 084 02B 03E 022 1C8 084 019 036 03D 025 024 037 02E 01C 079 1C0</x:v>
      </x:c>
    </x:row>
    <x:row r="1138">
      <x:c r="A1138" s="22" t="str">
        <x:f>"04"</x:f>
        <x:v>04</x:v>
      </x:c>
      <x:c r="B1138" s="22" t="str">
        <x:f>"70"</x:f>
        <x:v>70</x:v>
      </x:c>
      <x:c r="C1138" s="22" t="str">
        <x:f>"0x0470"</x:f>
        <x:v>0x0470</x:v>
      </x:c>
      <x:c r="D1138" s="21" t="str">
        <x:v>&lt;SPEAKER&gt;「あらまあ ぴったり!</x:v>
      </x:c>
      <x:c r="E1138" s="19" t="str">
        <x:v>&lt;SPEAKER&gt;Oh my! It fits perfectly!</x:v>
      </x:c>
      <x:c r="F1138" s="20" t="str"/>
      <x:c r="G1138" s="20" t="str"/>
      <x:c r="H1138" s="23" t="str">
        <x:v>SPEAKER END</x:v>
      </x:c>
      <x:c r="I1138" s="23" t="str">
        <x:v>E9:937B</x:v>
      </x:c>
      <x:c r="J1138" s="23" t="str">
        <x:v>CC 4F 68 01 6D 79 21 01 49 74 01 66 69 74 73 01 70 65 72 66 65 63 74 6C 79 21 C0</x:v>
      </x:c>
      <x:c r="K1138" s="23" t="str">
        <x:v>1CC 010 036 02E 010 001 083 02A 03E 01F 037 07A 1C0</x:v>
      </x:c>
    </x:row>
    <x:row r="1139">
      <x:c r="A1139" s="22" t="str">
        <x:f>"04"</x:f>
        <x:v>04</x:v>
      </x:c>
      <x:c r="B1139" s="22" t="str">
        <x:f>"71"</x:f>
        <x:v>71</x:v>
      </x:c>
      <x:c r="C1139" s="22" t="str">
        <x:f>"0x0471"</x:f>
        <x:v>0x0471</x:v>
      </x:c>
      <x:c r="D1139" s="21" t="str">
        <x:v>&lt;SPEAKER&gt;「とりゃー!&lt;PAUSE_30&gt; えいやー!&lt;PAUSE_30&gt;
はあ&lt;PAUSE_30&gt; はあ</x:v>
      </x:c>
      <x:c r="E1139" s="19" t="str">
        <x:v>&lt;SPEAKER&gt;Hyaa!&lt;PAUSE_30&gt; Take
that!&lt;PAUSE_30&gt; Huff...&lt;PAUSE_30&gt; huff...</x:v>
      </x:c>
      <x:c r="F1139" s="20" t="str"/>
      <x:c r="G1139" s="20" t="str"/>
      <x:c r="H1139" s="23" t="str">
        <x:v>SPEAKER PAUSE_30 NEWLINE PAUSE_30 PAUSE_30 END</x:v>
      </x:c>
      <x:c r="I1139" s="23" t="str">
        <x:v>E9:9396</x:v>
      </x:c>
      <x:c r="J1139" s="23" t="str">
        <x:v>CC 48 79 61 61 21 CD 01 54 61 6B 65 C8 74 68 61 74 21 CD 01 48 75 66 66 2E 2E 2E CD 01 68 75 66 66 2E 2E 2E C0</x:v>
      </x:c>
      <x:c r="K1139" s="23" t="str">
        <x:v>1CC 023 037 03F 078 07A 1CD 001 013 011 033 078 07A 1CD 1C8 029 010 1CD 001 029 010 1C0</x:v>
      </x:c>
    </x:row>
    <x:row r="1140">
      <x:c r="A1140" s="22" t="str">
        <x:f>"04"</x:f>
        <x:v>04</x:v>
      </x:c>
      <x:c r="B1140" s="22" t="str">
        <x:f>"72"</x:f>
        <x:v>72</x:v>
      </x:c>
      <x:c r="C1140" s="22" t="str">
        <x:f>"0x0472"</x:f>
        <x:v>0x0472</x:v>
      </x:c>
      <x:c r="D1140" s="21" t="str">
        <x:v>&lt;SPEAKER&gt;「わたしは しゅぎょう中の
神官です&lt;WAIT&gt;&lt;SPEAKER&gt;「でも 山おくに こもっていると
すこし ストレスが たまります&lt;WAIT&gt;&lt;SPEAKER&gt;「だから こうやって 体を
動かして はっさん してるんです</x:v>
      </x:c>
      <x:c r="E1140" s="19" t="str">
        <x:v>&lt;SPEAKER&gt;I am a priest in training.&lt;WAIT&gt;&lt;SPEAKER&gt;But staying deep
in the mountains can
get a little stressful.&lt;WAIT&gt;&lt;SPEAKER&gt;So I work it off
by exercising like this.</x:v>
      </x:c>
      <x:c r="F1140" s="20" t="str"/>
      <x:c r="G1140" s="20" t="str"/>
      <x:c r="H1140" s="23" t="str">
        <x:v>SPEAKER WAIT SPEAKER NEWLINE NEWLINE WAIT SPEAKER NEWLINE END</x:v>
      </x:c>
      <x:c r="I1140" s="23" t="str">
        <x:v>E9:93BB</x:v>
      </x:c>
      <x:c r="J1140" s="23" t="str">
        <x:v>CC 49 01 61 6D 01 61 01 70 72 69 65 73 74 01 69 6E 01 74 72 61 69 6E 69 6E 67 2E C5 CC 42 75 74 01 73 74 61 79 69 6E 67 01 64 65 65 70 C8 69 6E 01 74 68 65 01 6D 6F 75 6E 74 61 69 6E 73 01 63 61 6E C8 67 65 74 01 61 01 6C 69 74 74 6C 65 01 73 74 72 65 73 73 66 75 6C 2E C5 CC 53 6F 01 49 01 77 6F 72 6B 01 69 74 01 6F 66 66 C8 62 79 01 65 78 65 72 63 69 73 69 6E 67 01 6C 69 6B 65 01 74 68 69 73 2E C0</x:v>
      </x:c>
      <x:c r="K1140" s="23" t="str">
        <x:v>1CC 03B 01F 01B 029 001 01B 040 084 016 041 012 0A1 028 1C8 0DC 136 084 022 01C 1C5 1CC 084 022 032 001 10C 014 017 025 001 019 032 03E 022 011 038 023 1C8 01C 019 01B 001 04E 055 06B 04E 084 015 001 01F 02E 037 02E 01C 1C5 1CC 084 01F 015 036 001 019 012 033 03E 022 001 0F0 03C 1C8 0B1 015 01B 022 001 029 03E 01A 03D 001 01B 022 038 03D 084 022 01C 1C0</x:v>
      </x:c>
    </x:row>
    <x:row r="1141">
      <x:c r="A1141" s="22" t="str">
        <x:f>"04"</x:f>
        <x:v>04</x:v>
      </x:c>
      <x:c r="B1141" s="22" t="str">
        <x:f>"73"</x:f>
        <x:v>73</x:v>
      </x:c>
      <x:c r="C1141" s="22" t="str">
        <x:f>"0x0473"</x:f>
        <x:v>0x0473</x:v>
      </x:c>
      <x:c r="D1141" s="21" t="str">
        <x:v>&lt;SPEAKER&gt;「あなたも どうですか? この
こおりの はしらに 向かって
Aやー と パンチするんですよ!&lt;WAIT&gt;&lt;SPEAKER&gt;「この こおりが われれば
大きな岩をも
くだけるかも しれませんよ!</x:v>
      </x:c>
      <x:c r="E1141" s="19" t="str">
        <x:v>&lt;SPEAKER&gt;Want to try it
too? Punch this pillar of
ice with a mighty hyaa!&lt;WAIT&gt;&lt;SPEAKER&gt;If you can shatter
this ice, you might even be
able to smash a giant boulder!</x:v>
      </x:c>
      <x:c r="F1141" s="20" t="str"/>
      <x:c r="G1141" s="20" t="str"/>
      <x:c r="H1141" s="23" t="str">
        <x:v>SPEAKER NEWLINE NEWLINE WAIT SPEAKER NEWLINE NEWLINE END</x:v>
      </x:c>
      <x:c r="I1141" s="23" t="str">
        <x:v>E9:9441</x:v>
      </x:c>
      <x:c r="J1141" s="23" t="str">
        <x:v>CC 57 61 6E 74 01 74 6F 01 74 72 79 01 69 74 C8 74 6F 6F 3F 01 50 75 6E 63 68 01 74 68 69 73 01 70 69 6C 6C 61 72 01 6F 66 C8 69 63 65 01 77 69 74 68 01 61 01 6D 69 67 68 74 79 01 68 79 61 61 21 C5 CC 49 66 01 79 6F 75 01 63 61 6E 01 73 68 61 74 74 65 72 C8 74 68 69 73 01 69 63 65 2C 01 79 6F 75 01 6D 69 67 68 74 01 65 76 65 6E 01 62 65 C8 61 62 6C 65 01 74 6F 01 73 6D 61 73 68 01 61 01 67 69 61 6E 74 01 62 6F 75 6C 64 65 72 21 C0</x:v>
      </x:c>
      <x:c r="K1141" s="23" t="str">
        <x:v>1CC 010 024 01F 032 001 084 023 012 084 022 01C 015 079 001 019 028 1C8 019 014 037 028 001 029 01B 036 025 001 1AB 015 03E 022 1C8 16E 033 078 001 023 001 083 05B 06F 052 01C 038 03D 084 022 01C 035 07A 1C5 1CC 019 028 001 019 014 037 084 015 001 03B 039 039 084 029 1C8 0AC 016 024 158 03C 032 1C8 017 084 01F 018 038 015 032 001 01B 039 02E 01D 03D 035 07A 1C0</x:v>
      </x:c>
    </x:row>
    <x:row r="1142">
      <x:c r="A1142" s="22" t="str">
        <x:f>"04"</x:f>
        <x:v>04</x:v>
      </x:c>
      <x:c r="B1142" s="22" t="str">
        <x:f>"74"</x:f>
        <x:v>74</x:v>
      </x:c>
      <x:c r="C1142" s="22" t="str">
        <x:f>"0x0474"</x:f>
        <x:v>0x0474</x:v>
      </x:c>
      <x:c r="D1142" s="21" t="str">
        <x:v>&lt;SPEAKER&gt;「あれっ いま何か ナイフみたいのが
見えなかった?&lt;WAIT&gt;&lt;SPEAKER&gt;「えっ そんなことない?
げんかくを見るようでは
まだまだ しゅぎょうが たりないな</x:v>
      </x:c>
      <x:c r="E1142" s="19" t="str">
        <x:v>&lt;SPEAKER&gt;Huh? Did you just
see something like a knife?&lt;WAIT&gt;&lt;SPEAKER&gt;No? If I am seeing
things, I still have a long
way to go in my training.</x:v>
      </x:c>
      <x:c r="F1142" s="20" t="str"/>
      <x:c r="G1142" s="20" t="str"/>
      <x:c r="H1142" s="23" t="str">
        <x:v>SPEAKER NEWLINE WAIT SPEAKER NEWLINE NEWLINE END</x:v>
      </x:c>
      <x:c r="I1142" s="23" t="str">
        <x:v>E9:94D2</x:v>
      </x:c>
      <x:c r="J1142" s="23" t="str">
        <x:v>CC 48 75 68 3F 01 44 69 64 01 79 6F 75 01 6A 75 73 74 C8 73 65 65 01 73 6F 6D 65 74 68 69 6E 67 01 6C 69 6B 65 01 61 01 6B 6E 69 66 65 3F C5 CC 4E 6F 3F 01 49 66 01 49 01 61 6D 01 73 65 65 69 6E 67 C8 74 68 69 6E 67 73 2C 01 49 01 73 74 69 6C 6C 01 68 61 76 65 01 61 01 6C 6F 6E 67 C8 77 61 79 01 74 6F 01 67 6F 01 69 6E 01 6D 79 01 74 72 61 69 6E 69 6E 67 2E C0</x:v>
      </x:c>
      <x:c r="K1142" s="23" t="str">
        <x:v>1CC 010 039 03E 001 011 02E 093 015 001 056 043 05D 02F 01F 011 028 084 015 1C8 090 013 024 015 03E 01F 079 1C5 1CC 013 03E 001 01E 03D 024 019 023 024 011 079 1C8 084 018 03D 015 017 03C 090 038 035 012 084 022 029 1C8 02E 084 01F 02E 084 01F 001 01B 040 084 016 041 012 084 015 001 01F 037 024 011 024 1C0</x:v>
      </x:c>
    </x:row>
    <x:row r="1143">
      <x:c r="A1143" s="22" t="str">
        <x:f>"04"</x:f>
        <x:v>04</x:v>
      </x:c>
      <x:c r="B1143" s="22" t="str">
        <x:f>"75"</x:f>
        <x:v>75</x:v>
      </x:c>
      <x:c r="C1143" s="22" t="str">
        <x:f>"0x0475"</x:f>
        <x:v>0x0475</x:v>
      </x:c>
      <x:c r="D1143" s="21" t="str">
        <x:v>&lt;SPEAKER&gt;「しゅぎょうで あせをかいたら
そこの おんせんに はいるんですよ
あなたも どうですか?</x:v>
      </x:c>
      <x:c r="E1143" s="19" t="str">
        <x:v>&lt;SPEAKER&gt;After training up
a sweat, I soak in that
hot spring. Want to try it?</x:v>
      </x:c>
      <x:c r="F1143" s="20" t="str"/>
      <x:c r="G1143" s="20" t="str"/>
      <x:c r="H1143" s="23" t="str">
        <x:v>SPEAKER NEWLINE NEWLINE END</x:v>
      </x:c>
      <x:c r="I1143" s="23" t="str">
        <x:v>E9:954B</x:v>
      </x:c>
      <x:c r="J1143" s="23" t="str">
        <x:v>CC 41 66 74 65 72 01 74 72 61 69 6E 69 6E 67 01 75 70 C8 61 01 73 77 65 61 74 2C 01 49 01 73 6F 61 6B 01 69 6E 01 74 68 61 74 C8 68 6F 74 01 73 70 72 69 6E 67 2E 01 57 61 6E 74 01 74 6F 01 74 72 79 01 69 74 3F C0</x:v>
      </x:c>
      <x:c r="K1143" s="23" t="str">
        <x:v>1CC 01B 040 084 016 041 012 084 022 001 010 01D 03C 015 011 01F 036 1C8 01E 019 028 001 014 03D 01D 03D 025 001 029 011 038 03D 084 022 01C 035 1C8 010 024 01F 032 001 084 023 012 084 022 01C 015 079 1C0</x:v>
      </x:c>
    </x:row>
    <x:row r="1144">
      <x:c r="A1144" s="22" t="str">
        <x:f>"04"</x:f>
        <x:v>04</x:v>
      </x:c>
      <x:c r="B1144" s="22" t="str">
        <x:f>"76"</x:f>
        <x:v>76</x:v>
      </x:c>
      <x:c r="C1144" s="22" t="str">
        <x:f>"0x0476"</x:f>
        <x:v>0x0476</x:v>
      </x:c>
      <x:c r="D1144" s="21" t="str">
        <x:v>&lt;SPEAKER&gt;「ゲルゲルゲル
こんにちは よく 会いますねえ
ゲルゲルゲル・・・&lt;WAIT&gt;&lt;SPEAKER&gt;「おーい! 聞こえてますかー?</x:v>
      </x:c>
      <x:c r="E1144" s="19" t="str">
        <x:v>&lt;SPEAKER&gt;Grrr, grrr, grrr...
Hello. We meet often,
do we not? Grrr...&lt;WAIT&gt;&lt;SPEAKER&gt;Hellooo!
Can you hear me?!</x:v>
      </x:c>
      <x:c r="F1144" s="20" t="str"/>
      <x:c r="G1144" s="20" t="str"/>
      <x:c r="H1144" s="23" t="str">
        <x:v>SPEAKER NEWLINE NEWLINE WAIT SPEAKER NEWLINE END</x:v>
      </x:c>
      <x:c r="I1144" s="23" t="str">
        <x:v>E9:9592</x:v>
      </x:c>
      <x:c r="J1144" s="23" t="str">
        <x:v>CC 47 72 72 72 2C 01 67 72 72 72 2C 01 67 72 72 72 2E 2E 2E C8 48 65 6C 6C 6F 2E 01 57 65 01 6D 65 65 74 01 6F 66 74 65 6E 2C C8 64 6F 01 77 65 01 6E 6F 74 3F 01 47 72 72 72 2E 2E 2E C5 CC 48 65 6C 6C 6F 6F 6F 21 C8 43 61 6E 01 79 6F 75 01 68 65 61 72 01 6D 65 3F 21 C0</x:v>
      </x:c>
      <x:c r="K1144" s="23" t="str">
        <x:v>1CC 084 04A 06A 084 04A 06A 084 04A 06A 1C8 019 03D 025 020 029 001 035 017 001 11E 011 02E 01C 027 013 1C8 084 04A 06A 084 04A 06A 084 04A 06A 081 081 081 1C5 1CC 014 078 011 07A 001 0A6 019 013 022 02E 01C 015 078 079 1C0</x:v>
      </x:c>
    </x:row>
    <x:row r="1145">
      <x:c r="A1145" s="22" t="str">
        <x:f>"04"</x:f>
        <x:v>04</x:v>
      </x:c>
      <x:c r="B1145" s="22" t="str">
        <x:f>"77"</x:f>
        <x:v>77</x:v>
      </x:c>
      <x:c r="C1145" s="22" t="str">
        <x:f>"0x0477"</x:f>
        <x:v>0x0477</x:v>
      </x:c>
      <x:c r="D1145" s="21" t="str">
        <x:v>&lt;SPEAKER&gt;「おっとっとっと
いかん いかん あんまり
力を 入れては いかんな!&lt;WAIT&gt;&lt;SPEAKER&gt;「ゲルゲルゲル
では さようなら&lt;WAIT&gt;&lt;SPEAKER&gt;「いずれ
じごくで 会いましょう げへへ</x:v>
      </x:c>
      <x:c r="E1145" s="19" t="str">
        <x:v>&lt;SPEAKER&gt;Whoa, whoa,
whoa! No, no. I must not
use too much strength!&lt;WAIT&gt;&lt;SPEAKER&gt;Grrr, grrr, grrr...
Well then, goodbye.&lt;WAIT&gt;&lt;SPEAKER&gt;We will meet again
in hell. Geh heh heh.</x:v>
      </x:c>
      <x:c r="F1145" s="20" t="str"/>
      <x:c r="G1145" s="20" t="str"/>
      <x:c r="H1145" s="23" t="str">
        <x:v>SPEAKER NEWLINE NEWLINE WAIT SPEAKER NEWLINE WAIT SPEAKER NEWLINE END</x:v>
      </x:c>
      <x:c r="I1145" s="23" t="str">
        <x:v>E9:95EC</x:v>
      </x:c>
      <x:c r="J1145" s="23" t="str">
        <x:v>CC 57 68 6F 61 2C 01 77 68 6F 61 2C C8 77 68 6F 61 21 01 4E 6F 2C 01 6E 6F 2E 01 49 01 6D 75 73 74 01 6E 6F 74 C8 75 73 65 01 74 6F 6F 01 6D 75 63 68 01 73 74 72 65 6E 67 74 68 21 C5 CC 47 72 72 72 2C 01 67 72 72 72 2C 01 67 72 72 72 2E 2E 2E C8 57 65 6C 6C 01 74 68 65 6E 2C 01 67 6F 6F 64 62 79 65 2E C5 CC 57 65 01 77 69 6C 6C 01 6D 65 65 74 01 61 67 61 69 6E C8 69 6E 01 68 65 6C 6C 2E 01 47 65 68 01 68 65 68 01 68 65 68 2E C0</x:v>
      </x:c>
      <x:c r="K1145" s="23" t="str">
        <x:v>1CC 014 03E 023 03E 023 03E 023 1C8 011 015 03D 001 011 015 03D 001 010 03D 02E 037 1C8 107 03C 001 08E 039 022 029 001 011 015 03D 024 07A 1C5 1CC 084 04A 06A 084 04A 06A 084 04A 06A 1C8 084 022 029 001 01A 035 012 024 036 1C5 1CC 011 084 01C 039 1C8 084 01B 084 019 017 084 022 001 11E 011 02E 01B 041 012 001 084 018 02C 02C 1C0</x:v>
      </x:c>
    </x:row>
    <x:row r="1146">
      <x:c r="A1146" s="22" t="str">
        <x:f>"04"</x:f>
        <x:v>04</x:v>
      </x:c>
      <x:c r="B1146" s="22" t="str">
        <x:f>"78"</x:f>
        <x:v>78</x:v>
      </x:c>
      <x:c r="C1146" s="22" t="str">
        <x:f>"0x0478"</x:f>
        <x:v>0x0478</x:v>
      </x:c>
      <x:c r="D1146" s="21" t="str">
        <x:v>&lt;SPEAKER&gt;「おっ そうだ お嬢さん!
じごくの みやげに いいことを
おしえてやろう! ゲルルルル&lt;WAIT&gt;&lt;SPEAKER&gt;「この いせきの さいごの
部屋には 古代の装置を
作動させる しかけが あるんだよ&lt;WAIT&gt;&lt;SPEAKER&gt;「ゲルルル でも そんなことは
死んでゆく おまえらには
なんの かんけいも ないな!&lt;WAIT&gt;&lt;SPEAKER&gt;「こりゃ しつれい!</x:v>
      </x:c>
      <x:c r="E1146" s="19" t="str">
        <x:v>&lt;SPEAKER&gt;Oh, young lady!
Here's a tip to take
with you to hell! Grrr!&lt;WAIT&gt;&lt;SPEAKER&gt;The last room of
these ruins has the mechanism
that starts the ancient device.&lt;WAIT&gt;&lt;SPEAKER&gt;Grrr... but that won't
matter to people about to die!&lt;WAIT&gt;&lt;SPEAKER&gt;How rude of me!</x:v>
      </x:c>
      <x:c r="F1146" s="20" t="str"/>
      <x:c r="G1146" s="20" t="str"/>
      <x:c r="H1146" s="23" t="str">
        <x:v>SPEAKER NEWLINE NEWLINE WAIT SPEAKER NEWLINE NEWLINE WAIT SPEAKER NEWLINE WAIT SPEAKER END</x:v>
      </x:c>
      <x:c r="I1146" s="23" t="str">
        <x:v>E9:967C</x:v>
      </x:c>
      <x:c r="J1146" s="23" t="str">
        <x:v>CC 4F 68 2C 01 79 6F 75 6E 67 01 6C 61 64 79 21 C8 48 65 72 65 27 73 01 61 01 74 69 70 01 74 6F 01 74 61 6B 65 C8 77 69 74 68 01 79 6F 75 01 74 6F 01 68 65 6C 6C 21 01 47 72 72 72 21 C5 CC 54 68 65 01 6C 61 73 74 01 72 6F 6F 6D 01 6F 66 C8 74 68 65 73 65 01 72 75 69 6E 73 01 68 61 73 01 74 68 65 01 6D 65 63 68 61 6E 69 73 6D C8 74 68 61 74 01 73 74 61 72 74 73 01 74 68 65 01 61 6E 63 69 65 6E 74 01 64 65 76 69 63 65 2E C5 CC 47 72 72 72 2E 2E 2E 01 62 75 74 01 74 68 61 74 01 77 6F 6E 27 74 C8 6D 61 74 74 65 72 01 74 6F 01 70 65 6F 70 6C 65 01 61 62 6F 75 74 01 74 6F 01 64 69 65 21 C5 CC 48 6F 77 01 72 75 64 65 01 6F 66 01 6D 65 21 C0</x:v>
      </x:c>
      <x:c r="K1146" s="23" t="str">
        <x:v>1CC 014 03E 001 01E 012 084 01F 001 014 0D8 01A 03D 07A 1C8 084 01B 084 019 017 028 001 02F 033 084 018 025 001 011 011 019 023 03C 1C8 014 01B 013 022 033 03A 012 07A 001 084 04A 06A 06A 06A 06A 1C5 1CC 019 028 001 011 01D 016 028 001 01A 011 084 019 028 1C8 0DA 0B3 025 029 001 096 09F 028 0C2 19F 03C 1C8 0F6 0B1 01A 01D 038 001 01B 015 018 084 015 001 010 038 03D 084 01F 035 1C5 1CC 084 04A 06A 06A 06A 001 084 022 032 001 01E 03D 024 019 023 029 1C8 0D6 03D 084 022 034 017 001 014 02E 013 036 025 029 1C8 024 03D 028 001 015 03D 018 011 032 001 024 011 024 07A 1C5 1CC 019 037 03F 001 01B 021 039 011 07A 1C0</x:v>
      </x:c>
    </x:row>
    <x:row r="1147">
      <x:c r="A1147" s="22" t="str">
        <x:f>"04"</x:f>
        <x:v>04</x:v>
      </x:c>
      <x:c r="B1147" s="22" t="str">
        <x:f>"79"</x:f>
        <x:v>79</x:v>
      </x:c>
      <x:c r="C1147" s="22" t="str">
        <x:f>"0x0479"</x:f>
        <x:v>0x0479</x:v>
      </x:c>
      <x:c r="D1147" s="21" t="str">
        <x:v>&lt;CLEAR&gt;
持っていた 石板を
かべの石板の下に はめこんだ&lt;WAIT&gt;
&lt;CLEAR&gt;
二枚の 石板は ぴったりと
一枚に つながった!</x:v>
      </x:c>
      <x:c r="E1147" s="19" t="str">
        <x:v>&lt;CLEAR&gt;Lady fitted her stone tablet
beneath the one on the wall.&lt;WAIT&gt;&lt;CLEAR&gt;The two tablets joined
perfectly into a single slab!</x:v>
      </x:c>
      <x:c r="F1147" s="20" t="str"/>
      <x:c r="G1147" s="20" t="str"/>
      <x:c r="H1147" s="23" t="str">
        <x:v>CLEAR NEWLINE WAIT CLEAR NEWLINE END</x:v>
      </x:c>
      <x:c r="I1147" s="23" t="str">
        <x:v>E9:9752</x:v>
      </x:c>
      <x:c r="J1147" s="23" t="str">
        <x:v>D0 4C 61 64 79 01 66 69 74 74 65 64 01 68 65 72 01 73 74 6F 6E 65 01 74 61 62 6C 65 74 C8 62 65 6E 65 61 74 68 01 74 68 65 01 6F 6E 65 01 6F 6E 01 74 68 65 01 77 61 6C 6C 2E C5 D0 54 68 65 01 74 77 6F 01 74 61 62 6C 65 74 73 01 6A 6F 69 6E 65 64 C8 70 65 72 66 65 63 74 6C 79 01 69 6E 74 6F 01 61 01 73 69 6E 67 6C 65 01 73 6C 61 62 21 C0</x:v>
      </x:c>
      <x:c r="K1147" s="23" t="str">
        <x:v>1D0 0D3 03E 022 011 01F 001 09D 147 03C 1C8 015 084 02C 028 09D 147 028 0B8 025 001 029 031 019 03D 084 01F 1C5 1D0 189 115 028 001 09D 147 029 001 083 02A 03E 01F 037 023 1C8 0AF 115 025 001 021 024 084 015 03E 01F 07A 1C0</x:v>
      </x:c>
    </x:row>
    <x:row r="1148">
      <x:c r="A1148" s="22" t="str">
        <x:f>"04"</x:f>
        <x:v>04</x:v>
      </x:c>
      <x:c r="B1148" s="22" t="str">
        <x:f>"7A"</x:f>
        <x:v>7A</x:v>
      </x:c>
      <x:c r="C1148" s="22" t="str">
        <x:f>"0x047A"</x:f>
        <x:v>0x047A</x:v>
      </x:c>
      <x:c r="D1148" s="21" t="str">
        <x:v>&lt;CLEAR&gt;
石板には 古代文字が かかれている
ヨシオの字で ふりがなが ふってある&lt;WAIT&gt;
&lt;CLEAR&gt;
「いつの日か おとずれる
いだいなる 後継者へ&lt;WAIT&gt;
&lt;CLEAR&gt;
「巨大な 魔物どもに
とうとう かこまれてしまった&lt;WAIT&gt;
&lt;CLEAR&gt;
「ここで みずから つくった
化け物どもに 食われてしまっては
&lt;ICON_170&gt;&lt;ICON_171&gt;&lt;ICON_172&gt;&lt;ICON_173&gt;&lt;ICON_1AF&gt;&lt;ICON_174&gt;の 名がすたる&lt;WAIT&gt;
&lt;CLEAR&gt;
「よって 装置を
封印することに きめた・・・
ふたたび 動かさんと するとき</x:v>
      </x:c>
      <x:c r="E1148" s="19" t="str">
        <x:v>&lt;CLEAR&gt;Ancient writing covers the tablet.
Yoshio added pronunciation guides.&lt;WAIT&gt;&lt;CLEAR&gt;"To my great successor
who shall come one day:&lt;WAIT&gt;&lt;CLEAR&gt;"At last I have been surrounded
by the giant monsters.&lt;WAIT&gt;&lt;CLEAR&gt;"If the creatures I made eat
me here, the name King
Baron itself would be disgraced.&lt;WAIT&gt;&lt;CLEAR&gt;"Therefore, I have decided
to seal the device away... If
one should awaken it again...</x:v>
      </x:c>
      <x:c r="F1148" s="20" t="str"/>
      <x:c r="G1148" s="20" t="str"/>
      <x:c r="H1148" s="23" t="str">
        <x:v>CLEAR NEWLINE WAIT CLEAR NEWLINE WAIT CLEAR NEWLINE WAIT CLEAR NEWLINE NEWLINE WAIT CLEAR NEWLINE NEWLINE END</x:v>
      </x:c>
      <x:c r="I1148" s="23" t="str">
        <x:v>E9:97C3</x:v>
      </x:c>
      <x:c r="J1148" s="23" t="str">
        <x:v>D0 41 6E 63 69 65 6E 74 01 77 72 69 74 69 6E 67 01 63 6F 76 65 72 73 01 74 68 65 01 74 61 62 6C 65 74 2E C8 59 6F 73 68 69 6F 01 61 64 64 65 64 01 70 72 6F 6E 75 6E 63 69 61 74 69 6F 6E 01 67 75 69 64 65 73 2E C5 D0 22 54 6F 01 6D 79 01 67 72 65 61 74 01 73 75 63 63 65 73 73 6F 72 C8 77 68 6F 01 73 68 61 6C 6C 01 63 6F 6D 65 01 6F 6E 65 01 64 61 79 3A C5 D0 22 41 74 01 6C 61 73 74 01 49 01 68 61 76 65 01 62 65 65 6E 01 73 75 72 72 6F 75 6E 64 65 64 C8 62 79 01 74 68 65 01 67 69 61 6E 74 01 6D 6F 6E 73 74 65 72 73 2E C5 D0 22 49 66 01 74 68 65 01 63 72 65 61 74 75 72 65 73 01 49 01 6D 61 64 65 01 65 61 74 C8 6D 65 01 68 65 72 65 2C 01 74 68 65 01 6E 61 6D 65 01 4B 69 6E 67 C8 42 61 72 6F 6E 01 69 74 73 65 6C 66 01 77 6F 75 6C 64 01 62 65 01 64 69 73 67 72 61 63 65 64 2E C5 D0 22 54 68 65 72 65 66 6F 72 65 2C 01 49 01 68 61 76 65 01 64 65 63 69 64 65 64 C8 74 6F 01 73 65 61 6C 01 74 68 65 01 64 65 76 69 63 65 01 61 77 61 79 2E 2E 2E 01 49 66 C8 6F 6E 65 01 73 68 6F 75 6C 64 01 61 77 61 6B 65 6E 01 69 74 01 61 67 61 69 6E 2E 2E 2E C0</x:v>
      </x:c>
      <x:c r="K1148" s="23" t="str">
        <x:v>1D0 09D 147 025 029 001 096 09F 152 153 084 015 001 015 015 039 022 011 038 1C8 067 04D 046 028 153 084 022 001 02B 037 084 015 024 084 015 001 02B 03E 022 010 038 1C5 1D0 07D 011 021 028 120 015 001 014 023 084 01C 039 038 1C8 011 084 01F 011 024 038 001 1A6 1A5 0A7 02C 1C5 1D0 07D 0CC 0AC 024 001 09A 08B 084 023 032 025 1C8 023 012 023 012 001 015 019 02E 039 022 01B 02E 03E 01F 1C5 1D0 07D 019 019 084 022 001 02F 084 01C 015 036 001 021 017 03E 01F 1C8 09E 018 08B 084 023 032 025 001 0E4 03B 039 022 01B 02E 03E 022 029 1C8 170 171 172 173 1AF 174 028 001 0CD 084 015 01C 01F 038 1C5 1D0 07D 035 03E 022 001 0C2 19F 03C 1C8 134 133 01C 038 019 023 025 001 016 031 01F 081 081 081 1C8 02B 01F 01F 084 02A 001 0B1 015 01A 03D 023 001 01C 038 023 016 1C0</x:v>
      </x:c>
    </x:row>
    <x:row r="1149">
      <x:c r="A1149" s="22" t="str">
        <x:f>"04"</x:f>
        <x:v>04</x:v>
      </x:c>
      <x:c r="B1149" s="22" t="str">
        <x:f>"7B"</x:f>
        <x:v>7B</x:v>
      </x:c>
      <x:c r="C1149" s="22" t="str">
        <x:f>"0x047B"</x:f>
        <x:v>0x047B</x:v>
      </x:c>
      <x:c r="D1149" s="21" t="str">
        <x:v>&lt;SPEAKER&gt;「わたしの 後継者よ
よくぞ ここまで 来た!&lt;WAIT&gt;&lt;SPEAKER&gt;「だが ここから先の
しれんは いままでのような
なまやさしい ものではない・・・&lt;WAIT&gt;&lt;SPEAKER&gt;「わたし以上の 頭脳を
持つ者でなければ 古代の装置に
逆に しはいされてしまうからだ!&lt;WAIT&gt;&lt;SPEAKER&gt;「わたしの やしきの
謎を解き そして おのれ自身に
勝利した時こそ・・・・・&lt;WAIT&gt;&lt;SPEAKER&gt;「古代の装置へと
通じる道が ひらかれるだろう!&lt;WAIT&gt;&lt;SPEAKER&gt;「こううんを いのる・・・</x:v>
      </x:c>
      <x:c r="E1149" s="19" t="str">
        <x:v>&lt;SPEAKER&gt;My successor, you have
done well to come this far!&lt;WAIT&gt;&lt;SPEAKER&gt;But the trials ahead
will not be as easy as
those you have faced before...&lt;WAIT&gt;&lt;SPEAKER&gt;Without a mind greater
than mine, the ancient device
will instead take control of you!&lt;WAIT&gt;&lt;SPEAKER&gt;Solve the mystery
of my manor and triumph
over your own self.&lt;WAIT&gt;&lt;SPEAKER&gt;Only then will the path
to the ancient device open!&lt;WAIT&gt;&lt;SPEAKER&gt;I wish you good fortune...</x:v>
      </x:c>
      <x:c r="F1149" s="20" t="str"/>
      <x:c r="G1149" s="20" t="str"/>
      <x:c r="H1149" s="23" t="str">
        <x:v>SPEAKER NEWLINE WAIT SPEAKER NEWLINE NEWLINE WAIT SPEAKER NEWLINE NEWLINE WAIT SPEAKER NEWLINE NEWLINE WAIT SPEAKER NEWLINE WAIT SPEAKER END</x:v>
      </x:c>
      <x:c r="I1149" s="23" t="str">
        <x:v>E9:9920</x:v>
      </x:c>
      <x:c r="J1149" s="23" t="str">
        <x:v>CC 4D 79 01 73 75 63 63 65 73 73 6F 72 2C 01 79 6F 75 01 68 61 76 65 C8 64 6F 6E 65 01 77 65 6C 6C 01 74 6F 01 63 6F 6D 65 01 74 68 69 73 01 66 61 72 21 C5 CC 42 75 74 01 74 68 65 01 74 72 69 61 6C 73 01 61 68 65 61 64 C8 77 69 6C 6C 01 6E 6F 74 01 62 65 01 61 73 01 65 61 73 79 01 61 73 C8 74 68 6F 73 65 01 79 6F 75 01 68 61 76 65 01 66 61 63 65 64 01 62 65 66 6F 72 65 2E 2E 2E C5 CC 57 69 74 68 6F 75 74 01 61 01 6D 69 6E 64 01 67 72 65 61 74 65 72 C8 74 68 61 6E 01 6D 69 6E 65 2C 01 74 68 65 01 61 6E 63 69 65 6E 74 01 64 65 76 69 63 65 C8 77 69 6C 6C 01 69 6E 73 74 65 61 64 01 74 61 6B 65 01 63 6F 6E 74 72 6F 6C 01 6F 66 01 79 6F 75 21 C5 CC 53 6F 6C 76 65 01 74 68 65 01 6D 79 73 74 65 72 79 C8 6F 66 01 6D 79 01 6D 61 6E 6F 72 01 61 6E 64 01 74 72 69 75 6D 70 68 C8 6F 76 65 72 01 79 6F 75 72 01 6F 77 6E 01 73 65 6C 66 2E C5 CC 4F 6E 6C 79 01 74 68 65 6E 01 77 69 6C 6C 01 74 68 65 01 70 61 74 68 C8 74 6F 01 74 68 65 01 61 6E 63 69 65 6E 74 01 64 65 76 69 63 65 01 6F 70 65 6E 21 C5 CC 49 01 77 69 73 68 01 79 6F 75 01 67 6F 6F 64 01 66 6F 72 74 75 6E 65 2E 2E 2E C0</x:v>
      </x:c>
      <x:c r="K1149" s="23" t="str">
        <x:v>1CC 03B 01F 01B 028 001 1A6 1A5 0A7 035 1C8 035 017 084 01E 001 019 019 02E 084 022 001 097 01F 07A 1C5 1CC 084 01F 084 015 001 019 019 015 036 0F8 028 1C8 01B 039 03D 029 001 011 02E 02E 084 022 028 035 012 024 1C8 024 02E 033 01A 01B 011 001 032 028 084 022 029 024 011 081 081 081 1C5 1CC 03B 01F 01B 0F4 128 028 001 1B9 1BB 03C 1C8 0D3 021 0A7 084 022 024 018 039 084 029 001 096 09F 028 0C2 19F 025 1C8 17E 025 001 01B 029 011 01A 039 022 01B 02E 012 015 036 084 01F 07A 1C5 1CC 03B 01F 01B 028 001 033 01B 016 028 1C8 0CF 03C 0FE 016 001 01E 01B 022 001 014 028 039 0E2 1BA 025 1C8 192 179 01B 01F 164 019 01E 081 081 081 081 081 1C5 1CC 096 09F 028 0C2 19F 02C 023 1C8 12E 084 01B 038 0C7 084 015 001 02A 036 015 039 038 084 01F 03A 012 07A 1C5 1CC 019 012 012 03D 03C 001 011 028 038 081 081 081 1C0</x:v>
      </x:c>
    </x:row>
    <x:row r="1150">
      <x:c r="A1150" s="22" t="str">
        <x:f>"04"</x:f>
        <x:v>04</x:v>
      </x:c>
      <x:c r="B1150" s="22" t="str">
        <x:f>"7C"</x:f>
        <x:v>7C</x:v>
      </x:c>
      <x:c r="C1150" s="22" t="str">
        <x:f>"0x047C"</x:f>
        <x:v>0x047C</x:v>
      </x:c>
      <x:c r="D1150" s="21" t="str">
        <x:v>&lt;SPEAKER&gt;「・・・さあ ここで
自分を 見つめなおすのだ&lt;WAIT&gt;&lt;SPEAKER&gt;「にくしみ いかり うらみ
あらゆる うちなる 心こそ
おのれ自身の 最大の敵・・&lt;WAIT&gt;&lt;SPEAKER&gt;「神に ちかづきたくば
まず おのれ自身に うち勝つのだ・・</x:v>
      </x:c>
      <x:c r="E1150" s="19" t="str">
        <x:v>&lt;SPEAKER&gt;Now, look within yourself.&lt;WAIT&gt;&lt;SPEAKER&gt;Hatred, anger,
resentment... The heart within
is your greatest enemy.&lt;WAIT&gt;&lt;SPEAKER&gt;If you would
approach the divine, first
conquer your own self...</x:v>
      </x:c>
      <x:c r="F1150" s="20" t="str"/>
      <x:c r="G1150" s="20" t="str"/>
      <x:c r="H1150" s="23" t="str">
        <x:v>SPEAKER WAIT SPEAKER NEWLINE NEWLINE WAIT SPEAKER NEWLINE NEWLINE END</x:v>
      </x:c>
      <x:c r="I1150" s="23" t="str">
        <x:v>E9:9A88</x:v>
      </x:c>
      <x:c r="J1150" s="23" t="str">
        <x:v>CC 4E 6F 77 2C 01 6C 6F 6F 6B 01 77 69 74 68 69 6E 01 79 6F 75 72 73 65 6C 66 2E C5 CC 48 61 74 72 65 64 2C 01 61 6E 67 65 72 2C C8 72 65 73 65 6E 74 6D 65 6E 74 2E 2E 2E 01 54 68 65 01 68 65 61 72 74 01 77 69 74 68 69 6E C8 69 73 01 79 6F 75 72 01 67 72 65 61 74 65 73 74 01 65 6E 65 6D 79 2E C5 CC 49 66 01 79 6F 75 01 77 6F 75 6C 64 C8 61 70 70 72 6F 61 63 68 01 74 68 65 01 64 69 76 69 6E 65 2C 01 66 69 72 73 74 C8 63 6F 6E 71 75 65 72 01 79 6F 75 72 01 6F 77 6E 01 73 65 6C 66 2E 2E 2E C0</x:v>
      </x:c>
      <x:c r="K1150" s="23" t="str">
        <x:v>1CC 081 081 081 01A 010 001 019 019 084 022 1C8 0E2 16C 03C 001 090 021 031 024 014 01C 028 084 01F 1C5 1CC 025 017 01B 02F 001 011 015 037 001 012 036 02F 1C8 010 036 034 038 001 012 020 024 038 001 0D4 019 01E 1C8 014 028 039 0E2 1BA 028 001 18A 0AC 028 132 081 081 1C5 1CC 0DC 025 001 020 015 084 021 016 01F 017 084 029 1C8 02E 084 01C 001 014 028 039 0E2 1BA 025 001 012 020 192 021 028 084 01F 081 081 1C0</x:v>
      </x:c>
    </x:row>
    <x:row r="1151">
      <x:c r="A1151" s="22" t="str">
        <x:f>"04"</x:f>
        <x:v>04</x:v>
      </x:c>
      <x:c r="B1151" s="22" t="str">
        <x:f>"7D"</x:f>
        <x:v>7D</x:v>
      </x:c>
      <x:c r="C1151" s="22" t="str">
        <x:f>"0x047D"</x:f>
        <x:v>0x047D</x:v>
      </x:c>
      <x:c r="D1151" s="21" t="str">
        <x:v>&lt;CLEAR&gt;
大きな鏡がある&lt;WAIT&gt;
&lt;CLEAR&gt;
どうしたことか 自分のすがたが
うつっていない・・・</x:v>
      </x:c>
      <x:c r="E1151" s="19" t="str">
        <x:v>&lt;CLEAR&gt;There is a large mirror.&lt;WAIT&gt;&lt;CLEAR&gt;Strangely, your reflections
do not appear in it...</x:v>
      </x:c>
      <x:c r="F1151" s="20" t="str"/>
      <x:c r="G1151" s="20" t="str"/>
      <x:c r="H1151" s="23" t="str">
        <x:v>CLEAR WAIT CLEAR NEWLINE END</x:v>
      </x:c>
      <x:c r="I1151" s="23" t="str">
        <x:v>E9:9B2D</x:v>
      </x:c>
      <x:c r="J1151" s="23" t="str">
        <x:v>D0 54 68 65 72 65 01 69 73 01 61 01 6C 61 72 67 65 01 6D 69 72 72 6F 72 2E C5 D0 53 74 72 61 6E 67 65 6C 79 2C 01 79 6F 75 72 01 72 65 66 6C 65 63 74 69 6F 6E 73 C8 64 6F 01 6E 6F 74 01 61 70 70 65 61 72 01 69 6E 01 69 74 2E 2E 2E C0</x:v>
      </x:c>
      <x:c r="K1151" s="23" t="str">
        <x:v>1D0 0AC 016 024 0E9 084 015 010 038 1C5 1D0 084 023 012 01B 01F 019 023 015 001 0E2 16C 028 01C 084 015 01F 084 015 1C8 012 021 03E 022 011 024 011 081 081 081 1C0</x:v>
      </x:c>
    </x:row>
    <x:row r="1152">
      <x:c r="A1152" s="22" t="str">
        <x:f>"04"</x:f>
        <x:v>04</x:v>
      </x:c>
      <x:c r="B1152" s="22" t="str">
        <x:f>"7E"</x:f>
        <x:v>7E</x:v>
      </x:c>
      <x:c r="C1152" s="22" t="str">
        <x:f>"0x047E"</x:f>
        <x:v>0x047E</x:v>
      </x:c>
      <x:c r="D1152" s="21" t="str">
        <x:v>&lt;CLEAR&gt;
レディたちの体が
ちいさくなってしまった</x:v>
      </x:c>
      <x:c r="E1152" s="19" t="str">
        <x:v>&lt;CLEAR&gt;The party's bodies
have become tiny!</x:v>
      </x:c>
      <x:c r="F1152" s="20" t="str"/>
      <x:c r="G1152" s="20" t="str"/>
      <x:c r="H1152" s="23" t="str">
        <x:v>CLEAR NEWLINE END</x:v>
      </x:c>
      <x:c r="I1152" s="23" t="str">
        <x:v>E9:9B7B</x:v>
      </x:c>
      <x:c r="J1152" s="23" t="str">
        <x:v>D0 54 68 65 01 70 61 72 74 79 27 73 01 62 6F 64 69 65 73 C8 68 61 76 65 01 62 65 63 6F 6D 65 01 74 69 6E 79 21 C0</x:v>
      </x:c>
      <x:c r="K1152" s="23" t="str">
        <x:v>1D0 06B 084 054 075 01F 020 028 0F0 084 015 1C8 020 011 01A 017 024 03E 022 01B 02E 03E 01F 1C0</x:v>
      </x:c>
    </x:row>
    <x:row r="1153">
      <x:c r="A1153" s="22" t="str">
        <x:f>"04"</x:f>
        <x:v>04</x:v>
      </x:c>
      <x:c r="B1153" s="22" t="str">
        <x:f>"7F"</x:f>
        <x:v>7F</x:v>
      </x:c>
      <x:c r="C1153" s="22" t="str">
        <x:f>"0x047F"</x:f>
        <x:v>0x047F</x:v>
      </x:c>
      <x:c r="D1153" s="21" t="str">
        <x:v>&lt;SPEAKER&gt;「ぶはっ ぶふぉ ばかめっ
ジェイビーさまに さからうなんて
1000年 はやいわいっ&lt;WAIT&gt;&lt;SPEAKER&gt;「ふみつぶしてやるっ</x:v>
      </x:c>
      <x:c r="E1153" s="19" t="str">
        <x:v>&lt;SPEAKER&gt;Bwah! Bwoof! Fools!
Defying Lord J.B. is a
thousand years too soon!&lt;WAIT&gt;&lt;SPEAKER&gt;I will crush you underfoot!</x:v>
      </x:c>
      <x:c r="F1153" s="20" t="str"/>
      <x:c r="G1153" s="20" t="str"/>
      <x:c r="H1153" s="23" t="str">
        <x:v>SPEAKER NEWLINE NEWLINE WAIT SPEAKER END</x:v>
      </x:c>
      <x:c r="I1153" s="23" t="str">
        <x:v>E9:9BA1</x:v>
      </x:c>
      <x:c r="J1153" s="23" t="str">
        <x:v>CC 42 77 61 68 21 01 42 77 6F 6F 66 21 01 46 6F 6F 6C 73 21 C8 44 65 66 79 69 6E 67 01 4C 6F 72 64 01 4A 2E 42 2E 01 69 73 01 61 C8 74 68 6F 75 73 61 6E 64 01 79 65 61 72 73 01 74 6F 6F 01 73 6F 6F 6E 21 C5 CC 49 01 77 69 6C 6C 01 63 72 75 73 68 01 79 6F 75 01 75 6E 64 65 72 66 6F 6F 74 21 C0</x:v>
      </x:c>
      <x:c r="K1153" s="23" t="str">
        <x:v>1CC 084 02B 029 03E 001 084 02B 02B 082 001 084 029 015 031 03E 1C8 084 04D 076 043 084 05C 078 01A 02E 025 001 01A 015 036 012 024 03D 022 1C8 003 002 002 002 0CA 001 029 033 011 03B 011 03E 1C5 1CC 02B 02F 021 084 02B 01B 022 033 038 03E 1C0</x:v>
      </x:c>
    </x:row>
    <x:row r="1154">
      <x:c r="A1154" s="22" t="str">
        <x:f>"04"</x:f>
        <x:v>04</x:v>
      </x:c>
      <x:c r="B1154" s="22" t="str">
        <x:f>"80"</x:f>
        <x:v>80</x:v>
      </x:c>
      <x:c r="C1154" s="22" t="str">
        <x:f>"0x0480"</x:f>
        <x:v>0x0480</x:v>
      </x:c>
      <x:c r="D1154" s="21" t="str">
        <x:v>&lt;SPEAKER&gt;「ジェイビーさまからは てごわい
こむすめと 聞いていたが
たいしたこと なかったな&lt;WAIT&gt;&lt;SPEAKER&gt;「さてと ちょっくら
ひるねでも するか</x:v>
      </x:c>
      <x:c r="E1154" s="19" t="str">
        <x:v>&lt;SPEAKER&gt;Lord J.B. said you
were a tough little girl, but
that was nothing special.&lt;WAIT&gt;&lt;SPEAKER&gt;Well then... I think
I will take a little nap.</x:v>
      </x:c>
      <x:c r="F1154" s="20" t="str"/>
      <x:c r="G1154" s="20" t="str"/>
      <x:c r="H1154" s="23" t="str">
        <x:v>SPEAKER NEWLINE NEWLINE WAIT SPEAKER NEWLINE END</x:v>
      </x:c>
      <x:c r="I1154" s="23" t="str">
        <x:v>E9:9C03</x:v>
      </x:c>
      <x:c r="J1154" s="23" t="str">
        <x:v>CC 4C 6F 72 64 01 4A 2E 42 2E 01 73 61 69 64 01 79 6F 75 C8 77 65 72 65 01 61 01 74 6F 75 67 68 01 6C 69 74 74 6C 65 01 67 69 72 6C 2C 01 62 75 74 C8 74 68 61 74 01 77 61 73 01 6E 6F 74 68 69 6E 67 01 73 70 65 63 69 61 6C 2E C5 CC 57 65 6C 6C 01 74 68 65 6E 2E 2E 2E 01 49 01 74 68 69 6E 6B C8 49 01 77 69 6C 6C 01 74 61 6B 65 01 61 01 6C 69 74 74 6C 65 01 6E 61 70 2E C0</x:v>
      </x:c>
      <x:c r="K1154" s="23" t="str">
        <x:v>1CC 084 04D 076 043 084 05C 078 01A 02E 015 036 029 001 022 084 019 03B 011 1C8 019 030 01C 031 023 001 0A6 011 022 011 01F 084 015 1C8 01F 011 01B 01F 019 023 001 024 015 03E 01F 024 1C5 1CC 01A 022 023 001 020 041 03E 017 036 1C8 02A 038 027 084 022 032 001 01C 038 015 1C0</x:v>
      </x:c>
    </x:row>
    <x:row r="1155">
      <x:c r="A1155" s="22" t="str">
        <x:f>"04"</x:f>
        <x:v>04</x:v>
      </x:c>
      <x:c r="B1155" s="22" t="str">
        <x:f>"81"</x:f>
        <x:v>81</x:v>
      </x:c>
      <x:c r="C1155" s="22" t="str">
        <x:f>"0x0481"</x:f>
        <x:v>0x0481</x:v>
      </x:c>
      <x:c r="D1155" s="21" t="str">
        <x:v>&lt;CLEAR&gt;
ヨシオの たましいが
おたけびをあげた!</x:v>
      </x:c>
      <x:c r="E1155" s="19" t="str">
        <x:v>&lt;CLEAR&gt;Yoshio's soul lets
out a mighty roar!</x:v>
      </x:c>
      <x:c r="F1155" s="20" t="str"/>
      <x:c r="G1155" s="20" t="str"/>
      <x:c r="H1155" s="23" t="str">
        <x:v>CLEAR NEWLINE END</x:v>
      </x:c>
      <x:c r="I1155" s="23" t="str">
        <x:v>E9:9C7F</x:v>
      </x:c>
      <x:c r="J1155" s="23" t="str">
        <x:v>D0 59 6F 73 68 69 6F 27 73 01 73 6F 75 6C 01 6C 65 74 73 C8 6F 75 74 01 61 01 6D 69 67 68 74 79 01 72 6F 61 72 21 C0</x:v>
      </x:c>
      <x:c r="K1155" s="23" t="str">
        <x:v>1D0 067 04D 046 028 001 01F 02E 01B 011 084 015 1C8 014 01F 018 084 02A 03C 010 084 018 01F 07A 1C0</x:v>
      </x:c>
    </x:row>
    <x:row r="1156">
      <x:c r="A1156" s="22" t="str">
        <x:f>"04"</x:f>
        <x:v>04</x:v>
      </x:c>
      <x:c r="B1156" s="22" t="str">
        <x:f>"82"</x:f>
        <x:v>82</x:v>
      </x:c>
      <x:c r="C1156" s="22" t="str">
        <x:f>"0x0482"</x:f>
        <x:v>0x0482</x:v>
      </x:c>
      <x:c r="D1156" s="21" t="str">
        <x:v>&lt;SPEAKER&gt;「いやー お嬢さま
ききいっぱつ でしたのう!&lt;WAIT&gt;&lt;SPEAKER&gt;「この ゆかの すきまが
なかったら ぺったんこでしたな!
いやいや よかったわい!&lt;WAIT&gt;&lt;SPEAKER&gt;「と ひとあんしん してる
ばあいでも ありませんな&lt;WAIT&gt;&lt;SPEAKER&gt;「なんとか もとの 大きさに
もどらないと・・・・・・</x:v>
      </x:c>
      <x:c r="E1156" s="19" t="str">
        <x:v>&lt;SPEAKER&gt;Whew, my lady!
That was a very close call!&lt;WAIT&gt;&lt;SPEAKER&gt;If not for this gap
in the floor, we would have
been flattened! What a relief!&lt;WAIT&gt;&lt;SPEAKER&gt;But this is
hardly the time to relax.&lt;WAIT&gt;&lt;SPEAKER&gt;We must find some way
to return to our normal size...</x:v>
      </x:c>
      <x:c r="F1156" s="20" t="str"/>
      <x:c r="G1156" s="20" t="str"/>
      <x:c r="H1156" s="23" t="str">
        <x:v>SPEAKER NEWLINE WAIT SPEAKER NEWLINE NEWLINE WAIT SPEAKER NEWLINE WAIT SPEAKER NEWLINE END</x:v>
      </x:c>
      <x:c r="I1156" s="23" t="str">
        <x:v>E9:9CA6</x:v>
      </x:c>
      <x:c r="J1156" s="23" t="str">
        <x:v>CC 57 68 65 77 2C 01 6D 79 01 6C 61 64 79 21 C8 54 68 61 74 01 77 61 73 01 61 01 76 65 72 79 01 63 6C 6F 73 65 01 63 61 6C 6C 21 C5 CC 49 66 01 6E 6F 74 01 66 6F 72 01 74 68 69 73 01 67 61 70 C8 69 6E 01 74 68 65 01 66 6C 6F 6F 72 2C 01 77 65 01 77 6F 75 6C 64 01 68 61 76 65 C8 62 65 65 6E 01 66 6C 61 74 74 65 6E 65 64 21 01 57 68 61 74 01 61 01 72 65 6C 69 65 66 21 C5 CC 42 75 74 01 74 68 69 73 01 69 73 C8 68 61 72 64 6C 79 01 74 68 65 01 74 69 6D 65 01 74 6F 01 72 65 6C 61 78 2E C5 CC 57 65 01 6D 75 73 74 01 66 69 6E 64 01 73 6F 6D 65 01 77 61 79 C8 74 6F 01 72 65 74 75 72 6E 01 74 6F 01 6F 75 72 01 6E 6F 72 6D 61 6C 01 73 69 7A 65 2E 2E 2E C0</x:v>
      </x:c>
      <x:c r="K1156" s="23" t="str">
        <x:v>1CC 011 033 078 001 014 0D8 01A 02E 1C8 016 016 011 03E 083 029 021 001 084 022 01B 01F 028 012 07A 1C5 1CC 019 028 001 034 015 028 001 01C 016 02E 084 015 1C8 024 015 03E 01F 036 001 083 02C 03E 01F 03D 019 084 022 01B 01F 024 07A 1C8 011 033 011 033 001 035 015 03E 01F 03B 011 07A 1C5 1CC 023 001 02A 023 010 03D 01B 03D 001 01B 022 038 1C8 084 029 010 011 084 022 032 001 010 037 02E 01D 03D 024 1C5 1CC 024 03D 023 015 001 032 023 028 001 0AC 016 01A 025 1C8 032 084 023 036 024 011 023 081 081 081 081 081 081 1C0</x:v>
      </x:c>
    </x:row>
    <x:row r="1157">
      <x:c r="A1157" s="22" t="str">
        <x:f>"04"</x:f>
        <x:v>04</x:v>
      </x:c>
      <x:c r="B1157" s="22" t="str">
        <x:f>"83"</x:f>
        <x:v>83</x:v>
      </x:c>
      <x:c r="C1157" s="22" t="str">
        <x:f>"0x0483"</x:f>
        <x:v>0x0483</x:v>
      </x:c>
      <x:c r="D1157" s="21" t="str">
        <x:v>&lt;SPEAKER&gt;「ゲルおほほほ ゲルルル&lt;WAIT&gt;&lt;SPEAKER&gt;「お前らの しつこさには
ほとほと 頭が下がるぜ ゲルルル&lt;WAIT&gt;&lt;SPEAKER&gt;「おれが いったい 何を
したと いうのだ? ゲルルル?&lt;WAIT&gt;&lt;SPEAKER&gt;「まだ なんにも しとらんよ&lt;WAIT&gt;&lt;SPEAKER&gt;「魔物は ていこくを
きずいては いけないのか?&lt;WAIT&gt;&lt;SPEAKER&gt;「人間は 国を
つくっているでは ないか!&lt;WAIT&gt;&lt;SPEAKER&gt;「ふふゲルゲル! ふふふ
お嬢さんに むつかしいことを
いっても わかるまいな!&lt;WAIT&gt;&lt;SPEAKER&gt;「だが おれは お嬢さんを
気に入ったよ ゲルルル ほんと!&lt;WAIT&gt;&lt;SPEAKER&gt;「だから おしえてやろう!
この バロンの塔の おくに
古代の装置が あるのだ!&lt;WAIT&gt;&lt;SPEAKER&gt;「古代の装置こそ
魔物の ていこくの ゲルっ
みなもとと なるのだ ゲルル&lt;WAIT&gt;&lt;SPEAKER&gt;「ゲルゲル ぐわぐぶゲル
げごぐげええええ ゲルぐははひひ
げひひひひいひいひいひひいいー</x:v>
      </x:c>
      <x:c r="E1157" s="19" t="str">
        <x:v>&lt;SPEAKER&gt;Grr-hohoho! Grrrr...&lt;WAIT&gt;&lt;SPEAKER&gt;I must admire your
persistence. You simply
refuse to give up. Grrr.&lt;WAIT&gt;&lt;SPEAKER&gt;What exactly have I
done to deserve this? Grrr?&lt;WAIT&gt;&lt;SPEAKER&gt;I have not
done anything yet!&lt;WAIT&gt;&lt;SPEAKER&gt;Are monsters forbidden
from building an empire?&lt;WAIT&gt;&lt;SPEAKER&gt;Humans build
countries, do they not?!&lt;WAIT&gt;&lt;SPEAKER&gt;Heh, grr-grr! I suppose
that is too difficult a subject
for a young lady like you!&lt;WAIT&gt;&lt;SPEAKER&gt;Still, I like you,
young lady. I really do. Grrr!&lt;WAIT&gt;&lt;SPEAKER&gt;So I will tell you
something! The ancient device
lies deep inside this tower!&lt;WAIT&gt;&lt;SPEAKER&gt;That ancient device
will become the foundation
of our monster empire!&lt;WAIT&gt;&lt;SPEAKER&gt;Grrr-grr...
gwa-gub-grr! Geh-go-gyeee!
Grr-gahaha! Gehihihihihiii!</x:v>
      </x:c>
      <x:c r="F1157" s="20" t="str"/>
      <x:c r="G1157" s="20" t="str"/>
      <x:c r="H1157" s="23" t="str">
        <x:v>SPEAKER WAIT SPEAKER NEWLINE NEWLINE WAIT SPEAKER NEWLINE WAIT SPEAKER NEWLINE WAIT SPEAKER NEWLINE WAIT SPEAKER NEWLINE WAIT SPEAKER NEWLINE NEWLINE WAIT SPEAKER NEWLINE WAIT SPEAKER NEWLINE NEWLINE WAIT SPEAKER NEWLINE NEWLINE WAIT SPEAKER NEWLINE NEWLINE END</x:v>
      </x:c>
      <x:c r="I1157" s="23" t="str">
        <x:v>E9:9D80</x:v>
      </x:c>
      <x:c r="J1157" s="23" t="str">
        <x:v>CC 47 72 72 2D 68 6F 68 6F 68 6F 21 01 47 72 72 72 72 2E 2E 2E C5 CC 49 01 6D 75 73 74 01 61 64 6D 69 72 65 01 79 6F 75 72 C8 70 65 72 73 69 73 74 65 6E 63 65 2E 01 59 6F 75 01 73 69 6D 70 6C 79 C8 72 65 66 75 73 65 01 74 6F 01 67 69 76 65 01 75 70 2E 01 47 72 72 72 2E C5 CC 57 68 61 74 01 65 78 61 63 74 6C 79 01 68 61 76 65 01 49 C8 64 6F 6E 65 01 74 6F 01 64 65 73 65 72 76 65 01 74 68 69 73 3F 01 47 72 72 72 3F C5 CC 49 01 68 61 76 65 01 6E 6F 74 C8 64 6F 6E 65 01 61 6E 79 74 68 69 6E 67 01 79 65 74 21 C5 CC 41 72 65 01 6D 6F 6E 73 74 65 72 73 01 66 6F 72 62 69 64 64 65 6E C8 66 72 6F 6D 01 62 75 69 6C 64 69 6E 67 01 61 6E 01 65 6D 70 69 72 65 3F C5 CC 48 75 6D 61 6E 73 01 62 75 69 6C 64 C8 63 6F 75 6E 74 72 69 65 73 2C 01 64 6F 01 74 68 65 79 01 6E 6F 74 3F 21 C5 CC 48 65 68 2C 01 67 72 72 2D 67 72 72 21 01 49 01 73 75 70 70 6F 73 65 C8 74 68 61 74 01 69 73 01 74 6F 6F 01 64 69 66 66 69 63 75 6C 74 01 61 01 73 75 62 6A 65 63 74 C8 66 6F 72 01 61 01 79 6F 75 6E 67 01 6C 61 64 79 01 6C 69 6B 65 01 79 6F 75 21 C5 CC 53 74 69 6C 6C 2C 01 49 01 6C 69 6B 65 01 79 6F 75 2C C8 79 6F 75 6E 67 01 6C 61 64 79 2E 01 49 01 72 65 61 6C 6C 79 01 64 6F 2E 01 47 72 72 72 21 C5 CC 53 6F 01 49 01 77 69 6C 6C 01 74 65 6C 6C 01 79 6F 75 C8 73 6F 6D 65 74 68 69 6E 67 21 01 54 68 65 01 61 6E 63 69 65 6E 74 01 64 65 76 69 63 65 C8 6C 69 65 73 01 64 65 65 70 01 69 6E 73 69 64 65 01 74 68 69 73 01 74 6F 77 65 72 21 C5 CC 54 68 61 74 01 61 6E 63 69 65 6E 74 01 64 65 76 69 63 65 C8 77 69 6C 6C 01 62 65 63 6F 6D 65 01 74 68 65 01 66 6F 75 6E 64 61 74 69 6F 6E C8 6F 66 01 6F 75 72 01 6D 6F 6E 73 74 65 72 01 65 6D 70 69 72 65 21 C5 CC 47 72 72 72 2D 67 72 72 2E 2E 2E C8 67 77 61 2D 67 75 62 2D 67 72 72 21 01 47 65 68 2D 67 6F 2D 67 79 65 65 65 21 C8 47 72 72 2D 67 61 68 61 68 61 21 01 47 65 68 69 68 69 68 69 68 69 68 69 69 69 21 C0</x:v>
      </x:c>
      <x:c r="K1157" s="23" t="str">
        <x:v>1CC 084 04A 06A 014 02D 02D 02D 001 084 04A 06A 06A 06A 1C5 1CC 014 0C3 036 028 001 01B 021 019 01A 025 029 1C8 02D 023 02D 023 001 1B9 084 015 0B8 084 015 038 084 01D 001 084 04A 06A 06A 06A 1C5 1CC 014 039 084 015 001 011 03E 01F 011 001 093 03C 1C8 01B 01F 023 001 011 012 028 084 01F 079 001 084 04A 06A 06A 06A 079 1C5 1CC 02E 084 01F 001 024 03D 025 032 001 01B 023 036 03D 035 1C5 1CC 09A 08B 029 001 022 011 019 017 03C 1C8 016 084 01C 011 022 029 001 011 018 024 011 028 015 079 1C5 1CC 091 0E3 029 001 0EB 03C 1C8 021 017 03E 022 011 038 084 022 029 001 024 011 015 07A 1C5 1CC 02B 02B 084 04A 06A 084 04A 06A 07A 001 02B 02B 02B 1C8 014 0D8 01A 03D 025 001 030 021 015 01B 011 019 023 03C 1C8 011 03E 022 032 001 03B 015 038 02E 011 024 07A 1C5 1CC 084 01F 084 015 001 014 039 029 001 014 0D8 01A 03D 03C 1C8 099 025 08E 03E 01F 035 001 084 04A 06A 06A 06A 001 02D 03D 023 07A 1C5 1CC 084 01F 015 036 001 014 01B 013 022 033 03A 012 07A 1C8 019 028 001 084 05B 06C 06F 028 154 028 001 014 017 025 1C8 096 09F 028 0C2 19F 084 015 001 010 038 028 084 01F 07A 1C5 1CC 096 09F 028 0C2 19F 019 01E 1C8 09A 08B 028 001 022 011 019 017 028 001 084 04A 06A 03E 1C8 02F 024 032 023 023 001 024 038 028 084 01F 001 084 04A 06A 06A 1C5 1CC 084 04A 06A 084 04A 06A 001 084 017 03B 084 017 084 02B 084 04A 06A 1C8 084 018 084 019 084 017 084 018 013 013 013 013 001 084 04A 06A 084 017 029 029 02A 02A 1C8 084 018 02A 02A 02A 02A 011 02A 011 02A 011 02A 02A 011 011 078 1C0</x:v>
      </x:c>
    </x:row>
    <x:row r="1158">
      <x:c r="A1158" s="22" t="str">
        <x:f>"04"</x:f>
        <x:v>04</x:v>
      </x:c>
      <x:c r="B1158" s="22" t="str">
        <x:f>"84"</x:f>
        <x:v>84</x:v>
      </x:c>
      <x:c r="C1158" s="22" t="str">
        <x:f>"0x0484"</x:f>
        <x:v>0x0484</x:v>
      </x:c>
      <x:c r="D1158" s="21" t="str">
        <x:v>&lt;SPEAKER&gt;「とうとう ここまで 来たか
ならば とくと おがむがいい
この 古代の装置をなっ!&lt;WAIT&gt;&lt;SPEAKER&gt;「そして おまえたちに
おれと おなじ くるしみを
あじあわせて やろう!&lt;WAIT&gt;&lt;SPEAKER&gt;「ゲルルルルルルル
おまえら 3人まとめて
装置に たたきこんでやるっ!</x:v>
      </x:c>
      <x:c r="E1158" s="19" t="str">
        <x:v>&lt;SPEAKER&gt;So you finally made
it this far. Then feast your
eyes on the ancient device!&lt;WAIT&gt;&lt;SPEAKER&gt;And now I will make
you suffer exactly as I did!&lt;WAIT&gt;&lt;SPEAKER&gt;Grrrrrrrr! I will
throw all three of you
into the device together!</x:v>
      </x:c>
      <x:c r="F1158" s="20" t="str"/>
      <x:c r="G1158" s="20" t="str"/>
      <x:c r="H1158" s="23" t="str">
        <x:v>SPEAKER NEWLINE NEWLINE WAIT SPEAKER NEWLINE WAIT SPEAKER NEWLINE NEWLINE END</x:v>
      </x:c>
      <x:c r="I1158" s="23" t="str">
        <x:v>E9:9FE4</x:v>
      </x:c>
      <x:c r="J1158" s="23" t="str">
        <x:v>CC 53 6F 01 79 6F 75 01 66 69 6E 61 6C 6C 79 01 6D 61 64 65 C8 69 74 01 74 68 69 73 01 66 61 72 2E 01 54 68 65 6E 01 66 65 61 73 74 01 79 6F 75 72 C8 65 79 65 73 01 6F 6E 01 74 68 65 01 61 6E 63 69 65 6E 74 01 64 65 76 69 63 65 21 C5 CC 41 6E 64 01 6E 6F 77 01 49 01 77 69 6C 6C 01 6D 61 6B 65 C8 79 6F 75 01 73 75 66 66 65 72 01 65 78 61 63 74 6C 79 01 61 73 01 49 01 64 69 64 21 C5 CC 47 72 72 72 72 72 72 72 72 21 01 49 01 77 69 6C 6C C8 74 68 72 6F 77 01 61 6C 6C 01 74 68 72 65 65 01 6F 66 01 79 6F 75 C8 69 6E 74 6F 01 74 68 65 01 64 65 76 69 63 65 01 74 6F 67 65 74 68 65 72 21 C0</x:v>
      </x:c>
      <x:c r="K1158" s="23" t="str">
        <x:v>1CC 023 012 023 012 001 019 019 02E 084 022 001 097 01F 015 1C8 024 036 084 029 001 023 017 023 001 014 084 015 030 084 015 011 011 1C8 019 028 001 096 09F 028 0C2 19F 03C 024 03E 07A 1C5 1CC 01E 01B 022 001 014 02E 013 01F 020 025 1C8 014 039 023 001 014 024 084 01B 001 017 038 01B 02F 03C 1C8 010 084 01B 010 03B 01D 022 001 033 03A 012 07A 1C5 1CC 084 04A 06A 06A 06A 06A 06A 06A 06A 1C8 014 02E 013 036 001 005 091 02E 023 031 022 1C8 0C2 19F 025 001 01F 01F 016 019 03D 084 022 033 038 03E 07A 1C0</x:v>
      </x:c>
    </x:row>
    <x:row r="1159">
      <x:c r="A1159" s="22" t="str">
        <x:f>"04"</x:f>
        <x:v>04</x:v>
      </x:c>
      <x:c r="B1159" s="22" t="str">
        <x:f>"85"</x:f>
        <x:v>85</x:v>
      </x:c>
      <x:c r="C1159" s="22" t="str">
        <x:f>"0x0485"</x:f>
        <x:v>0x0485</x:v>
      </x:c>
      <x:c r="D1159" s="21" t="str">
        <x:v>&lt;SPEAKER&gt;「あぐぐ&lt;PAUSE_30&gt; あぐぐぐぐぐ&lt;PAUSE_60&gt;
あの日&lt;PAUSE_30&gt; おれは&lt;PAUSE_30&gt; もりを
さんぽしていた・・・・・</x:v>
      </x:c>
      <x:c r="E1159" s="19" t="str">
        <x:v>&lt;SPEAKER&gt;Agh...&lt;PAUSE_30&gt; aghghgh...&lt;PAUSE_60&gt; That day...&lt;PAUSE_30&gt;
I was&lt;PAUSE_30&gt; walking through the forest...</x:v>
      </x:c>
      <x:c r="F1159" s="20" t="str"/>
      <x:c r="G1159" s="20" t="str"/>
      <x:c r="H1159" s="23" t="str">
        <x:v>SPEAKER PAUSE_30 PAUSE_60 PAUSE_30 NEWLINE PAUSE_30 END</x:v>
      </x:c>
      <x:c r="I1159" s="23" t="str">
        <x:v>E9:A0A8</x:v>
      </x:c>
      <x:c r="J1159" s="23" t="str">
        <x:v>CC 41 67 68 2E 2E 2E CD 01 61 67 68 67 68 67 68 2E 2E 2E CB 01 54 68 61 74 01 64 61 79 2E 2E 2E CD C8 49 01 77 61 73 CD 01 77 61 6C 6B 69 6E 67 01 74 68 72 6F 75 67 68 01 74 68 65 01 66 6F 72 65 73 74 2E 2E 2E C0</x:v>
      </x:c>
      <x:c r="K1159" s="23" t="str">
        <x:v>1CC 010 084 017 084 017 1CD 001 010 084 017 084 017 084 017 084 017 084 017 1CB 1C8 010 028 120 1CD 001 014 039 029 1CD 001 032 037 03C 1C8 01A 03D 083 02D 01B 022 011 01F 081 081 081 081 081 1C0</x:v>
      </x:c>
    </x:row>
    <x:row r="1160">
      <x:c r="A1160" s="22" t="str">
        <x:f>"04"</x:f>
        <x:v>04</x:v>
      </x:c>
      <x:c r="B1160" s="22" t="str">
        <x:f>"86"</x:f>
        <x:v>86</x:v>
      </x:c>
      <x:c r="C1160" s="22" t="str">
        <x:f>"0x0486"</x:f>
        <x:v>0x0486</x:v>
      </x:c>
      <x:c r="D1160" s="21" t="str">
        <x:v>&lt;CLEAR&gt;
何千年もまえ デスランド島</x:v>
      </x:c>
      <x:c r="E1160" s="19" t="str">
        <x:v>&lt;CLEAR&gt;Thousands of years ago,
on Deathland Island...</x:v>
      </x:c>
      <x:c r="F1160" s="20" t="str"/>
      <x:c r="G1160" s="20" t="str"/>
      <x:c r="H1160" s="23" t="str">
        <x:v>CLEAR NEWLINE END</x:v>
      </x:c>
      <x:c r="I1160" s="23" t="str">
        <x:v>E9:A0EF</x:v>
      </x:c>
      <x:c r="J1160" s="23" t="str">
        <x:v>D0 54 68 6F 75 73 61 6E 64 73 01 6F 66 01 79 65 61 72 73 01 61 67 6F 2C C8 6F 6E 01 44 65 61 74 68 6C 61 6E 64 01 49 73 6C 61 6E 64 2E 2E 2E C0</x:v>
      </x:c>
      <x:c r="K1160" s="23" t="str">
        <x:v>1D0 093 0BC 0CA 032 02E 013 001 084 054 04E 068 06F 084 055 08A 1C0</x:v>
      </x:c>
    </x:row>
    <x:row r="1161">
      <x:c r="A1161" s="22" t="str">
        <x:f>"04"</x:f>
        <x:v>04</x:v>
      </x:c>
      <x:c r="B1161" s="22" t="str">
        <x:f>"87"</x:f>
        <x:v>87</x:v>
      </x:c>
      <x:c r="C1161" s="22" t="str">
        <x:f>"0x0487"</x:f>
        <x:v>0x0487</x:v>
      </x:c>
      <x:c r="D1161" s="21" t="str">
        <x:v>&lt;SPEAKER&gt;「らん らん らん
にんげんでも おどかそうかな</x:v>
      </x:c>
      <x:c r="E1161" s="19" t="str">
        <x:v>&lt;SPEAKER&gt;La, la, la... Maybe I
will go scare some humans.</x:v>
      </x:c>
      <x:c r="F1161" s="20" t="str"/>
      <x:c r="G1161" s="20" t="str"/>
      <x:c r="H1161" s="23" t="str">
        <x:v>SPEAKER NEWLINE END</x:v>
      </x:c>
      <x:c r="I1161" s="23" t="str">
        <x:v>E9:A11F</x:v>
      </x:c>
      <x:c r="J1161" s="23" t="str">
        <x:v>CC 4C 61 2C 01 6C 61 2C 01 6C 61 2E 2E 2E 01 4D 61 79 62 65 01 49 C8 77 69 6C 6C 01 67 6F 01 73 63 61 72 65 01 73 6F 6D 65 01 68 75 6D 61 6E 73 2E C0</x:v>
      </x:c>
      <x:c r="K1161" s="23" t="str">
        <x:v>1CC 036 03D 001 036 03D 001 036 03D 1C8 025 03D 084 018 03D 084 022 032 001 014 084 023 015 01E 012 015 024 1C0</x:v>
      </x:c>
    </x:row>
    <x:row r="1162">
      <x:c r="A1162" s="22" t="str">
        <x:f>"04"</x:f>
        <x:v>04</x:v>
      </x:c>
      <x:c r="B1162" s="22" t="str">
        <x:f>"88"</x:f>
        <x:v>88</x:v>
      </x:c>
      <x:c r="C1162" s="22" t="str">
        <x:f>"0x0488"</x:f>
        <x:v>0x0488</x:v>
      </x:c>
      <x:c r="D1162" s="21" t="str">
        <x:v>&lt;SPEAKER&gt;「ぐはははは こんどは
ベビーバロンで 実験だ ひひひひ</x:v>
      </x:c>
      <x:c r="E1162" s="19" t="str">
        <x:v>&lt;SPEAKER&gt;Gwahahaha! This
time I will experiment on a
Baby Baron! Hee hee hee!</x:v>
      </x:c>
      <x:c r="F1162" s="20" t="str"/>
      <x:c r="G1162" s="20" t="str"/>
      <x:c r="H1162" s="23" t="str">
        <x:v>SPEAKER NEWLINE NEWLINE END</x:v>
      </x:c>
      <x:c r="I1162" s="23" t="str">
        <x:v>E9:A151</x:v>
      </x:c>
      <x:c r="J1162" s="23" t="str">
        <x:v>CC 47 77 61 68 61 68 61 68 61 21 01 54 68 69 73 C8 74 69 6D 65 01 49 01 77 69 6C 6C 01 65 78 70 65 72 69 6D 65 6E 74 01 6F 6E 01 61 C8 42 61 62 79 01 42 61 72 6F 6E 21 01 48 65 65 01 68 65 65 01 68 65 65 21 C0</x:v>
      </x:c>
      <x:c r="K1162" s="23" t="str">
        <x:v>1CC 084 017 029 029 029 029 001 019 03D 084 023 029 1C8 084 05E 084 05C 078 084 05B 06C 06F 084 022 001 0DD 0F3 084 01F 001 02A 02A 02A 02A 1C0</x:v>
      </x:c>
    </x:row>
    <x:row r="1163">
      <x:c r="A1163" s="22" t="str">
        <x:f>"04"</x:f>
        <x:v>04</x:v>
      </x:c>
      <x:c r="B1163" s="22" t="str">
        <x:f>"89"</x:f>
        <x:v>89</x:v>
      </x:c>
      <x:c r="C1163" s="22" t="str">
        <x:f>"0x0489"</x:f>
        <x:v>0x0489</x:v>
      </x:c>
      <x:c r="D1163" s="21" t="str">
        <x:v>&lt;SPEAKER&gt;「うわー なんだこれ
なんだこれ うわー</x:v>
      </x:c>
      <x:c r="E1163" s="19" t="str">
        <x:v>&lt;SPEAKER&gt;Waaah! What is
this?! What is this?! Waaah!</x:v>
      </x:c>
      <x:c r="F1163" s="20" t="str"/>
      <x:c r="G1163" s="20" t="str"/>
      <x:c r="H1163" s="23" t="str">
        <x:v>SPEAKER NEWLINE END</x:v>
      </x:c>
      <x:c r="I1163" s="23" t="str">
        <x:v>E9:A197</x:v>
      </x:c>
      <x:c r="J1163" s="23" t="str">
        <x:v>CC 57 61 61 61 68 21 01 57 68 61 74 01 69 73 C8 74 68 69 73 3F 21 01 57 68 61 74 01 69 73 01 74 68 69 73 3F 21 01 57 61 61 61 68 21 C0</x:v>
      </x:c>
      <x:c r="K1163" s="23" t="str">
        <x:v>1CC 012 03B 078 001 024 03D 084 01F 019 039 1C8 024 03D 084 01F 019 039 001 012 03B 078 1C0</x:v>
      </x:c>
    </x:row>
    <x:row r="1164">
      <x:c r="A1164" s="22" t="str">
        <x:f>"04"</x:f>
        <x:v>04</x:v>
      </x:c>
      <x:c r="B1164" s="22" t="str">
        <x:f>"8A"</x:f>
        <x:v>8A</x:v>
      </x:c>
      <x:c r="C1164" s="22" t="str">
        <x:f>"0x048A"</x:f>
        <x:v>0x048A</x:v>
      </x:c>
      <x:c r="D1164" s="21" t="str">
        <x:v>&lt;SPEAKER&gt;「うわー&lt;PAUSE_30&gt; や&lt;PAUSE_30&gt;め&lt;PAUSE_30&gt;てー</x:v>
      </x:c>
      <x:c r="E1164" s="19" t="str">
        <x:v>&lt;SPEAKER&gt;Waaah!&lt;PAUSE_30&gt; S&lt;PAUSE_30&gt; -sto&lt;PAUSE_30&gt;p!</x:v>
      </x:c>
      <x:c r="F1164" s="20" t="str"/>
      <x:c r="G1164" s="20" t="str"/>
      <x:c r="H1164" s="23" t="str">
        <x:v>SPEAKER PAUSE_30 PAUSE_30 PAUSE_30 END</x:v>
      </x:c>
      <x:c r="I1164" s="23" t="str">
        <x:v>E9:A1C4</x:v>
      </x:c>
      <x:c r="J1164" s="23" t="str">
        <x:v>CC 57 61 61 61 68 21 CD 01 53 CD 01 2D 73 74 6F CD 70 21 C0</x:v>
      </x:c>
      <x:c r="K1164" s="23" t="str">
        <x:v>1CC 012 03B 078 1CD 001 033 1CD 031 1CD 022 078 1C0</x:v>
      </x:c>
    </x:row>
    <x:row r="1165">
      <x:c r="A1165" s="22" t="str">
        <x:f>"04"</x:f>
        <x:v>04</x:v>
      </x:c>
      <x:c r="B1165" s="22" t="str">
        <x:f>"8B"</x:f>
        <x:v>8B</x:v>
      </x:c>
      <x:c r="C1165" s="22" t="str">
        <x:f>"0x048B"</x:f>
        <x:v>0x048B</x:v>
      </x:c>
      <x:c r="D1165" s="21" t="str">
        <x:v>&lt;SPEAKER&gt;「知能の高いベビーバロンが
どう 生まれ変わるかが
最大の 見どころじゃな・・ひひ</x:v>
      </x:c>
      <x:c r="E1165" s="19" t="str">
        <x:v>&lt;SPEAKER&gt;The most fascinating
part is seeing what an intelligent
Baby Baron becomes... hee hee.</x:v>
      </x:c>
      <x:c r="F1165" s="20" t="str"/>
      <x:c r="G1165" s="20" t="str"/>
      <x:c r="H1165" s="23" t="str">
        <x:v>SPEAKER NEWLINE NEWLINE END</x:v>
      </x:c>
      <x:c r="I1165" s="23" t="str">
        <x:v>E9:A1D8</x:v>
      </x:c>
      <x:c r="J1165" s="23" t="str">
        <x:v>CC 54 68 65 01 6D 6F 73 74 01 66 61 73 63 69 6E 61 74 69 6E 67 C8 70 61 72 74 01 69 73 01 73 65 65 69 6E 67 01 77 68 61 74 01 61 6E 01 69 6E 74 65 6C 6C 69 67 65 6E 74 C8 42 61 62 79 01 42 61 72 6F 6E 01 62 65 63 6F 6D 65 73 2E 2E 2E 01 68 65 65 01 68 65 65 2E C0</x:v>
      </x:c>
      <x:c r="K1165" s="23" t="str">
        <x:v>1CC 15C 14C 028 105 011 084 05E 084 05C 078 084 05B 06C 06F 084 015 1C8 084 023 012 001 09B 02E 039 178 03B 038 015 084 015 1C8 18A 0AC 028 001 090 084 023 019 03A 084 01B 03F 024 081 081 02A 02A 1C0</x:v>
      </x:c>
    </x:row>
    <x:row r="1166">
      <x:c r="A1166" s="22" t="str">
        <x:f>"04"</x:f>
        <x:v>04</x:v>
      </x:c>
      <x:c r="B1166" s="22" t="str">
        <x:f>"8C"</x:f>
        <x:v>8C</x:v>
      </x:c>
      <x:c r="C1166" s="22" t="str">
        <x:f>"0x048C"</x:f>
        <x:v>0x048C</x:v>
      </x:c>
      <x:c r="D1166" s="21" t="str">
        <x:v>&lt;SPEAKER&gt;「う&lt;PAUSE_30&gt;ぐ&lt;PAUSE_30&gt;おお あたまが・・&lt;PAUSE_30&gt;
あたまが いたい・・&lt;PAUSE_30&gt;
からだが おもい・・</x:v>
      </x:c>
      <x:c r="E1166" s="19" t="str">
        <x:v>&lt;SPEAKER&gt;U&lt;PAUSE_30&gt;gh&lt;PAUSE_30&gt;... my head...&lt;PAUSE_30&gt; My head
hurts...&lt;PAUSE_30&gt; My body feels so heavy...</x:v>
      </x:c>
      <x:c r="F1166" s="20" t="str"/>
      <x:c r="G1166" s="20" t="str"/>
      <x:c r="H1166" s="23" t="str">
        <x:v>SPEAKER PAUSE_30 PAUSE_30 PAUSE_30 NEWLINE PAUSE_30 END</x:v>
      </x:c>
      <x:c r="I1166" s="23" t="str">
        <x:v>E9:A230</x:v>
      </x:c>
      <x:c r="J1166" s="23" t="str">
        <x:v>CC 55 CD 67 68 CD 2E 2E 2E 01 6D 79 01 68 65 61 64 2E 2E 2E CD 01 4D 79 01 68 65 61 64 C8 68 75 72 74 73 2E 2E 2E CD 01 4D 79 01 62 6F 64 79 01 66 65 65 6C 73 01 73 6F 01 68 65 61 76 79 2E 2E 2E C0</x:v>
      </x:c>
      <x:c r="K1166" s="23" t="str">
        <x:v>1CC 012 1CD 084 017 1CD 014 014 001 010 01F 02E 084 015 081 081 1CD 1C8 010 01F 02E 084 015 001 011 01F 011 081 081 1CD 1C8 015 036 084 01F 084 015 001 014 032 011 081 081 1C0</x:v>
      </x:c>
    </x:row>
    <x:row r="1167">
      <x:c r="A1167" s="22" t="str">
        <x:f>"04"</x:f>
        <x:v>04</x:v>
      </x:c>
      <x:c r="B1167" s="22" t="str">
        <x:f>"8D"</x:f>
        <x:v>8D</x:v>
      </x:c>
      <x:c r="C1167" s="22" t="str">
        <x:f>"0x048D"</x:f>
        <x:v>0x048D</x:v>
      </x:c>
      <x:c r="D1167" s="21" t="str">
        <x:v>&lt;SPEAKER&gt;「ひえひえひえっ
やったぞ しゃべりおった&lt;WAIT&gt;&lt;SPEAKER&gt;「脳には 何も
えいきょうは ないぞ!
やったぞ やったぞ ひひひ</x:v>
      </x:c>
      <x:c r="E1167" s="19" t="str">
        <x:v>&lt;SPEAKER&gt;Hee hee hee! It
worked! He can still speak!&lt;WAIT&gt;&lt;SPEAKER&gt;His brain is
completely unaffected! It
worked! It worked! Hee hee!</x:v>
      </x:c>
      <x:c r="F1167" s="20" t="str"/>
      <x:c r="G1167" s="20" t="str"/>
      <x:c r="H1167" s="23" t="str">
        <x:v>SPEAKER NEWLINE WAIT SPEAKER NEWLINE NEWLINE END</x:v>
      </x:c>
      <x:c r="I1167" s="23" t="str">
        <x:v>E9:A272</x:v>
      </x:c>
      <x:c r="J1167" s="23" t="str">
        <x:v>CC 48 65 65 01 68 65 65 01 68 65 65 21 01 49 74 C8 77 6F 72 6B 65 64 21 01 48 65 01 63 61 6E 01 73 74 69 6C 6C 01 73 70 65 61 6B 21 C5 CC 48 69 73 01 62 72 61 69 6E 01 69 73 C8 63 6F 6D 70 6C 65 74 65 6C 79 01 75 6E 61 66 66 65 63 74 65 64 21 01 49 74 C8 77 6F 72 6B 65 64 21 01 49 74 01 77 6F 72 6B 65 64 21 01 48 65 65 01 68 65 65 21 C0</x:v>
      </x:c>
      <x:c r="K1167" s="23" t="str">
        <x:v>1CC 02A 013 02A 013 02A 013 03E 1C8 033 03E 01F 084 01E 001 01B 03F 084 02C 037 014 03E 01F 1C5 1CC 1BB 025 029 001 093 032 1C8 013 011 016 041 012 029 001 024 011 084 01E 07A 1C8 033 03E 01F 084 01E 001 033 03E 01F 084 01E 001 02A 02A 02A 1C0</x:v>
      </x:c>
    </x:row>
    <x:row r="1168">
      <x:c r="A1168" s="22" t="str">
        <x:f>"04"</x:f>
        <x:v>04</x:v>
      </x:c>
      <x:c r="B1168" s="22" t="str">
        <x:f>"8E"</x:f>
        <x:v>8E</x:v>
      </x:c>
      <x:c r="C1168" s="22" t="str">
        <x:f>"0x048E"</x:f>
        <x:v>0x048E</x:v>
      </x:c>
      <x:c r="D1168" s="21" t="str">
        <x:v>&lt;SPEAKER&gt;「ジェイビー!
ジェイビーは どこじゃ?&lt;WAIT&gt;&lt;SPEAKER&gt;「もっと もっとじゃ!
どんどん 魔物を 大きくするのじゃ!
ぜんぶつかまえてくるのじゃ! ひひひ</x:v>
      </x:c>
      <x:c r="E1168" s="19" t="str">
        <x:v>&lt;SPEAKER&gt;J.B.! Where is J.B.?&lt;WAIT&gt;&lt;SPEAKER&gt;More! More! Make more
monsters gigantic! Bring me
every one you can catch! Hee!</x:v>
      </x:c>
      <x:c r="F1168" s="20" t="str"/>
      <x:c r="G1168" s="20" t="str"/>
      <x:c r="H1168" s="23" t="str">
        <x:v>SPEAKER WAIT SPEAKER NEWLINE NEWLINE END</x:v>
      </x:c>
      <x:c r="I1168" s="23" t="str">
        <x:v>E9:A2E3</x:v>
      </x:c>
      <x:c r="J1168" s="23" t="str">
        <x:v>CC 4A 2E 42 2E 21 01 57 68 65 72 65 01 69 73 01 4A 2E 42 2E 3F C5 CC 4D 6F 72 65 21 01 4D 6F 72 65 21 01 4D 61 6B 65 01 6D 6F 72 65 C8 6D 6F 6E 73 74 65 72 73 01 67 69 67 61 6E 74 69 63 21 01 42 72 69 6E 67 01 6D 65 C8 65 76 65 72 79 01 6F 6E 65 01 79 6F 75 01 63 61 6E 01 63 61 74 63 68 21 01 48 65 65 21 C0</x:v>
      </x:c>
      <x:c r="K1168" s="23" t="str">
        <x:v>1CC 084 04D 076 043 084 05C 078 07A 1C8 084 04D 076 043 084 05C 078 029 001 084 023 019 084 01B 03F 079 1C5 1CC 032 03E 023 001 032 03E 023 084 01B 03F 07A 1C8 084 023 03D 084 023 03D 001 09A 08B 03C 001 0AC 016 017 01C 038 028 084 01B 03F 07A 1C8 084 01D 03D 084 02B 021 015 02E 013 022 017 038 028 084 01B 03F 07A 001 02A 02A 02A 1C0</x:v>
      </x:c>
    </x:row>
    <x:row r="1169">
      <x:c r="A1169" s="22" t="str">
        <x:f>"04"</x:f>
        <x:v>04</x:v>
      </x:c>
      <x:c r="B1169" s="22" t="str">
        <x:f>"8F"</x:f>
        <x:v>8F</x:v>
      </x:c>
      <x:c r="C1169" s="22" t="str">
        <x:f>"0x048F"</x:f>
        <x:v>0x048F</x:v>
      </x:c>
      <x:c r="D1169" s="21" t="str">
        <x:v>&lt;SPEAKER&gt;「装置を 使って
でかくなった モンスターの中で
知能を 維持できたのは おれだけだ&lt;WAIT&gt;&lt;SPEAKER&gt;「だから キングバロンは
おれを どれいのように
こきつかいやがった・・・&lt;WAIT&gt;&lt;SPEAKER&gt;「島中の 魔物をつかまえて
装置に ほおりこみ・・・
おたけびを あげる キングバロン&lt;WAIT&gt;&lt;SPEAKER&gt;「悪魔ぞくの おれが
いうのも 変な話だが&lt;WAIT&gt;&lt;SPEAKER&gt;「あのときの キングバロンは
まさに 悪魔 そのものだった・・・&lt;WAIT&gt;&lt;SPEAKER&gt;「見ろ おまえたち!
おれの この すがたを!</x:v>
      </x:c>
      <x:c r="E1169" s="19" t="str">
        <x:v>&lt;SPEAKER&gt;Of all monsters
enlarged by the device,
only I kept my intelligence.&lt;WAIT&gt;&lt;SPEAKER&gt;So King Baron
worked me like a slave...&lt;WAIT&gt;&lt;SPEAKER&gt;I caught monsters
island-wide and threw them in
the device as King Baron howled.&lt;WAIT&gt;&lt;SPEAKER&gt;Strange for a demon
like me to say this, but...&lt;WAIT&gt;&lt;SPEAKER&gt;King Baron truly
became a demon that day...&lt;WAIT&gt;&lt;SPEAKER&gt;Look at me! Look
what became of my body!</x:v>
      </x:c>
      <x:c r="F1169" s="20" t="str"/>
      <x:c r="G1169" s="20" t="str"/>
      <x:c r="H1169" s="23" t="str">
        <x:v>SPEAKER NEWLINE NEWLINE WAIT SPEAKER NEWLINE WAIT SPEAKER NEWLINE NEWLINE WAIT SPEAKER NEWLINE WAIT SPEAKER NEWLINE WAIT SPEAKER NEWLINE END</x:v>
      </x:c>
      <x:c r="I1169" s="23" t="str">
        <x:v>E9:A34A</x:v>
      </x:c>
      <x:c r="J1169" s="23" t="str">
        <x:v>CC 4F 66 01 61 6C 6C 01 6D 6F 6E 73 74 65 72 73 C8 65 6E 6C 61 72 67 65 64 01 62 79 01 74 68 65 01 64 65 76 69 63 65 2C C8 6F 6E 6C 79 01 49 01 6B 65 70 74 01 6D 79 01 69 6E 74 65 6C 6C 69 67 65 6E 63 65 2E C5 CC 53 6F 01 4B 69 6E 67 01 42 61 72 6F 6E C8 77 6F 72 6B 65 64 01 6D 65 01 6C 69 6B 65 01 61 01 73 6C 61 76 65 2E 2E 2E C5 CC 49 01 63 61 75 67 68 74 01 6D 6F 6E 73 74 65 72 73 C8 69 73 6C 61 6E 64 2D 77 69 64 65 01 61 6E 64 01 74 68 72 65 77 01 74 68 65 6D 01 69 6E C8 74 68 65 01 64 65 76 69 63 65 01 61 73 01 4B 69 6E 67 01 42 61 72 6F 6E 01 68 6F 77 6C 65 64 2E C5 CC 53 74 72 61 6E 67 65 01 66 6F 72 01 61 01 64 65 6D 6F 6E C8 6C 69 6B 65 01 6D 65 01 74 6F 01 73 61 79 01 74 68 69 73 2C 01 62 75 74 2E 2E 2E C5 CC 4B 69 6E 67 01 42 61 72 6F 6E 01 74 72 75 6C 79 C8 62 65 63 61 6D 65 01 61 01 64 65 6D 6F 6E 01 74 68 61 74 01 64 61 79 2E 2E 2E C5 CC 4C 6F 6F 6B 01 61 74 01 6D 65 21 01 4C 6F 6F 6B C8 77 68 61 74 01 62 65 63 61 6D 65 01 6F 66 01 6D 79 01 62 6F 64 79 21 C0</x:v>
      </x:c>
      <x:c r="K1169" s="23" t="str">
        <x:v>1CC 0C2 19F 03C 001 123 03E 022 1C8 084 022 015 017 024 03E 01F 001 064 06F 04E 051 078 028 0A1 084 022 1C8 15C 14C 03C 001 187 0D3 084 022 016 01F 028 029 001 014 039 084 01F 018 084 01F 1C5 1CC 084 01F 015 036 001 048 06F 084 049 084 05B 06C 06F 029 1C8 014 039 03C 001 084 023 039 011 028 035 012 025 1C8 019 016 021 015 011 033 084 015 03E 01F 081 081 081 1C5 1CC 08A 0A1 028 001 09A 08B 03C 021 015 02E 013 022 1C8 0C2 19F 025 001 02D 014 037 019 02F 081 081 081 1C8 014 01F 018 084 02A 03C 001 010 084 018 038 001 048 06F 084 049 084 05B 06C 06F 1C5 1CC 0B5 09A 084 01E 017 028 001 014 039 084 015 1C8 011 012 028 032 001 178 024 0A0 084 01F 084 015 1C5 1CC 010 028 023 016 028 001 048 06F 084 049 084 05B 06C 06F 029 1C8 02E 01A 025 001 0B5 09A 001 01E 028 032 028 084 01F 03E 01F 081 081 081 1C5 1CC 090 03A 001 014 02E 013 01F 020 07A 1C8 014 039 028 001 019 028 001 01C 084 015 01F 03C 07A 1C0</x:v>
      </x:c>
    </x:row>
    <x:row r="1170">
      <x:c r="A1170" s="22" t="str">
        <x:f>"04"</x:f>
        <x:v>04</x:v>
      </x:c>
      <x:c r="B1170" s="22" t="str">
        <x:f>"90"</x:f>
        <x:v>90</x:v>
      </x:c>
      <x:c r="C1170" s="22" t="str">
        <x:f>"0x0490"</x:f>
        <x:v>0x0490</x:v>
      </x:c>
      <x:c r="D1170" s="21" t="str">
        <x:v>&lt;SPEAKER&gt;「この 悪魔の 発明は
おれの 体を
めちゃくちゃに しやがった&lt;WAIT&gt;&lt;SPEAKER&gt;「おまえらも 大きく
なりたいだろう? ゲグググ&lt;WAIT&gt;&lt;SPEAKER&gt;「くるしみを わかちあい
ともに じごくへ 行こうじゃないか!&lt;WAIT&gt;&lt;SPEAKER&gt;「その前に 最後の
おくりものを やろう!</x:v>
      </x:c>
      <x:c r="E1170" s="19" t="str">
        <x:v>&lt;SPEAKER&gt;That devilish
invention destroyed my body.&lt;WAIT&gt;&lt;SPEAKER&gt;You want to become huge
too, do you not? Geh-heh-heh!&lt;WAIT&gt;&lt;SPEAKER&gt;Share my suffering, and
let us go to hell together!&lt;WAIT&gt;&lt;SPEAKER&gt;But first, I have
one last gift for you!</x:v>
      </x:c>
      <x:c r="F1170" s="20" t="str"/>
      <x:c r="G1170" s="20" t="str"/>
      <x:c r="H1170" s="23" t="str">
        <x:v>SPEAKER NEWLINE WAIT SPEAKER NEWLINE WAIT SPEAKER NEWLINE WAIT SPEAKER NEWLINE END</x:v>
      </x:c>
      <x:c r="I1170" s="23" t="str">
        <x:v>E9:A493</x:v>
      </x:c>
      <x:c r="J1170" s="23" t="str">
        <x:v>CC 54 68 61 74 01 64 65 76 69 6C 69 73 68 C8 69 6E 76 65 6E 74 69 6F 6E 01 64 65 73 74 72 6F 79 65 64 01 6D 79 01 62 6F 64 79 2E C5 CC 59 6F 75 01 77 61 6E 74 01 74 6F 01 62 65 63 6F 6D 65 01 68 75 67 65 C8 74 6F 6F 2C 01 64 6F 01 79 6F 75 01 6E 6F 74 3F 01 47 65 68 2D 68 65 68 2D 68 65 68 21 C5 CC 53 68 61 72 65 01 6D 79 01 73 75 66 66 65 72 69 6E 67 2C 01 61 6E 64 C8 6C 65 74 01 75 73 01 67 6F 01 74 6F 01 68 65 6C 6C 01 74 6F 67 65 74 68 65 72 21 C5 CC 42 75 74 01 66 69 72 73 74 2C 01 49 01 68 61 76 65 C8 6F 6E 65 01 6C 61 73 74 01 67 69 66 74 01 66 6F 72 01 79 6F 75 21 C0</x:v>
      </x:c>
      <x:c r="K1170" s="23" t="str">
        <x:v>1CC 019 028 001 0B5 09A 028 001 0C8 0BF 029 1C8 014 039 028 001 0F0 03C 1C8 031 020 03F 017 020 03F 025 001 01B 033 084 015 03E 01F 1C5 1CC 014 02E 013 036 032 001 0AC 016 017 1C8 024 037 01F 011 084 01F 03A 012 079 001 084 04A 084 049 084 049 084 049 1C5 1CC 017 038 01B 02F 03C 001 03B 015 020 010 011 1C8 023 032 025 001 084 01B 084 019 017 02C 001 08D 019 012 084 01B 03F 024 011 015 07A 1C5 1CC 01E 028 0C3 025 001 18A 1A6 028 1C8 014 017 037 032 028 03C 001 033 03A 012 07A 1C0</x:v>
      </x:c>
    </x:row>
    <x:row r="1171">
      <x:c r="A1171" s="22" t="str">
        <x:f>"04"</x:f>
        <x:v>04</x:v>
      </x:c>
      <x:c r="B1171" s="22" t="str">
        <x:f>"91"</x:f>
        <x:v>91</x:v>
      </x:c>
      <x:c r="C1171" s="22" t="str">
        <x:f>"0x0491"</x:f>
        <x:v>0x0491</x:v>
      </x:c>
      <x:c r="D1171" s="21" t="str">
        <x:v>&lt;SPEAKER&gt;「見上げた こんじょうだな
記録は いらんというのか?</x:v>
      </x:c>
      <x:c r="E1171" s="19" t="str">
        <x:v>&lt;SPEAKER&gt;You have admirable nerve.
You really do not need to save?</x:v>
      </x:c>
      <x:c r="F1171" s="20" t="str"/>
      <x:c r="G1171" s="20" t="str"/>
      <x:c r="H1171" s="23" t="str">
        <x:v>SPEAKER NEWLINE END</x:v>
      </x:c>
      <x:c r="I1171" s="23" t="str">
        <x:v>E9:A555</x:v>
      </x:c>
      <x:c r="J1171" s="23" t="str">
        <x:v>CC 59 6F 75 01 68 61 76 65 01 61 64 6D 69 72 61 62 6C 65 01 6E 65 72 76 65 2E C8 59 6F 75 01 72 65 61 6C 6C 79 01 64 6F 01 6E 6F 74 01 6E 65 65 64 01 74 6F 01 73 61 76 65 3F C0</x:v>
      </x:c>
      <x:c r="K1171" s="23" t="str">
        <x:v>1CC 090 128 084 018 01F 001 019 03D 084 01B 041 012 084 01F 024 1C8 11B 11A 029 001 011 036 03D 023 011 012 028 015 079 1C0</x:v>
      </x:c>
    </x:row>
    <x:row r="1172">
      <x:c r="A1172" s="22" t="str">
        <x:f>"04"</x:f>
        <x:v>04</x:v>
      </x:c>
      <x:c r="B1172" s="22" t="str">
        <x:f>"92"</x:f>
        <x:v>92</x:v>
      </x:c>
      <x:c r="C1172" s="22" t="str">
        <x:f>"0x0492"</x:f>
        <x:v>0x0492</x:v>
      </x:c>
      <x:c r="D1172" s="21" t="str">
        <x:v>&lt;SPEAKER&gt;「用意は いいな?</x:v>
      </x:c>
      <x:c r="E1172" s="19" t="str">
        <x:v>&lt;SPEAKER&gt;Are you ready?</x:v>
      </x:c>
      <x:c r="F1172" s="20" t="str"/>
      <x:c r="G1172" s="20" t="str"/>
      <x:c r="H1172" s="23" t="str">
        <x:v>SPEAKER END</x:v>
      </x:c>
      <x:c r="I1172" s="23" t="str">
        <x:v>E9:A590</x:v>
      </x:c>
      <x:c r="J1172" s="23" t="str">
        <x:v>CC 41 72 65 01 79 6F 75 01 72 65 61 64 79 3F C0</x:v>
      </x:c>
      <x:c r="K1172" s="23" t="str">
        <x:v>1CC 112 131 029 001 011 011 024 079 1C0</x:v>
      </x:c>
    </x:row>
    <x:row r="1173">
      <x:c r="A1173" s="22" t="str">
        <x:f>"04"</x:f>
        <x:v>04</x:v>
      </x:c>
      <x:c r="B1173" s="22" t="str">
        <x:f>"93"</x:f>
        <x:v>93</x:v>
      </x:c>
      <x:c r="C1173" s="22" t="str">
        <x:f>"0x0493"</x:f>
        <x:v>0x0493</x:v>
      </x:c>
      <x:c r="D1173" s="21" t="str">
        <x:v>&lt;SPEAKER&gt;「ならば すぐに
装置に たたきこんでやる!</x:v>
      </x:c>
      <x:c r="E1173" s="19" t="str">
        <x:v>&lt;SPEAKER&gt;Then I will throw you
into the device right now!</x:v>
      </x:c>
      <x:c r="F1173" s="20" t="str"/>
      <x:c r="G1173" s="20" t="str"/>
      <x:c r="H1173" s="23" t="str">
        <x:v>SPEAKER NEWLINE END</x:v>
      </x:c>
      <x:c r="I1173" s="23" t="str">
        <x:v>E9:A5A0</x:v>
      </x:c>
      <x:c r="J1173" s="23" t="str">
        <x:v>CC 54 68 65 6E 01 49 01 77 69 6C 6C 01 74 68 72 6F 77 01 79 6F 75 C8 69 6E 74 6F 01 74 68 65 01 64 65 76 69 63 65 01 72 69 67 68 74 01 6E 6F 77 21 C0</x:v>
      </x:c>
      <x:c r="K1173" s="23" t="str">
        <x:v>1CC 024 036 084 029 001 01C 084 017 025 1C8 0C2 19F 025 001 01F 01F 016 019 03D 084 022 033 038 07A 1C0</x:v>
      </x:c>
    </x:row>
    <x:row r="1174">
      <x:c r="A1174" s="22" t="str">
        <x:f>"04"</x:f>
        <x:v>04</x:v>
      </x:c>
      <x:c r="B1174" s="22" t="str">
        <x:f>"94"</x:f>
        <x:v>94</x:v>
      </x:c>
      <x:c r="C1174" s="22" t="str">
        <x:f>"0x0494"</x:f>
        <x:v>0x0494</x:v>
      </x:c>
      <x:c r="D1174" s="21" t="str">
        <x:v>&lt;SPEAKER&gt;「う&lt;PAUSE_30&gt; ぐ&lt;PAUSE_30&gt; げ&lt;PAUSE_30&gt; ぐ&lt;PAUSE_30&gt; ぐぐ&lt;WAIT&gt;&lt;SPEAKER&gt;「お おれは 島中が
でかい 魔物だらけになったとき
すぐに にげたんだ・・・うぐぐ&lt;WAIT&gt;&lt;SPEAKER&gt;「そして やつの作った
冬眠用の ひつぎに はいって
時が たつのを 待った・・・&lt;WAIT&gt;&lt;SPEAKER&gt;「うぐぐ だが けっきょく
ぶざまに じごくへ 行くのかっ
くくく&lt;PAUSE_30&gt; くくくくくく&lt;PAUSE_30&gt; げぼっ</x:v>
      </x:c>
      <x:c r="E1174" s="19" t="str">
        <x:v>&lt;SPEAKER&gt;U&lt;PAUSE_30&gt;gh&lt;PAUSE_30&gt;... g&lt;PAUSE_30&gt;eh&lt;PAUSE_30&gt; ... agh...&lt;WAIT&gt;&lt;SPEAKER&gt;When the whole island
filled with giant monsters, I ran
away as fast as I could... agh...&lt;WAIT&gt;&lt;SPEAKER&gt;I climbed into the
hibernation coffin he had built and
waited for the ages to pass...&lt;WAIT&gt;&lt;SPEAKER&gt;Agh... and after all
that, I still die here like a
fool? Heh&lt;PAUSE_30&gt;... hehehehe...&lt;PAUSE_30&gt; blegh!</x:v>
      </x:c>
      <x:c r="F1174" s="20" t="str"/>
      <x:c r="G1174" s="20" t="str"/>
      <x:c r="H1174" s="23" t="str">
        <x:v>SPEAKER PAUSE_30 PAUSE_30 PAUSE_30 PAUSE_30 WAIT SPEAKER NEWLINE NEWLINE WAIT SPEAKER NEWLINE NEWLINE WAIT SPEAKER NEWLINE NEWLINE PAUSE_30 PAUSE_30 END</x:v>
      </x:c>
      <x:c r="I1174" s="23" t="str">
        <x:v>E9:A5D2</x:v>
      </x:c>
      <x:c r="J1174" s="23" t="str">
        <x:v>CC 55 CD 67 68 CD 2E 2E 2E 01 67 CD 65 68 CD 01 2E 2E 2E 01 61 67 68 2E 2E 2E C5 CC 57 68 65 6E 01 74 68 65 01 77 68 6F 6C 65 01 69 73 6C 61 6E 64 C8 66 69 6C 6C 65 64 01 77 69 74 68 01 67 69 61 6E 74 01 6D 6F 6E 73 74 65 72 73 2C 01 49 01 72 61 6E C8 61 77 61 79 01 61 73 01 66 61 73 74 01 61 73 01 49 01 63 6F 75 6C 64 2E 2E 2E 01 61 67 68 2E 2E 2E C5 CC 49 01 63 6C 69 6D 62 65 64 01 69 6E 74 6F 01 74 68 65 C8 68 69 62 65 72 6E 61 74 69 6F 6E 01 63 6F 66 66 69 6E 01 68 65 01 68 61 64 01 62 75 69 6C 74 01 61 6E 64 C8 77 61 69 74 65 64 01 66 6F 72 01 74 68 65 01 61 67 65 73 01 74 6F 01 70 61 73 73 2E 2E 2E C5 CC 41 67 68 2E 2E 2E 01 61 6E 64 01 61 66 74 65 72 01 61 6C 6C C8 74 68 61 74 2C 01 49 01 73 74 69 6C 6C 01 64 69 65 01 68 65 72 65 01 6C 69 6B 65 01 61 C8 66 6F 6F 6C 3F 01 48 65 68 CD 2E 2E 2E 01 68 65 68 65 68 65 68 65 2E 2E 2E CD 01 62 6C 65 67 68 21 C0</x:v>
      </x:c>
      <x:c r="K1174" s="23" t="str">
        <x:v>1CC 012 1CD 001 084 017 1CD 001 084 018 1CD 001 084 017 1CD 001 084 017 084 017 1C5 1CC 014 001 014 039 029 001 08A 0A1 084 015 1C8 084 022 015 011 001 09A 08B 084 01F 036 018 025 024 03E 01F 023 016 1C8 01C 084 017 025 001 025 084 018 01F 03D 084 01F 081 081 081 012 084 017 084 017 1C5 1CC 01E 01B 022 001 033 021 028 0F6 03E 01F 1C8 1BC 1BD 112 028 001 02A 021 084 016 025 001 029 011 03E 022 1C8 164 084 015 001 01F 021 028 03C 001 16B 03E 01F 081 081 081 1C5 1CC 012 084 017 084 017 001 084 01F 084 015 001 018 03E 016 041 017 1C8 084 02B 084 01A 02E 025 001 084 01B 084 019 017 02C 001 08D 017 028 015 03E 1C8 017 017 017 1CD 001 017 017 017 017 017 017 1CD 001 084 018 084 02D 03E 1C0</x:v>
      </x:c>
    </x:row>
    <x:row r="1175">
      <x:c r="A1175" s="22" t="str">
        <x:f>"04"</x:f>
        <x:v>04</x:v>
      </x:c>
      <x:c r="B1175" s="22" t="str">
        <x:f>"95"</x:f>
        <x:v>95</x:v>
      </x:c>
      <x:c r="C1175" s="22" t="str">
        <x:f>"0x0495"</x:f>
        <x:v>0x0495</x:v>
      </x:c>
      <x:c r="D1175" s="21" t="str">
        <x:v>&lt;SPEAKER&gt;「ぐおおおお&lt;PAUSE_30&gt; ぐぼぎああ&lt;PAUSE_30&gt;
体が あつい&lt;PAUSE_30&gt; うおおおおお
頭が われる&lt;PAUSE_30&gt; うおおおおお&lt;WAIT&gt;&lt;SPEAKER&gt;「ジェイビーは どこじゃあ?
魔物が せめてきたぞおおお
おいはらええええ ぐばげぼおおおお</x:v>
      </x:c>
      <x:c r="E1175" s="19" t="str">
        <x:v>&lt;SPEAKER&gt;Gwoooo!&lt;PAUSE_30&gt; Gubogyaa!&lt;PAUSE_30&gt;
My body is burning!&lt;PAUSE_30&gt; Gwoooo!
My head is splitting!&lt;PAUSE_30&gt; Gwoooo!&lt;WAIT&gt;&lt;SPEAKER&gt;Where is J.B.?! The
monsters are attacking! Drive
them awaaay! Gubagubooo!</x:v>
      </x:c>
      <x:c r="F1175" s="20" t="str"/>
      <x:c r="G1175" s="20" t="str"/>
      <x:c r="H1175" s="23" t="str">
        <x:v>SPEAKER PAUSE_30 PAUSE_30 NEWLINE PAUSE_30 NEWLINE PAUSE_30 WAIT SPEAKER NEWLINE NEWLINE END</x:v>
      </x:c>
      <x:c r="I1175" s="23" t="str">
        <x:v>E9:A6F5</x:v>
      </x:c>
      <x:c r="J1175" s="23" t="str">
        <x:v>CC 47 77 6F 6F 6F 6F 21 CD 01 47 75 62 6F 67 79 61 61 21 CD C8 4D 79 01 62 6F 64 79 01 69 73 01 62 75 72 6E 69 6E 67 21 CD 01 47 77 6F 6F 6F 6F 21 C8 4D 79 01 68 65 61 64 01 69 73 01 73 70 6C 69 74 74 69 6E 67 21 CD 01 47 77 6F 6F 6F 6F 21 C5 CC 57 68 65 72 65 01 69 73 01 4A 2E 42 2E 3F 21 01 54 68 65 C8 6D 6F 6E 73 74 65 72 73 01 61 72 65 01 61 74 74 61 63 6B 69 6E 67 21 01 44 72 69 76 65 C8 74 68 65 6D 01 61 77 61 61 61 79 21 01 47 75 62 61 67 75 62 6F 6F 6F 21 C0</x:v>
      </x:c>
      <x:c r="K1175" s="23" t="str">
        <x:v>1CC 084 017 014 014 014 014 1CD 001 084 017 084 02D 084 016 010 010 1CD 1C8 0F0 084 015 001 010 021 011 1CD 001 012 014 014 014 014 014 1C8 1B9 084 015 001 03B 039 038 1CD 001 012 014 014 014 014 014 1C5 1CC 084 04D 076 043 084 05C 078 029 001 084 023 019 084 01B 03F 010 079 1C8 09A 08B 084 015 001 01D 031 022 016 01F 084 01E 014 014 014 1C8 014 011 029 036 013 013 013 013 001 084 017 084 029 084 018 084 02D 014 014 014 014 1C0</x:v>
      </x:c>
    </x:row>
    <x:row r="1176">
      <x:c r="A1176" s="22" t="str">
        <x:f>"04"</x:f>
        <x:v>04</x:v>
      </x:c>
      <x:c r="B1176" s="22" t="str">
        <x:f>"96"</x:f>
        <x:v>96</x:v>
      </x:c>
      <x:c r="C1176" s="22" t="str">
        <x:f>"0x0496"</x:f>
        <x:v>0x0496</x:v>
      </x:c>
      <x:c r="D1176" s="21" t="str">
        <x:v>&lt;SPEAKER&gt;「ゲル ゲル ゲハハハ
ばかか おまえらは・・・
せっかく 命びろいをしたものを・・・&lt;WAIT&gt;&lt;SPEAKER&gt;「わざわざ ころされに
もどって来るとはなっ!</x:v>
      </x:c>
      <x:c r="E1176" s="19" t="str">
        <x:v>&lt;SPEAKER&gt;Grr, grr,
gehahaha! You fools... You
escaped with your lives.&lt;WAIT&gt;&lt;SPEAKER&gt;And yet you came all
the way back just to be killed!</x:v>
      </x:c>
      <x:c r="F1176" s="20" t="str"/>
      <x:c r="G1176" s="20" t="str"/>
      <x:c r="H1176" s="23" t="str">
        <x:v>SPEAKER NEWLINE NEWLINE WAIT SPEAKER NEWLINE END</x:v>
      </x:c>
      <x:c r="I1176" s="23" t="str">
        <x:v>E9:A792</x:v>
      </x:c>
      <x:c r="J1176" s="23" t="str">
        <x:v>CC 47 72 72 2C 01 67 72 72 2C C8 67 65 68 61 68 61 68 61 21 01 59 6F 75 01 66 6F 6F 6C 73 2E 2E 2E 01 59 6F 75 C8 65 73 63 61 70 65 64 01 77 69 74 68 01 79 6F 75 72 01 6C 69 76 65 73 2E C5 CC 41 6E 64 01 79 65 74 01 79 6F 75 01 63 61 6D 65 01 61 6C 6C C8 74 68 65 01 77 61 79 01 62 61 63 6B 01 6A 75 73 74 01 74 6F 01 62 65 01 6B 69 6C 6C 65 64 21 C0</x:v>
      </x:c>
      <x:c r="K1176" s="23" t="str">
        <x:v>1CC 084 04A 06A 001 084 04A 06A 001 084 04A 05B 05B 05B 1C8 084 029 015 015 001 014 02E 013 036 029 081 081 081 1C8 01D 03E 015 017 001 0EE 084 02A 03A 011 03C 01B 01F 032 028 03C 081 081 081 1C5 1CC 03B 084 01A 03B 084 01A 001 019 03A 01A 039 025 1C8 032 084 023 03E 022 097 038 023 029 024 03E 07A 1C0</x:v>
      </x:c>
    </x:row>
    <x:row r="1177">
      <x:c r="A1177" s="22" t="str">
        <x:f>"04"</x:f>
        <x:v>04</x:v>
      </x:c>
      <x:c r="B1177" s="22" t="str">
        <x:f>"97"</x:f>
        <x:v>97</x:v>
      </x:c>
      <x:c r="C1177" s="22" t="str">
        <x:f>"0x0497"</x:f>
        <x:v>0x0497</x:v>
      </x:c>
      <x:c r="D1177" s="21" t="str">
        <x:v>&lt;CLEAR&gt;
コックスの たましいが
おたけびを あげた!</x:v>
      </x:c>
      <x:c r="E1177" s="19" t="str">
        <x:v>&lt;CLEAR&gt;Cox's soul lets
out a mighty roar!</x:v>
      </x:c>
      <x:c r="F1177" s="20" t="str"/>
      <x:c r="G1177" s="20" t="str"/>
      <x:c r="H1177" s="23" t="str">
        <x:v>CLEAR NEWLINE END</x:v>
      </x:c>
      <x:c r="I1177" s="23" t="str">
        <x:v>E9:A807</x:v>
      </x:c>
      <x:c r="J1177" s="23" t="str">
        <x:v>D0 43 6F 78 27 73 01 73 6F 75 6C 01 6C 65 74 73 C8 6F 75 74 01 61 01 6D 69 67 68 74 79 01 72 6F 61 72 21 C0</x:v>
      </x:c>
      <x:c r="K1177" s="23" t="str">
        <x:v>1D0 04B 070 049 04E 028 001 01F 02E 01B 011 084 015 1C8 014 01F 018 084 02A 03C 001 010 084 018 01F 07A 1C0</x:v>
      </x:c>
    </x:row>
    <x:row r="1178">
      <x:c r="A1178" s="22" t="str">
        <x:f>"04"</x:f>
        <x:v>04</x:v>
      </x:c>
      <x:c r="B1178" s="22" t="str">
        <x:f>"98"</x:f>
        <x:v>98</x:v>
      </x:c>
      <x:c r="C1178" s="22" t="str">
        <x:f>"0x0498"</x:f>
        <x:v>0x0498</x:v>
      </x:c>
      <x:c r="D1178" s="21" t="str">
        <x:v>&lt;SPEAKER&gt;「あのー お嬢さま・・・
古代の装置を ほっといて
いいんでしょうか?&lt;WAIT&gt;&lt;SPEAKER&gt;「何千年にも わたって
おおぜいの 人や 魔物の
うんめいをくるわせ 命をうばった・・&lt;WAIT&gt;&lt;SPEAKER&gt;「ジェイビーが いってましたね
悪魔の発明と・・・&lt;WAIT&gt;&lt;SPEAKER&gt;「こんな おそろしいことが
二度と おきないように こわして
しまったら いかがでしょう?</x:v>
      </x:c>
      <x:c r="E1178" s="19" t="str">
        <x:v>&lt;SPEAKER&gt;Um... my lady...
Should we really leave
the ancient device intact?&lt;WAIT&gt;&lt;SPEAKER&gt;For thousands of years it
twisted the fates of humans and
monsters and took countless lives...&lt;WAIT&gt;&lt;SPEAKER&gt;J.B. called it
a devilish invention.&lt;WAIT&gt;&lt;SPEAKER&gt;So this horror can
never happen again, perhaps
we should destroy it.</x:v>
      </x:c>
      <x:c r="F1178" s="20" t="str"/>
      <x:c r="G1178" s="20" t="str"/>
      <x:c r="H1178" s="23" t="str">
        <x:v>SPEAKER NEWLINE NEWLINE WAIT SPEAKER NEWLINE NEWLINE WAIT SPEAKER NEWLINE WAIT SPEAKER NEWLINE NEWLINE END</x:v>
      </x:c>
      <x:c r="I1178" s="23" t="str">
        <x:v>E9:A82B</x:v>
      </x:c>
      <x:c r="J1178" s="23" t="str">
        <x:v>CC 55 6D 2E 2E 2E 01 6D 79 01 6C 61 64 79 2E 2E 2E C8 53 68 6F 75 6C 64 01 77 65 01 72 65 61 6C 6C 79 01 6C 65 61 76 65 C8 74 68 65 01 61 6E 63 69 65 6E 74 01 64 65 76 69 63 65 01 69 6E 74 61 63 74 3F C5 CC 46 6F 72 01 74 68 6F 75 73 61 6E 64 73 01 6F 66 01 79 65 61 72 73 01 69 74 C8 74 77 69 73 74 65 64 01 74 68 65 01 66 61 74 65 73 01 6F 66 01 68 75 6D 61 6E 73 01 61 6E 64 C8 6D 6F 6E 73 74 65 72 73 01 61 6E 64 01 74 6F 6F 6B 01 63 6F 75 6E 74 6C 65 73 73 01 6C 69 76 65 73 2E 2E 2E C5 CC 4A 2E 42 2E 01 63 61 6C 6C 65 64 01 69 74 C8 61 01 64 65 76 69 6C 69 73 68 01 69 6E 76 65 6E 74 69 6F 6E 2E C5 CC 53 6F 01 74 68 69 73 01 68 6F 72 72 6F 72 01 63 61 6E C8 6E 65 76 65 72 01 68 61 70 70 65 6E 01 61 67 61 69 6E 2C 01 70 65 72 68 61 70 73 C8 77 65 01 73 68 6F 75 6C 64 01 64 65 73 74 72 6F 79 01 69 74 2E C0</x:v>
      </x:c>
      <x:c r="K1178" s="23" t="str">
        <x:v>1CC 010 028 078 001 014 0D8 01A 02E 081 081 081 1C8 096 09F 028 0C2 19F 03C 001 02D 03E 023 011 022 1C8 011 011 03D 084 022 01B 041 012 015 079 1C5 1CC 093 0BC 0CA 025 032 001 03B 01F 03E 022 1C8 014 014 084 01D 011 028 001 091 033 001 09A 08B 028 1C8 012 03D 031 011 03C 017 038 03B 01D 001 0EE 03C 012 084 029 03E 01F 081 081 1C5 1CC 084 04D 076 043 084 05C 078 084 015 001 011 03E 022 02E 01B 01F 027 1C8 0B5 09A 028 0C8 0BF 023 081 081 081 1C5 1CC 019 03D 024 001 014 01E 03A 01B 011 019 023 084 015 1C8 189 13E 023 001 014 016 024 011 035 012 025 001 019 03B 01B 022 1C8 01B 02E 03E 01F 036 001 011 015 084 015 084 022 01B 041 012 079 1C0</x:v>
      </x:c>
    </x:row>
    <x:row r="1179">
      <x:c r="A1179" s="22" t="str">
        <x:f>"04"</x:f>
        <x:v>04</x:v>
      </x:c>
      <x:c r="B1179" s="22" t="str">
        <x:f>"99"</x:f>
        <x:v>99</x:v>
      </x:c>
      <x:c r="C1179" s="22" t="str">
        <x:f>"0x0499"</x:f>
        <x:v>0x0499</x:v>
      </x:c>
      <x:c r="D1179" s="21" t="str">
        <x:v>ヨシオの たましいが
おたけびを あげた!&lt;PAUSE_60&gt;&lt;PAUSE_60&gt;&lt;PAUSE_60&gt;&lt;PAUSE_60&gt;</x:v>
      </x:c>
      <x:c r="E1179" s="19" t="str">
        <x:v>Yoshio's soul lets
out a mighty roar!&lt;PAUSE_60&gt;&lt;PAUSE_60&gt;&lt;PAUSE_60&gt;&lt;PAUSE_60&gt;</x:v>
      </x:c>
      <x:c r="F1179" s="20" t="str"/>
      <x:c r="G1179" s="20" t="str"/>
      <x:c r="H1179" s="23" t="str">
        <x:v>NEWLINE PAUSE_60 PAUSE_60 PAUSE_60 PAUSE_60 END</x:v>
      </x:c>
      <x:c r="I1179" s="23" t="str">
        <x:v>E9:A93B</x:v>
      </x:c>
      <x:c r="J1179" s="23" t="str">
        <x:v>59 6F 73 68 69 6F 27 73 01 73 6F 75 6C 01 6C 65 74 73 C8 6F 75 74 01 61 01 6D 69 67 68 74 79 01 72 6F 61 72 21 CB CB CB CB C0</x:v>
      </x:c>
      <x:c r="K1179" s="23" t="str">
        <x:v>067 04D 046 028 001 01F 02E 01B 011 084 015 1C8 014 01F 018 084 02A 03C 001 010 084 018 01F 07A 1CB 1CB 1CB 1CB 1C0</x:v>
      </x:c>
    </x:row>
    <x:row r="1180">
      <x:c r="A1180" s="22" t="str">
        <x:f>"04"</x:f>
        <x:v>04</x:v>
      </x:c>
      <x:c r="B1180" s="22" t="str">
        <x:f>"9A"</x:f>
        <x:v>9A</x:v>
      </x:c>
      <x:c r="C1180" s="22" t="str">
        <x:f>"0x049A"</x:f>
        <x:v>0x049A</x:v>
      </x:c>
      <x:c r="D1180" s="21" t="str">
        <x:v>&lt;SPEAKER&gt;「自分のつくった装置に
ころされたような ものですな
・・・・・・・・&lt;PAUSE_60&gt;悲惨じゃ・・・&lt;PAUSE_60&gt;&lt;PAUSE_60&gt;&lt;PAUSE_60&gt;&lt;PAUSE_60&gt;
&lt;SPEAKER&gt;「・・・・さあ お嬢さま
町へ もどりましょうぞ!
&lt;PAUSE_60&gt;&lt;PAUSE_60&gt;&lt;PAUSE_60&gt;&lt;PAUSE_60&gt;</x:v>
      </x:c>
      <x:c r="E1180" s="19" t="str">
        <x:v>&lt;SPEAKER&gt;In a way, he was
killed by the device he created
himself... .........&lt;PAUSE_60&gt; How tragic...&lt;PAUSE_60&gt;&lt;PAUSE_60&gt;&lt;PAUSE_60&gt;&lt;PAUSE_60&gt;&lt;SPEAKER&gt;...Come, my lady.
Let us return to town!&lt;LINE&gt;&lt;PAUSE_60&gt;&lt;PAUSE_60&gt;&lt;PAUSE_60&gt;&lt;PAUSE_60&gt;</x:v>
      </x:c>
      <x:c r="F1180" s="20" t="str"/>
      <x:c r="G1180" s="20" t="str"/>
      <x:c r="H1180" s="23" t="str">
        <x:v>SPEAKER NEWLINE NEWLINE PAUSE_60 PAUSE_60 PAUSE_60 PAUSE_60 PAUSE_60 SPEAKER NEWLINE LINE PAUSE_60 PAUSE_60 PAUSE_60 PAUSE_60 END</x:v>
      </x:c>
      <x:c r="I1180" s="23" t="str">
        <x:v>E9:A965</x:v>
      </x:c>
      <x:c r="J1180" s="23" t="str">
        <x:v>CC 49 6E 01 61 01 77 61 79 2C 01 68 65 01 77 61 73 C8 6B 69 6C 6C 65 64 01 62 79 01 74 68 65 01 64 65 76 69 63 65 01 68 65 01 63 72 65 61 74 65 64 C8 68 69 6D 73 65 6C 66 2E 2E 2E 01 2E 2E 2E 2E 2E 2E 2E 2E 2E CB 01 48 6F 77 01 74 72 61 67 69 63 2E 2E 2E CB CB CB CB CC 2E 2E 2E 43 6F 6D 65 2C 01 6D 79 01 6C 61 64 79 2E C8 4C 65 74 01 75 73 01 72 65 74 75 72 6E 01 74 6F 01 74 6F 77 6E 21 C3 CB CB CB CB C0</x:v>
      </x:c>
      <x:c r="K1180" s="23" t="str">
        <x:v>1CC 0E2 16C 028 021 017 03E 01F 0C2 19F 025 1C8 019 03A 01A 039 01F 035 012 024 001 032 028 084 022 01C 024 1C8 081 081 081 081 081 081 081 081 1CB 1BE 1BF 084 01B 03F 081 081 081 1CB 1CB 1CB 1CB 1C8 1CC 081 081 081 081 01A 010 001 014 0D8 01A 02E 1C8 0C9 02C 001 032 084 023 037 02E 01B 041 012 084 01E 07A 1C3 1CB 1CB 1CB 1CB 1C0</x:v>
      </x:c>
    </x:row>
    <x:row r="1181">
      <x:c r="A1181" s="22" t="str">
        <x:f>"04"</x:f>
        <x:v>04</x:v>
      </x:c>
      <x:c r="B1181" s="22" t="str">
        <x:f>"9B"</x:f>
        <x:v>9B</x:v>
      </x:c>
      <x:c r="C1181" s="22" t="str">
        <x:f>"0x049B"</x:f>
        <x:v>0x049B</x:v>
      </x:c>
      <x:c r="D1181" s="21" t="str">
        <x:v>&lt;CLEAR&gt;
見上げるような 大きな
きかいがある
&lt;WAIT&gt;
&lt;CLEAR&gt;
これが キングバロンの
魔物巨大化装置だ・・・
&lt;WAIT&gt;
&lt;CLEAR&gt;
中から かすかに こどうのような
音が 聞こえる・・・</x:v>
      </x:c>
      <x:c r="E1181" s="19" t="str">
        <x:v>&lt;CLEAR&gt;A towering machine stands here.&lt;LINE&gt;&lt;WAIT&gt;&lt;CLEAR&gt;This is King Baron's
Monster Enlarging Device...&lt;LINE&gt;&lt;WAIT&gt;&lt;CLEAR&gt;A faint, heartbeat-like sound
can be heard from within...&lt;LINE&gt;</x:v>
      </x:c>
      <x:c r="F1181" s="20" t="str"/>
      <x:c r="G1181" s="20" t="str"/>
      <x:c r="H1181" s="23" t="str">
        <x:v>CLEAR LINE WAIT CLEAR NEWLINE LINE WAIT CLEAR NEWLINE LINE END</x:v>
      </x:c>
      <x:c r="I1181" s="23" t="str">
        <x:v>E9:A9ED</x:v>
      </x:c>
      <x:c r="J1181" s="23" t="str">
        <x:v>D0 41 01 74 6F 77 65 72 69 6E 67 01 6D 61 63 68 69 6E 65 01 73 74 61 6E 64 73 01 68 65 72 65 2E C3 C5 D0 54 68 69 73 01 69 73 01 4B 69 6E 67 01 42 61 72 6F 6E 27 73 C8 4D 6F 6E 73 74 65 72 01 45 6E 6C 61 72 67 69 6E 67 01 44 65 76 69 63 65 2E 2E 2E C3 C5 D0 41 01 66 61 69 6E 74 2C 01 68 65 61 72 74 62 65 61 74 2D 6C 69 6B 65 01 73 6F 75 6E 64 C8 63 61 6E 01 62 65 01 68 65 61 72 64 01 66 72 6F 6D 01 77 69 74 68 69 6E 2E 2E 2E C3 C0</x:v>
      </x:c>
      <x:c r="K1181" s="23" t="str">
        <x:v>1D0 090 128 084 018 038 035 012 024 001 0AC 016 024 1C8 016 015 011 084 015 010 038 1C3 1C5 1D0 019 039 084 015 001 048 06F 084 049 084 05B 06C 06F 028 1C8 09A 08B 0CC 0AC 09E 0C2 19F 084 01F 081 081 081 1C3 1C5 1D0 0A1 015 036 001 015 01C 015 025 001 019 084 023 012 028 035 012 024 1C8 0E0 084 015 001 0A6 019 013 038 081 081 081 1C3 1C0</x:v>
      </x:c>
    </x:row>
    <x:row r="1182">
      <x:c r="A1182" s="22" t="str">
        <x:f>"04"</x:f>
        <x:v>04</x:v>
      </x:c>
      <x:c r="B1182" s="22" t="str">
        <x:f>"9C"</x:f>
        <x:v>9C</x:v>
      </x:c>
      <x:c r="C1182" s="22" t="str">
        <x:f>"0x049C"</x:f>
        <x:v>0x049C</x:v>
      </x:c>
      <x:c r="D1182" s="21" t="str">
        <x:v>&lt;SPEAKER&gt;「ゲル ゲル ゲハハハ
よく もどって来たな 人間ども!
さあ 続きをやろうぜ!</x:v>
      </x:c>
      <x:c r="E1182" s="19" t="str">
        <x:v>&lt;SPEAKER&gt;Grr, grr, gehahaha! So
you came back, humans! Let
us continue where we left off!</x:v>
      </x:c>
      <x:c r="F1182" s="20" t="str"/>
      <x:c r="G1182" s="20" t="str"/>
      <x:c r="H1182" s="23" t="str">
        <x:v>SPEAKER NEWLINE NEWLINE END</x:v>
      </x:c>
      <x:c r="I1182" s="23" t="str">
        <x:v>E9:AA7E</x:v>
      </x:c>
      <x:c r="J1182" s="23" t="str">
        <x:v>CC 47 72 72 2C 01 67 72 72 2C 01 67 65 68 61 68 61 68 61 21 01 53 6F C8 79 6F 75 01 63 61 6D 65 01 62 61 63 6B 2C 01 68 75 6D 61 6E 73 21 01 4C 65 74 C8 75 73 01 63 6F 6E 74 69 6E 75 65 01 77 68 65 72 65 01 77 65 01 6C 65 66 74 01 6F 66 66 21 C0</x:v>
      </x:c>
      <x:c r="K1182" s="23" t="str">
        <x:v>1CC 084 04A 06A 001 084 04A 06A 001 084 04A 05B 05B 05B 1C8 035 017 001 032 084 023 03E 022 097 01F 024 001 091 0E3 084 023 032 07A 1C8 01A 010 001 0F9 016 03C 033 03A 012 084 01D 07A 1C0</x:v>
      </x:c>
    </x:row>
    <x:row r="1183">
      <x:c r="A1183" s="22" t="str">
        <x:f>"04"</x:f>
        <x:v>04</x:v>
      </x:c>
      <x:c r="B1183" s="22" t="str">
        <x:f>"9D"</x:f>
        <x:v>9D</x:v>
      </x:c>
      <x:c r="C1183" s="22" t="str">
        <x:f>"0x049D"</x:f>
        <x:v>0x049D</x:v>
      </x:c>
      <x:c r="D1183" s="21" t="str">
        <x:v>&lt;SPEAKER&gt;「レディさん! ほんとうに
どうも ありがとう!&lt;PAUSE_60&gt;&lt;PAUSE_60&gt;&lt;PAUSE_60&gt;&lt;PAUSE_60&gt;
&lt;SPEAKER&gt;「おかげで 島も もとの
活気を とりもどせそうです!
&lt;PAUSE_60&gt;&lt;PAUSE_60&gt;&lt;PAUSE_60&gt;
それにしても レディさん!&lt;PAUSE_60&gt;&lt;PAUSE_60&gt;
&lt;SPEAKER&gt;「島の いせきを りようして
ゆうえんちに しようなんて
よく かんがえましたねえ!&lt;PAUSE_60&gt;&lt;PAUSE_60&gt;&lt;PAUSE_60&gt;&lt;PAUSE_60&gt;&lt;PAUSE_60&gt;</x:v>
      </x:c>
      <x:c r="E1183" s="19" t="str">
        <x:v>&lt;SPEAKER&gt;Lady! Thank
you so much!&lt;PAUSE_60&gt;&lt;PAUSE_60&gt;&lt;PAUSE_60&gt;&lt;PAUSE_60&gt;&lt;SPEAKER&gt;Thanks to you, the island
may finally regain its old vitality!&lt;LINE&gt;&lt;PAUSE_60&gt;&lt;PAUSE_60&gt;&lt;PAUSE_60&gt;And Lady, I must say!&lt;PAUSE_60&gt;&lt;PAUSE_60&gt;&lt;SPEAKER&gt;Turning the island's
ruins into an amusement
park... what a brilliant idea!&lt;PAUSE_60&gt;&lt;PAUSE_60&gt;&lt;PAUSE_60&gt;&lt;PAUSE_60&gt;&lt;PAUSE_60&gt;</x:v>
      </x:c>
      <x:c r="F1183" s="20" t="str"/>
      <x:c r="G1183" s="20" t="str"/>
      <x:c r="H1183" s="23" t="str">
        <x:v>SPEAKER NEWLINE PAUSE_60 PAUSE_60 PAUSE_60 PAUSE_60 SPEAKER NEWLINE LINE PAUSE_60 PAUSE_60 PAUSE_60 PAUSE_60 PAUSE_60 SPEAKER NEWLINE NEWLINE PAUSE_60 PAUSE_60 PAUSE_60 PAUSE_60 PAUSE_60 END</x:v>
      </x:c>
      <x:c r="I1183" s="23" t="str">
        <x:v>E9:AAD0</x:v>
      </x:c>
      <x:c r="J1183" s="23" t="str">
        <x:v>CC 4C 61 64 79 21 01 54 68 61 6E 6B C8 79 6F 75 01 73 6F 01 6D 75 63 68 21 CB CB CB CB CC 54 68 61 6E 6B 73 01 74 6F 01 79 6F 75 2C 01 74 68 65 01 69 73 6C 61 6E 64 C8 6D 61 79 01 66 69 6E 61 6C 6C 79 01 72 65 67 61 69 6E 01 69 74 73 01 6F 6C 64 01 76 69 74 61 6C 69 74 79 21 C3 CB CB CB 41 6E 64 01 4C 61 64 79 2C 01 49 01 6D 75 73 74 01 73 61 79 21 CB CB CC 54 75 72 6E 69 6E 67 01 74 68 65 01 69 73 6C 61 6E 64 27 73 C8 72 75 69 6E 73 01 69 6E 74 6F 01 61 6E 01 61 6D 75 73 65 6D 65 6E 74 C8 70 61 72 6B 2E 2E 2E 01 77 68 61 74 01 61 01 62 72 69 6C 6C 69 61 6E 74 01 69 64 65 61 21 CB CB CB CB CB C0</x:v>
      </x:c>
      <x:c r="K1183" s="23" t="str">
        <x:v>1CC 06B 084 054 075 01A 03D 07A 001 02D 03D 023 012 025 1C8 084 023 012 032 001 010 037 084 015 023 012 07A 1CB 1CB 1CB 1CB 1C8 1CC 014 015 084 018 084 022 001 08A 032 001 032 023 028 1C8 0B4 099 03C 001 023 037 032 084 023 01D 01E 012 084 022 01C 07A 1C3 1CB 1CB 1CB 1C8 01E 039 025 01B 022 032 001 06B 084 054 075 01A 03D 07A 1CB 1CB 1C8 1CC 08A 028 001 011 01D 016 03C 001 037 035 012 01B 022 1C8 034 012 013 03D 020 025 001 01B 035 012 024 03D 022 1C8 035 017 001 015 03D 084 015 013 02E 01B 01F 027 013 07A 1CB 1CB 1CB 1CB 1CB 1C0</x:v>
      </x:c>
    </x:row>
    <x:row r="1184">
      <x:c r="A1184" s="22" t="str">
        <x:f>"04"</x:f>
        <x:v>04</x:v>
      </x:c>
      <x:c r="B1184" s="22" t="str">
        <x:f>"9E"</x:f>
        <x:v>9E</x:v>
      </x:c>
      <x:c r="C1184" s="22" t="str">
        <x:f>"0x049E"</x:f>
        <x:v>0x049E</x:v>
      </x:c>
      <x:c r="D1184" s="21" t="str">
        <x:v>&lt;SPEAKER&gt;「それでね あたしらも
デスランドに かわる 新しい
名前を かんがえましたよ!&lt;PAUSE_60&gt;&lt;PAUSE_60&gt;&lt;PAUSE_60&gt;&lt;PAUSE_60&gt;&lt;PAUSE_60&gt;
&lt;SPEAKER&gt;「ほら 見てくださいよ!
上 ですよ! 上 上!
&lt;PAUSE_60&gt;&lt;PAUSE_60&gt;&lt;PAUSE_60&gt;&lt;PAUSE_60&gt;</x:v>
      </x:c>
      <x:c r="E1184" s="19" t="str">
        <x:v>&lt;SPEAKER&gt;So we came up with a
new name to replace Deathland!&lt;PAUSE_60&gt;&lt;PAUSE_60&gt;&lt;PAUSE_60&gt;&lt;PAUSE_60&gt;&lt;PAUSE_60&gt;&lt;SPEAKER&gt;There! Look
up! Up there! Up, up!&lt;LINE&gt;&lt;PAUSE_60&gt;&lt;PAUSE_60&gt;&lt;PAUSE_60&gt;&lt;PAUSE_60&gt;</x:v>
      </x:c>
      <x:c r="F1184" s="20" t="str"/>
      <x:c r="G1184" s="20" t="str"/>
      <x:c r="H1184" s="23" t="str">
        <x:v>SPEAKER NEWLINE PAUSE_60 PAUSE_60 PAUSE_60 PAUSE_60 PAUSE_60 SPEAKER NEWLINE LINE PAUSE_60 PAUSE_60 PAUSE_60 PAUSE_60 END</x:v>
      </x:c>
      <x:c r="I1184" s="23" t="str">
        <x:v>E9:AB99</x:v>
      </x:c>
      <x:c r="J1184" s="23" t="str">
        <x:v>CC 53 6F 01 77 65 01 63 61 6D 65 01 75 70 01 77 69 74 68 01 61 C8 6E 65 77 01 6E 61 6D 65 01 74 6F 01 72 65 70 6C 61 63 65 01 44 65 61 74 68 6C 61 6E 64 21 CB CB CB CB CB CC 54 68 65 72 65 21 01 4C 6F 6F 6B C8 75 70 21 01 55 70 01 74 68 65 72 65 21 01 55 70 2C 01 75 70 21 C3 CB CB CB CB C0</x:v>
      </x:c>
      <x:c r="K1184" s="23" t="str">
        <x:v>1CC 01E 039 084 022 027 001 010 01F 01B 036 032 1C8 084 054 04E 068 06F 084 055 025 001 015 03B 038 001 197 01B 011 1C8 0CD 0C3 03C 001 015 03D 084 015 013 02E 01B 01F 035 07A 1CB 1CB 1CB 1CB 1CB 1C8 1CC 02D 036 001 090 022 017 084 01F 01A 011 035 07A 1C8 128 001 084 022 01C 035 07A 001 128 001 128 07A 1C3 1CB 1CB 1CB 1CB 1C0</x:v>
      </x:c>
    </x:row>
    <x:row r="1185">
      <x:c r="A1185" s="22" t="str">
        <x:f>"04"</x:f>
        <x:v>04</x:v>
      </x:c>
      <x:c r="B1185" s="22" t="str">
        <x:f>"9F"</x:f>
        <x:v>9F</x:v>
      </x:c>
      <x:c r="C1185" s="22" t="str">
        <x:f>"0x049F"</x:f>
        <x:v>0x049F</x:v>
      </x:c>
      <x:c r="D1185" s="21" t="str">
        <x:v>&lt;SPEAKER&gt;「レディさまに ちなんで
じゃじゃうまランド
あっしが 名づけたんでさあ!&lt;PAUSE_60&gt;&lt;PAUSE_60&gt;&lt;PAUSE_60&gt;&lt;PAUSE_60&gt;
&lt;SPEAKER&gt;「ありゃ! あんなところに
ジェイビーの 像が!
誰が 置いたんだ? いったい?&lt;PAUSE_60&gt;&lt;PAUSE_60&gt;&lt;PAUSE_60&gt;&lt;PAUSE_60&gt;&lt;PAUSE_60&gt;</x:v>
      </x:c>
      <x:c r="E1185" s="19" t="str">
        <x:v>&lt;SPEAKER&gt;In honor of Lady, I
named it Wild Lady Land!&lt;PAUSE_60&gt;&lt;PAUSE_60&gt;&lt;PAUSE_60&gt;&lt;PAUSE_60&gt;&lt;SPEAKER&gt;Huh?! There is a statue
of J.B.! Who put that up there?!&lt;PAUSE_60&gt;&lt;PAUSE_60&gt;&lt;PAUSE_60&gt;&lt;PAUSE_60&gt;&lt;PAUSE_60&gt;</x:v>
      </x:c>
      <x:c r="F1185" s="20" t="str"/>
      <x:c r="G1185" s="20" t="str"/>
      <x:c r="H1185" s="23" t="str">
        <x:v>SPEAKER NEWLINE PAUSE_60 PAUSE_60 PAUSE_60 PAUSE_60 SPEAKER NEWLINE PAUSE_60 PAUSE_60 PAUSE_60 PAUSE_60 PAUSE_60 END</x:v>
      </x:c>
      <x:c r="I1185" s="23" t="str">
        <x:v>E9:ABFA</x:v>
      </x:c>
      <x:c r="J1185" s="23" t="str">
        <x:v>CC 49 6E 01 68 6F 6E 6F 72 01 6F 66 01 4C 61 64 79 2C 01 49 C8 6E 61 6D 65 64 01 69 74 01 57 69 6C 64 01 4C 61 64 79 01 4C 61 6E 64 21 CB CB CB CB CC 48 75 68 3F 21 01 54 68 65 72 65 01 69 73 01 61 01 73 74 61 74 75 65 C8 6F 66 01 4A 2E 42 2E 21 01 57 68 6F 01 70 75 74 01 74 68 61 74 01 75 70 01 74 68 65 72 65 3F 21 CB CB CB CB CB C0</x:v>
      </x:c>
      <x:c r="K1185" s="23" t="str">
        <x:v>1CC 06B 084 054 075 01A 02E 025 001 020 024 03D 084 022 1C8 084 01B 03F 084 01B 03F 012 02E 068 06F 084 055 1C8 010 03E 01B 084 015 001 0CD 084 021 018 01F 03D 084 022 01A 010 07A 1CB 1CB 1CB 1CB 1C8 1CC 010 037 03F 07A 001 010 03D 024 023 019 03A 025 1C8 084 04D 076 043 084 05C 078 028 001 159 084 015 07A 1C8 0FA 084 015 001 19F 011 01F 03D 084 01F 079 001 011 03E 01F 011 079 1CB 1CB 1CB 1CB 1CB 1C0</x:v>
      </x:c>
    </x:row>
    <x:row r="1186">
      <x:c r="A1186" s="22" t="str">
        <x:f>"04"</x:f>
        <x:v>04</x:v>
      </x:c>
      <x:c r="B1186" s="22" t="str">
        <x:f>"A0"</x:f>
        <x:v>A0</x:v>
      </x:c>
      <x:c r="C1186" s="22" t="str">
        <x:f>"0x04A0"</x:f>
        <x:v>0x04A0</x:v>
      </x:c>
      <x:c r="D1186" s="21" t="str">
        <x:v>&lt;SPEAKER&gt;「お嬢さまでしょ?
ジェイビー像を あそこに
置いたのは?&lt;PAUSE_60&gt;&lt;PAUSE_60&gt;&lt;PAUSE_60&gt;&lt;PAUSE_60&gt;&lt;PAUSE_60&gt;</x:v>
      </x:c>
      <x:c r="E1186" s="19" t="str">
        <x:v>&lt;SPEAKER&gt;My lady... You put that
J.B. statue there, did you not?&lt;PAUSE_60&gt;&lt;PAUSE_60&gt;&lt;PAUSE_60&gt;&lt;PAUSE_60&gt;&lt;PAUSE_60&gt;</x:v>
      </x:c>
      <x:c r="F1186" s="20" t="str"/>
      <x:c r="G1186" s="20" t="str"/>
      <x:c r="H1186" s="23" t="str">
        <x:v>SPEAKER NEWLINE PAUSE_60 PAUSE_60 PAUSE_60 PAUSE_60 PAUSE_60 END</x:v>
      </x:c>
      <x:c r="I1186" s="23" t="str">
        <x:v>E9:AC6A</x:v>
      </x:c>
      <x:c r="J1186" s="23" t="str">
        <x:v>CC 4D 79 01 6C 61 64 79 2E 2E 2E 01 59 6F 75 01 70 75 74 01 74 68 61 74 C8 4A 2E 42 2E 01 73 74 61 74 75 65 01 74 68 65 72 65 2C 01 64 69 64 01 79 6F 75 01 6E 6F 74 3F CB CB CB CB CB C0</x:v>
      </x:c>
      <x:c r="K1186" s="23" t="str">
        <x:v>1CC 014 0D8 01A 02E 084 022 01B 041 079 1C8 084 04D 076 043 084 05C 078 159 03C 001 010 01E 019 025 1C8 19F 011 01F 028 029 079 1CB 1CB 1CB 1CB 1CB 1C0</x:v>
      </x:c>
    </x:row>
    <x:row r="1187">
      <x:c r="A1187" s="22" t="str">
        <x:f>"04"</x:f>
        <x:v>04</x:v>
      </x:c>
      <x:c r="B1187" s="22" t="str">
        <x:f>"A1"</x:f>
        <x:v>A1</x:v>
      </x:c>
      <x:c r="C1187" s="22" t="str">
        <x:f>"0x04A1"</x:f>
        <x:v>0x04A1</x:v>
      </x:c>
      <x:c r="D1187" s="21" t="str">
        <x:v>&lt;SPEAKER&gt;「だって 花火くらい
見せて あげても いいじゃない?&lt;PAUSE_60&gt;&lt;PAUSE_60&gt;&lt;PAUSE_60&gt;&lt;PAUSE_60&gt;</x:v>
      </x:c>
      <x:c r="E1187" s="19" t="str">
        <x:v>&lt;SPEAKER&gt;Come on! He deserves
to see some fireworks!&lt;PAUSE_60&gt;&lt;PAUSE_60&gt;&lt;PAUSE_60&gt;&lt;PAUSE_60&gt;</x:v>
      </x:c>
      <x:c r="F1187" s="20" t="str"/>
      <x:c r="G1187" s="20" t="str"/>
      <x:c r="H1187" s="23" t="str">
        <x:v>SPEAKER NEWLINE PAUSE_60 PAUSE_60 PAUSE_60 PAUSE_60 END</x:v>
      </x:c>
      <x:c r="I1187" s="23" t="str">
        <x:v>E9:ACA8</x:v>
      </x:c>
      <x:c r="J1187" s="23" t="str">
        <x:v>CC 43 6F 6D 65 01 6F 6E 21 01 48 65 01 64 65 73 65 72 76 65 73 C8 74 6F 01 73 65 65 01 73 6F 6D 65 01 66 69 72 65 77 6F 72 6B 73 21 CB CB CB CB C0</x:v>
      </x:c>
      <x:c r="K1187" s="23" t="str">
        <x:v>1CC 084 01F 03E 022 001 17C 110 017 036 011 1C8 090 01D 022 001 010 084 018 022 032 001 011 011 084 01B 03F 024 011 079 1CB 1CB 1CB 1CB 1C0</x:v>
      </x:c>
    </x:row>
    <x:row r="1188">
      <x:c r="A1188" s="22" t="str">
        <x:f>"04"</x:f>
        <x:v>04</x:v>
      </x:c>
      <x:c r="B1188" s="22" t="str">
        <x:f>"A2"</x:f>
        <x:v>A2</x:v>
      </x:c>
      <x:c r="C1188" s="22" t="str">
        <x:f>"0x04A2"</x:f>
        <x:v>0x04A2</x:v>
      </x:c>
      <x:c r="D1188" s="21" t="str">
        <x:v>&lt;SPEAKER&gt;「でやっ!</x:v>
      </x:c>
      <x:c r="E1188" s="19" t="str">
        <x:v>&lt;SPEAKER&gt;Hyaa!</x:v>
      </x:c>
      <x:c r="F1188" s="20" t="str"/>
      <x:c r="G1188" s="20" t="str"/>
      <x:c r="H1188" s="23" t="str">
        <x:v>SPEAKER END</x:v>
      </x:c>
      <x:c r="I1188" s="23" t="str">
        <x:v>E9:ACD9</x:v>
      </x:c>
      <x:c r="J1188" s="23" t="str">
        <x:v>CC 48 79 61 61 21 C0</x:v>
      </x:c>
      <x:c r="K1188" s="23" t="str">
        <x:v>1CC 084 022 033 03E 07A 1C0</x:v>
      </x:c>
    </x:row>
    <x:row r="1189">
      <x:c r="A1189" s="22" t="str">
        <x:f>"04"</x:f>
        <x:v>04</x:v>
      </x:c>
      <x:c r="B1189" s="22" t="str">
        <x:f>"A3"</x:f>
        <x:v>A3</x:v>
      </x:c>
      <x:c r="C1189" s="22" t="str">
        <x:f>"0x04A3"</x:f>
        <x:v>0x04A3</x:v>
      </x:c>
      <x:c r="D1189" s="21" t="str">
        <x:v>&lt;SPEAKER&gt;「・・・・ええ・と・
5たす7から1ひくから・・・・
・・・・・・11ねっ! へへん!&lt;PAUSE_60&gt;&lt;PAUSE_60&gt;&lt;PAUSE_60&gt;&lt;PAUSE_60&gt;&lt;PAUSE_60&gt;</x:v>
      </x:c>
      <x:c r="E1189" s="19" t="str">
        <x:v>&lt;SPEAKER&gt;Umm... let me see...
Five plus seven, minus
one... ...Eleven! Heh heh!&lt;PAUSE_60&gt;&lt;PAUSE_60&gt;&lt;PAUSE_60&gt;&lt;PAUSE_60&gt;&lt;PAUSE_60&gt;</x:v>
      </x:c>
      <x:c r="F1189" s="20" t="str"/>
      <x:c r="G1189" s="20" t="str"/>
      <x:c r="H1189" s="23" t="str">
        <x:v>SPEAKER NEWLINE NEWLINE PAUSE_60 PAUSE_60 PAUSE_60 PAUSE_60 PAUSE_60 END</x:v>
      </x:c>
      <x:c r="I1189" s="23" t="str">
        <x:v>E9:ACE0</x:v>
      </x:c>
      <x:c r="J1189" s="23" t="str">
        <x:v>CC 55 6D 6D 2E 2E 2E 01 6C 65 74 01 6D 65 01 73 65 65 2E 2E 2E C8 46 69 76 65 01 70 6C 75 73 01 73 65 76 65 6E 2C 01 6D 69 6E 75 73 C8 6F 6E 65 2E 2E 2E 01 2E 2E 2E 45 6C 65 76 65 6E 21 01 48 65 68 01 68 65 68 21 CB CB CB CB CB C0</x:v>
      </x:c>
      <x:c r="K1189" s="23" t="str">
        <x:v>1CC 081 081 081 081 013 013 081 023 081 1C8 007 01F 01C 009 015 036 003 02A 017 015 036 081 081 081 081 1C8 081 081 081 081 081 081 003 003 027 03E 07A 001 02C 02C 03D 07A 1CB 1CB 1CB 1CB 1CB 1C0</x:v>
      </x:c>
    </x:row>
    <x:row r="1190">
      <x:c r="A1190" s="22" t="str">
        <x:f>"04"</x:f>
        <x:v>04</x:v>
      </x:c>
      <x:c r="B1190" s="22" t="str">
        <x:f>"A4"</x:f>
        <x:v>A4</x:v>
      </x:c>
      <x:c r="C1190" s="22" t="str">
        <x:f>"0x04A4"</x:f>
        <x:v>0x04A4</x:v>
      </x:c>
      <x:c r="D1190" s="21" t="str">
        <x:v>&lt;SPEAKER&gt;「・・むむう! 正解ですな!
それにしても お嬢様 今日は
やけに まじめですな・・・・&lt;PAUSE_60&gt;&lt;PAUSE_60&gt;&lt;PAUSE_60&gt;&lt;PAUSE_60&gt;&lt;PAUSE_60&gt;
&lt;SPEAKER&gt;「また何か わるさを
たくらんでおるんでしょう?
でへへ はくじょうせんかい!&lt;PAUSE_60&gt;&lt;PAUSE_60&gt;&lt;PAUSE_60&gt;&lt;PAUSE_60&gt;&lt;PAUSE_60&gt;</x:v>
      </x:c>
      <x:c r="E1190" s="19" t="str">
        <x:v>&lt;SPEAKER&gt;Hmm! Correct!
Still, my lady, you are
unusually serious today...&lt;PAUSE_60&gt;&lt;PAUSE_60&gt;&lt;PAUSE_60&gt;&lt;PAUSE_60&gt;&lt;PAUSE_60&gt;&lt;SPEAKER&gt;You are plotting
some mischief again, are
you not? Heh heh! Confess!&lt;PAUSE_60&gt;&lt;PAUSE_60&gt;&lt;PAUSE_60&gt;&lt;PAUSE_60&gt;&lt;PAUSE_60&gt;</x:v>
      </x:c>
      <x:c r="F1190" s="20" t="str"/>
      <x:c r="G1190" s="20" t="str"/>
      <x:c r="H1190" s="23" t="str">
        <x:v>SPEAKER NEWLINE NEWLINE PAUSE_60 PAUSE_60 PAUSE_60 PAUSE_60 PAUSE_60 SPEAKER NEWLINE NEWLINE PAUSE_60 PAUSE_60 PAUSE_60 PAUSE_60 PAUSE_60 END</x:v>
      </x:c>
      <x:c r="I1190" s="23" t="str">
        <x:v>E9:AD2D</x:v>
      </x:c>
      <x:c r="J1190" s="23" t="str">
        <x:v>CC 48 6D 6D 21 01 43 6F 72 72 65 63 74 21 C8 53 74 69 6C 6C 2C 01 6D 79 01 6C 61 64 79 2C 01 79 6F 75 01 61 72 65 C8 75 6E 75 73 75 61 6C 6C 79 01 73 65 72 69 6F 75 73 01 74 6F 64 61 79 2E 2E 2E CB CB CB CB CB CC 59 6F 75 01 61 72 65 01 70 6C 6F 74 74 69 6E 67 C8 73 6F 6D 65 01 6D 69 73 63 68 69 65 66 01 61 67 61 69 6E 2C 01 61 72 65 C8 79 6F 75 01 6E 6F 74 3F 01 48 65 68 01 68 65 68 21 01 43 6F 6E 66 65 73 73 21 CB CB CB CB CB C0</x:v>
      </x:c>
      <x:c r="K1190" s="23" t="str">
        <x:v>1CC 081 081 030 030 012 07A 001 15B 0FE 084 022 01C 024 07A 1C8 01E 039 025 01B 022 032 001 014 0D8 0D9 001 150 120 029 1C8 033 018 025 001 02E 084 01B 031 084 022 01C 024 081 081 081 081 1CB 1CB 1CB 1CB 1CB 1C8 1CC 02E 01F 093 015 001 03B 038 01A 03C 1C8 01F 017 036 03D 084 022 014 038 03D 084 022 01B 041 012 079 1C8 084 022 02C 02C 001 029 017 084 01B 041 012 01D 03D 015 011 07A 1CB 1CB 1CB 1CB 1CB 1C0</x:v>
      </x:c>
    </x:row>
    <x:row r="1191">
      <x:c r="A1191" s="22" t="str">
        <x:f>"04"</x:f>
        <x:v>04</x:v>
      </x:c>
      <x:c r="B1191" s="22" t="str">
        <x:f>"A5"</x:f>
        <x:v>A5</x:v>
      </x:c>
      <x:c r="C1191" s="22" t="str">
        <x:f>"0x04A5"</x:f>
        <x:v>0x04A5</x:v>
      </x:c>
      <x:c r="D1191" s="21" t="str">
        <x:v>&lt;SPEAKER&gt;「あいかわらず
うたぐりぶかい じじいね!
ふん! 何にもたくらんでないわよっ&lt;PAUSE_60&gt;&lt;PAUSE_60&gt;&lt;PAUSE_60&gt;&lt;PAUSE_60&gt;&lt;PAUSE_60&gt;
&lt;SPEAKER&gt;「ほざいてないで つぎの
べんきょうの じゅんびを
さっさと しなよ!&lt;PAUSE_60&gt;&lt;PAUSE_60&gt;&lt;PAUSE_60&gt;&lt;PAUSE_60&gt;&lt;PAUSE_60&gt;</x:v>
      </x:c>
      <x:c r="E1191" s="19" t="str">
        <x:v>&lt;SPEAKER&gt;Still as suspicious as
ever, you old geezer! Hmph!
I'm not plotting anything!&lt;PAUSE_60&gt;&lt;PAUSE_60&gt;&lt;PAUSE_60&gt;&lt;PAUSE_60&gt;&lt;PAUSE_60&gt;&lt;SPEAKER&gt;Quit your babbling
and get ready for your
next lesson. Hurry it up!&lt;PAUSE_60&gt;&lt;PAUSE_60&gt;&lt;PAUSE_60&gt;&lt;PAUSE_60&gt;&lt;PAUSE_60&gt;</x:v>
      </x:c>
      <x:c r="F1191" s="20" t="str"/>
      <x:c r="G1191" s="20" t="str"/>
      <x:c r="H1191" s="23" t="str">
        <x:v>SPEAKER NEWLINE NEWLINE PAUSE_60 PAUSE_60 PAUSE_60 PAUSE_60 PAUSE_60 SPEAKER NEWLINE NEWLINE PAUSE_60 PAUSE_60 PAUSE_60 PAUSE_60 PAUSE_60 END</x:v>
      </x:c>
      <x:c r="I1191" s="23" t="str">
        <x:v>E9:ADBE</x:v>
      </x:c>
      <x:c r="J1191" s="23" t="str">
        <x:v>CC 53 74 69 6C 6C 01 61 73 01 73 75 73 70 69 63 69 6F 75 73 01 61 73 C8 65 76 65 72 2C 01 79 6F 75 01 6F 6C 64 01 67 65 65 7A 65 72 21 01 48 6D 70 68 21 C8 49 27 6D 01 6E 6F 74 01 70 6C 6F 74 74 69 6E 67 01 61 6E 79 74 68 69 6E 67 21 CB CB CB CB CB CC 51 75 69 74 01 79 6F 75 72 01 62 61 62 62 6C 69 6E 67 C8 61 6E 64 01 67 65 74 01 72 65 61 64 79 01 66 6F 72 01 79 6F 75 72 C8 6E 65 78 74 01 6C 65 73 73 6F 6E 2E 01 48 75 72 72 79 01 69 74 01 75 70 21 CB CB CB CB CB C0</x:v>
      </x:c>
      <x:c r="K1191" s="23" t="str">
        <x:v>1CC 010 011 015 03B 036 084 01C 1C8 012 01F 084 017 037 084 02B 015 011 001 084 01B 084 01B 011 027 07A 1C8 02B 03D 07A 001 093 025 032 01F 017 036 03D 084 022 024 011 03B 035 03E 1CB 1CB 1CB 1CB 1CB 1C8 1CC 02D 084 01A 011 022 024 011 084 022 001 021 084 016 028 1C8 084 02C 03D 016 041 012 028 001 084 01B 040 03D 084 02A 03C 1C8 01A 03E 01A 023 001 01B 024 035 07A 1CB 1CB 1CB 1CB 1CB 1C0</x:v>
      </x:c>
    </x:row>
    <x:row r="1192">
      <x:c r="A1192" s="22" t="str">
        <x:f>"04"</x:f>
        <x:v>04</x:v>
      </x:c>
      <x:c r="B1192" s="22" t="str">
        <x:f>"A6"</x:f>
        <x:v>A6</x:v>
      </x:c>
      <x:c r="C1192" s="22" t="str">
        <x:f>"0x04A6"</x:f>
        <x:v>0x04A6</x:v>
      </x:c>
      <x:c r="D1192" s="21" t="str">
        <x:v>&lt;SPEAKER&gt;「いやいやいやいや わしは
しんじませんぞ! むむむ さては
また ばくだんを このへやに?&lt;PAUSE_60&gt;&lt;PAUSE_60&gt;&lt;PAUSE_60&gt;&lt;PAUSE_60&gt;&lt;PAUSE_60&gt;</x:v>
      </x:c>
      <x:c r="E1192" s="19" t="str">
        <x:v>&lt;SPEAKER&gt;No, no, no, no. I don't
believe you! Hmmm... You didn't
put bombs in this room again?&lt;PAUSE_60&gt;&lt;PAUSE_60&gt;&lt;PAUSE_60&gt;&lt;PAUSE_60&gt;&lt;PAUSE_60&gt;</x:v>
      </x:c>
      <x:c r="F1192" s="20" t="str"/>
      <x:c r="G1192" s="20" t="str"/>
      <x:c r="H1192" s="23" t="str">
        <x:v>SPEAKER NEWLINE NEWLINE PAUSE_60 PAUSE_60 PAUSE_60 PAUSE_60 PAUSE_60 END</x:v>
      </x:c>
      <x:c r="I1192" s="23" t="str">
        <x:v>E9:AE5B</x:v>
      </x:c>
      <x:c r="J1192" s="23" t="str">
        <x:v>CC 4E 6F 2C 01 6E 6F 2C 01 6E 6F 2C 01 6E 6F 2E 01 49 01 64 6F 6E 27 74 C8 62 65 6C 69 65 76 65 01 79 6F 75 21 01 48 6D 6D 6D 2E 2E 2E 01 59 6F 75 01 64 69 64 6E 27 74 C8 70 75 74 01 62 6F 6D 62 73 01 69 6E 01 74 68 69 73 01 72 6F 6F 6D 01 61 67 61 69 6E 3F CB CB CB CB CB C0</x:v>
      </x:c>
      <x:c r="K1192" s="23" t="str">
        <x:v>1CC 011 033 011 033 011 033 011 033 001 03B 01B 029 1C8 01B 03D 084 01B 02E 01D 03D 084 01E 07A 001 030 030 030 001 01A 022 029 1C8 02E 01F 001 084 029 017 084 01F 03D 03C 001 019 028 02C 033 025 079 1CB 1CB 1CB 1CB 1CB 1C0</x:v>
      </x:c>
    </x:row>
    <x:row r="1193">
      <x:c r="A1193" s="22" t="str">
        <x:f>"04"</x:f>
        <x:v>04</x:v>
      </x:c>
      <x:c r="B1193" s="22" t="str">
        <x:f>"A7"</x:f>
        <x:v>A7</x:v>
      </x:c>
      <x:c r="C1193" s="22" t="str">
        <x:f>"0x04A7"</x:f>
        <x:v>0x04A7</x:v>
      </x:c>
      <x:c r="D1193" s="21" t="str">
        <x:v>&lt;SPEAKER&gt;「はあ はあ はあ ぐはあー
どうやら わしの 思いちがいの
ようじゃのう ふあー よかった!&lt;PAUSE_60&gt;&lt;PAUSE_60&gt;&lt;PAUSE_60&gt;&lt;PAUSE_60&gt;&lt;PAUSE_60&gt;</x:v>
      </x:c>
      <x:c r="E1193" s="19" t="str">
        <x:v>&lt;SPEAKER&gt;Huff... huff... whew!
It seems I was mistaken.
Ahh... what a relief!&lt;PAUSE_60&gt;&lt;PAUSE_60&gt;&lt;PAUSE_60&gt;&lt;PAUSE_60&gt;&lt;PAUSE_60&gt;</x:v>
      </x:c>
      <x:c r="F1193" s="20" t="str"/>
      <x:c r="G1193" s="20" t="str"/>
      <x:c r="H1193" s="23" t="str">
        <x:v>SPEAKER NEWLINE NEWLINE PAUSE_60 PAUSE_60 PAUSE_60 PAUSE_60 PAUSE_60 END</x:v>
      </x:c>
      <x:c r="I1193" s="23" t="str">
        <x:v>E9:AEB7</x:v>
      </x:c>
      <x:c r="J1193" s="23" t="str">
        <x:v>CC 48 75 66 66 2E 2E 2E 01 68 75 66 66 2E 2E 2E 01 77 68 65 77 21 C8 49 74 01 73 65 65 6D 73 01 49 01 77 61 73 01 6D 69 73 74 61 6B 65 6E 2E C8 41 68 68 2E 2E 2E 01 77 68 61 74 01 61 01 72 65 6C 69 65 66 21 CB CB CB CB CB C0</x:v>
      </x:c>
      <x:c r="K1193" s="23" t="str">
        <x:v>1CC 029 010 001 029 010 001 029 010 001 084 017 029 010 078 1C8 084 023 012 033 036 001 03B 01B 028 001 10F 011 020 084 015 011 028 1C8 035 012 084 01B 03F 028 012 001 02B 010 078 001 035 015 03E 01F 07A 1CB 1CB 1CB 1CB 1CB 1C0</x:v>
      </x:c>
    </x:row>
    <x:row r="1194">
      <x:c r="A1194" s="22" t="str">
        <x:f>"04"</x:f>
        <x:v>04</x:v>
      </x:c>
      <x:c r="B1194" s="22" t="str">
        <x:f>"A8"</x:f>
        <x:v>A8</x:v>
      </x:c>
      <x:c r="C1194" s="22" t="str">
        <x:f>"0x04A8"</x:f>
        <x:v>0x04A8</x:v>
      </x:c>
      <x:c r="D1194" s="21" t="str">
        <x:v>&lt;SPEAKER&gt;「何が よかったよ
この あたしが おんなじことを
二度も やるわけないでしょ!&lt;PAUSE_60&gt;&lt;PAUSE_60&gt;&lt;PAUSE_60&gt;&lt;PAUSE_60&gt;&lt;PAUSE_60&gt;
&lt;SPEAKER&gt;「べんきょうするのか
しないのか どっちなのよ?
この かおでかじじいっ!&lt;PAUSE_60&gt;&lt;PAUSE_60&gt;&lt;PAUSE_60&gt;&lt;PAUSE_60&gt;&lt;PAUSE_60&gt;</x:v>
      </x:c>
      <x:c r="E1194" s="19" t="str">
        <x:v>&lt;SPEAKER&gt;What is so relieving
about that? As if I would
pull the same trick twice!&lt;PAUSE_60&gt;&lt;PAUSE_60&gt;&lt;PAUSE_60&gt;&lt;PAUSE_60&gt;&lt;PAUSE_60&gt;&lt;SPEAKER&gt;Are we studying
or not? Which is it,
you big-faced old man?!&lt;PAUSE_60&gt;&lt;PAUSE_60&gt;&lt;PAUSE_60&gt;&lt;PAUSE_60&gt;&lt;PAUSE_60&gt;</x:v>
      </x:c>
      <x:c r="F1194" s="20" t="str"/>
      <x:c r="G1194" s="20" t="str"/>
      <x:c r="H1194" s="23" t="str">
        <x:v>SPEAKER NEWLINE NEWLINE PAUSE_60 PAUSE_60 PAUSE_60 PAUSE_60 PAUSE_60 SPEAKER NEWLINE NEWLINE PAUSE_60 PAUSE_60 PAUSE_60 PAUSE_60 PAUSE_60 END</x:v>
      </x:c>
      <x:c r="I1194" s="23" t="str">
        <x:v>E9:AF02</x:v>
      </x:c>
      <x:c r="J1194" s="23" t="str">
        <x:v>CC 57 68 61 74 01 69 73 01 73 6F 01 72 65 6C 69 65 76 69 6E 67 C8 61 62 6F 75 74 01 74 68 61 74 3F 01 41 73 01 69 66 01 49 01 77 6F 75 6C 64 C8 70 75 6C 6C 01 74 68 65 01 73 61 6D 65 01 74 72 69 63 6B 01 74 77 69 63 65 21 CB CB CB CB CB CC 41 72 65 01 77 65 01 73 74 75 64 79 69 6E 67 C8 6F 72 01 6E 6F 74 3F 01 57 68 69 63 68 01 69 73 01 69 74 2C C8 79 6F 75 01 62 69 67 2D 66 61 63 65 64 01 6F 6C 64 01 6D 61 6E 3F 21 CB CB CB CB CB C0</x:v>
      </x:c>
      <x:c r="K1194" s="23" t="str">
        <x:v>1CC 093 084 015 001 035 015 03E 01F 035 1C8 019 028 001 010 01F 01B 084 015 001 014 03D 024 084 01B 019 023 03C 1C8 189 13E 032 001 033 038 03B 018 024 011 084 022 01B 041 07A 1CB 1CB 1CB 1CB 1CB 1C8 1CC 084 02C 03D 016 041 012 01C 038 028 015 1C8 01B 024 011 028 015 001 084 023 03E 020 024 028 035 079 1C8 019 028 001 015 014 084 022 015 084 01B 084 01B 011 03E 07A 1CB 1CB 1CB 1CB 1CB 1C0</x:v>
      </x:c>
    </x:row>
    <x:row r="1195">
      <x:c r="A1195" s="22" t="str">
        <x:f>"04"</x:f>
        <x:v>04</x:v>
      </x:c>
      <x:c r="B1195" s="22" t="str">
        <x:f>"A9"</x:f>
        <x:v>A9</x:v>
      </x:c>
      <x:c r="C1195" s="22" t="str">
        <x:f>"0x04A9"</x:f>
        <x:v>0x04A9</x:v>
      </x:c>
      <x:c r="D1195" s="21" t="str">
        <x:v>&lt;SPEAKER&gt;「むふぉおおお!・・・・
い いかん ここでおこったら
お嬢様の 思うツボ・・・・&lt;PAUSE_60&gt;&lt;PAUSE_60&gt;&lt;PAUSE_60&gt;&lt;PAUSE_60&gt;&lt;PAUSE_60&gt;</x:v>
      </x:c>
      <x:c r="E1195" s="19" t="str">
        <x:v>&lt;SPEAKER&gt;Mwrrrgh...! N-no. If I
lose my temper now, I will
play right into her hands...&lt;PAUSE_60&gt;&lt;PAUSE_60&gt;&lt;PAUSE_60&gt;&lt;PAUSE_60&gt;&lt;PAUSE_60&gt;</x:v>
      </x:c>
      <x:c r="F1195" s="20" t="str"/>
      <x:c r="G1195" s="20" t="str"/>
      <x:c r="H1195" s="23" t="str">
        <x:v>SPEAKER NEWLINE NEWLINE PAUSE_60 PAUSE_60 PAUSE_60 PAUSE_60 PAUSE_60 END</x:v>
      </x:c>
      <x:c r="I1195" s="23" t="str">
        <x:v>E9:AF94</x:v>
      </x:c>
      <x:c r="J1195" s="23" t="str">
        <x:v>CC 4D 77 72 72 72 67 68 2E 2E 2E 21 01 4E 2D 6E 6F 2E 01 49 66 01 49 C8 6C 6F 73 65 01 6D 79 01 74 65 6D 70 65 72 01 6E 6F 77 2C 01 49 01 77 69 6C 6C C8 70 6C 61 79 01 72 69 67 68 74 01 69 6E 74 6F 01 68 65 72 01 68 61 6E 64 73 2E 2E 2E CB CB CB CB CB C0</x:v>
      </x:c>
      <x:c r="K1195" s="23" t="str">
        <x:v>1CC 030 02B 082 014 014 014 07A 081 081 081 081 1C8 011 001 011 015 03D 001 019 019 084 022 014 019 03E 01F 036 1C8 014 0D8 0D9 028 001 10F 012 053 084 05F 081 081 081 081 1CB 1CB 1CB 1CB 1CB 1C0</x:v>
      </x:c>
    </x:row>
    <x:row r="1196">
      <x:c r="A1196" s="22" t="str">
        <x:f>"04"</x:f>
        <x:v>04</x:v>
      </x:c>
      <x:c r="B1196" s="22" t="str">
        <x:f>"AA"</x:f>
        <x:v>AA</x:v>
      </x:c>
      <x:c r="C1196" s="22" t="str">
        <x:f>"0x04AA"</x:f>
        <x:v>0x04AA</x:v>
      </x:c>
      <x:c r="D1196" s="21" t="str">
        <x:v>&lt;SPEAKER&gt;「むふぉふぉ そうですな・・
ほいでゃあ こ これなんか
どうでげすかのう・・これ!&lt;PAUSE_60&gt;&lt;PAUSE_60&gt;&lt;PAUSE_60&gt;&lt;PAUSE_60&gt;&lt;PAUSE_60&gt;</x:v>
      </x:c>
      <x:c r="E1196" s="19" t="str">
        <x:v>&lt;SPEAKER&gt;Ho ho... Very well. Then
how about... this one here?&lt;PAUSE_60&gt;&lt;PAUSE_60&gt;&lt;PAUSE_60&gt;&lt;PAUSE_60&gt;&lt;PAUSE_60&gt;</x:v>
      </x:c>
      <x:c r="F1196" s="20" t="str"/>
      <x:c r="G1196" s="20" t="str"/>
      <x:c r="H1196" s="23" t="str">
        <x:v>SPEAKER NEWLINE PAUSE_60 PAUSE_60 PAUSE_60 PAUSE_60 PAUSE_60 END</x:v>
      </x:c>
      <x:c r="I1196" s="23" t="str">
        <x:v>E9:AFE9</x:v>
      </x:c>
      <x:c r="J1196" s="23" t="str">
        <x:v>CC 48 6F 01 68 6F 2E 2E 2E 01 56 65 72 79 01 77 65 6C 6C 2E 01 54 68 65 6E C8 68 6F 77 01 61 62 6F 75 74 2E 2E 2E 01 74 68 69 73 01 6F 6E 65 01 68 65 72 65 3F CB CB CB CB CB C0</x:v>
      </x:c>
      <x:c r="K1196" s="23" t="str">
        <x:v>1CC 030 02B 082 02B 082 001 01E 012 084 022 01C 024 081 081 1C8 02D 011 084 022 03F 010 001 019 001 019 039 024 03D 015 1C8 084 023 012 084 022 084 018 01C 015 028 012 081 081 019 039 07A 1CB 1CB 1CB 1CB 1CB 1C0</x:v>
      </x:c>
    </x:row>
    <x:row r="1197">
      <x:c r="A1197" s="22" t="str">
        <x:f>"04"</x:f>
        <x:v>04</x:v>
      </x:c>
      <x:c r="B1197" s="22" t="str">
        <x:f>"AB"</x:f>
        <x:v>AB</x:v>
      </x:c>
      <x:c r="C1197" s="22" t="str">
        <x:f>"0x04AB"</x:f>
        <x:v>0x04AB</x:v>
      </x:c>
      <x:c r="D1197" s="21" t="str">
        <x:v>&lt;SPEAKER&gt;「これですじゃよ! これこれ!
謎のデスランド島伝説! これは
お嬢様むきの 本ですぞ!&lt;PAUSE_60&gt;&lt;PAUSE_60&gt;&lt;PAUSE_60&gt;&lt;PAUSE_60&gt;&lt;PAUSE_60&gt;
&lt;SPEAKER&gt;「ちょっと 難解ですじゃが
読めるようになると お父様は
おおよろこびですぞ!&lt;PAUSE_60&gt;&lt;PAUSE_60&gt;&lt;PAUSE_60&gt;&lt;PAUSE_60&gt;&lt;PAUSE_60&gt;</x:v>
      </x:c>
      <x:c r="E1197" s="19" t="str">
        <x:v>&lt;SPEAKER&gt;This one! Right here! The
Mysterious Legends of Deathland!
Perfect for you, my lady!&lt;PAUSE_60&gt;&lt;PAUSE_60&gt;&lt;PAUSE_60&gt;&lt;PAUSE_60&gt;&lt;PAUSE_60&gt;&lt;SPEAKER&gt;It is somewhat difficult,
but your father will be delighted
if you learn to read it!&lt;PAUSE_60&gt;&lt;PAUSE_60&gt;&lt;PAUSE_60&gt;&lt;PAUSE_60&gt;&lt;PAUSE_60&gt;</x:v>
      </x:c>
      <x:c r="F1197" s="20" t="str"/>
      <x:c r="G1197" s="20" t="str"/>
      <x:c r="H1197" s="23" t="str">
        <x:v>SPEAKER NEWLINE NEWLINE PAUSE_60 PAUSE_60 PAUSE_60 PAUSE_60 PAUSE_60 SPEAKER NEWLINE NEWLINE PAUSE_60 PAUSE_60 PAUSE_60 PAUSE_60 PAUSE_60 END</x:v>
      </x:c>
      <x:c r="I1197" s="23" t="str">
        <x:v>E9:B024</x:v>
      </x:c>
      <x:c r="J1197" s="23" t="str">
        <x:v>CC 54 68 69 73 01 6F 6E 65 21 01 52 69 67 68 74 01 68 65 72 65 21 01 54 68 65 C8 4D 79 73 74 65 72 69 6F 75 73 01 4C 65 67 65 6E 64 73 01 6F 66 01 44 65 61 74 68 6C 61 6E 64 21 C8 50 65 72 66 65 63 74 01 66 6F 72 01 79 6F 75 2C 01 6D 79 01 6C 61 64 79 21 CB CB CB CB CB CC 49 74 01 69 73 01 73 6F 6D 65 77 68 61 74 01 64 69 66 66 69 63 75 6C 74 2C C8 62 75 74 01 79 6F 75 72 01 66 61 74 68 65 72 01 77 69 6C 6C 01 62 65 01 64 65 6C 69 67 68 74 65 64 C8 69 66 01 79 6F 75 01 6C 65 61 72 6E 01 74 6F 01 72 65 61 64 01 69 74 21 CB CB CB CB CB C0</x:v>
      </x:c>
      <x:c r="K1197" s="23" t="str">
        <x:v>1CC 019 039 084 022 01C 084 01B 03F 035 07A 001 019 039 019 039 07A 1C8 0CF 028 084 054 04E 068 06F 084 055 08A 092 08F 07A 001 019 039 029 1C8 014 0D8 0D9 030 016 028 001 13A 084 022 01C 084 01E 07A 1CB 1CB 1CB 1CB 1CB 1C8 1CC 020 041 03E 023 001 17A 0FE 084 022 01C 084 01B 03F 084 015 1C8 118 031 038 035 012 025 024 038 023 001 014 148 0D9 029 1C8 014 014 035 03A 019 084 02A 084 022 01C 084 01E 07A 1CB 1CB 1CB 1CB 1CB 1C0</x:v>
      </x:c>
    </x:row>
    <x:row r="1198">
      <x:c r="A1198" s="22" t="str">
        <x:f>"04"</x:f>
        <x:v>04</x:v>
      </x:c>
      <x:c r="B1198" s="22" t="str">
        <x:f>"AC"</x:f>
        <x:v>AC</x:v>
      </x:c>
      <x:c r="C1198" s="22" t="str">
        <x:f>"0x04AC"</x:f>
        <x:v>0x04AC</x:v>
      </x:c>
      <x:c r="D1198" s="21" t="str">
        <x:v>&lt;SPEAKER&gt;「ふうん おもしろそうね
じゃあ 読むから しばらく
ひとりに してくれない?&lt;PAUSE_60&gt;&lt;PAUSE_60&gt;&lt;PAUSE_60&gt;&lt;PAUSE_60&gt;&lt;PAUSE_60&gt;</x:v>
      </x:c>
      <x:c r="E1198" s="19" t="str">
        <x:v>&lt;SPEAKER&gt;Hmm, this looks
interesting. I'm going to read,
so leave me alone for a while.&lt;PAUSE_60&gt;&lt;PAUSE_60&gt;&lt;PAUSE_60&gt;&lt;PAUSE_60&gt;&lt;PAUSE_60&gt;</x:v>
      </x:c>
      <x:c r="F1198" s="20" t="str"/>
      <x:c r="G1198" s="20" t="str"/>
      <x:c r="H1198" s="23" t="str">
        <x:v>SPEAKER NEWLINE NEWLINE PAUSE_60 PAUSE_60 PAUSE_60 PAUSE_60 PAUSE_60 END</x:v>
      </x:c>
      <x:c r="I1198" s="23" t="str">
        <x:v>E9:B0D9</x:v>
      </x:c>
      <x:c r="J1198" s="23" t="str">
        <x:v>CC 48 6D 6D 2C 01 74 68 69 73 01 6C 6F 6F 6B 73 C8 69 6E 74 65 72 65 73 74 69 6E 67 2E 01 49 27 6D 01 67 6F 69 6E 67 01 74 6F 01 72 65 61 64 2C C8 73 6F 01 6C 65 61 76 65 01 6D 65 01 61 6C 6F 6E 65 01 66 6F 72 01 61 01 77 68 69 6C 65 2E CB CB CB CB CB C0</x:v>
      </x:c>
      <x:c r="K1198" s="23" t="str">
        <x:v>1CC 02B 012 03D 001 014 032 01B 03A 01E 012 027 1C8 084 01B 03F 010 001 118 030 015 036 001 01B 084 029 036 017 1C8 02A 023 037 025 001 01B 022 017 039 024 011 079 1CB 1CB 1CB 1CB 1CB 1C0</x:v>
      </x:c>
    </x:row>
    <x:row r="1199">
      <x:c r="A1199" s="22" t="str">
        <x:f>"04"</x:f>
        <x:v>04</x:v>
      </x:c>
      <x:c r="B1199" s="22" t="str">
        <x:f>"AD"</x:f>
        <x:v>AD</x:v>
      </x:c>
      <x:c r="C1199" s="22" t="str">
        <x:f>"0x04AD"</x:f>
        <x:v>0x04AD</x:v>
      </x:c>
      <x:c r="D1199" s="21" t="str">
        <x:v>&lt;SPEAKER&gt;「おお! ワンダフルな!
お嬢様! ついに 知せいに
おめざめですな ひいひいひい&lt;PAUSE_60&gt;&lt;PAUSE_60&gt;&lt;PAUSE_60&gt;&lt;PAUSE_60&gt;&lt;PAUSE_60&gt;
&lt;SPEAKER&gt;「よろしいですとも!
何時間でも お読みくださいな
&lt;PAUSE_60&gt;&lt;PAUSE_60&gt;&lt;PAUSE_60&gt;&lt;PAUSE_60&gt;</x:v>
      </x:c>
      <x:c r="E1199" s="19" t="str">
        <x:v>&lt;SPEAKER&gt;Wonderful! My lady!
At last you have awakened to
the joys of learning! Hee hee!&lt;PAUSE_60&gt;&lt;PAUSE_60&gt;&lt;PAUSE_60&gt;&lt;PAUSE_60&gt;&lt;PAUSE_60&gt;&lt;SPEAKER&gt;Of course! Read
as long as you like!&lt;LINE&gt;&lt;PAUSE_60&gt;&lt;PAUSE_60&gt;&lt;PAUSE_60&gt;&lt;PAUSE_60&gt;</x:v>
      </x:c>
      <x:c r="F1199" s="20" t="str"/>
      <x:c r="G1199" s="20" t="str"/>
      <x:c r="H1199" s="23" t="str">
        <x:v>SPEAKER NEWLINE NEWLINE PAUSE_60 PAUSE_60 PAUSE_60 PAUSE_60 PAUSE_60 SPEAKER NEWLINE LINE PAUSE_60 PAUSE_60 PAUSE_60 PAUSE_60 END</x:v>
      </x:c>
      <x:c r="I1199" s="23" t="str">
        <x:v>E9:B12E</x:v>
      </x:c>
      <x:c r="J1199" s="23" t="str">
        <x:v>CC 57 6F 6E 64 65 72 66 75 6C 21 01 4D 79 01 6C 61 64 79 21 C8 41 74 01 6C 61 73 74 01 79 6F 75 01 68 61 76 65 01 61 77 61 6B 65 6E 65 64 01 74 6F C8 74 68 65 01 6A 6F 79 73 01 6F 66 01 6C 65 61 72 6E 69 6E 67 21 01 48 65 65 01 68 65 65 21 CB CB CB CB CB CC 4F 66 01 63 6F 75 72 73 65 21 01 52 65 61 64 C8 61 73 01 6C 6F 6E 67 01 61 73 01 79 6F 75 01 6C 69 6B 65 21 C3 CB CB CB CB C0</x:v>
      </x:c>
      <x:c r="K1199" s="23" t="str">
        <x:v>1CC 014 014 07A 001 06D 06F 084 051 05D 06A 024 07A 1C8 014 0D8 0D9 07A 001 021 011 025 001 15C 01D 011 025 1C8 014 031 084 01A 031 084 022 01C 024 001 02A 011 02A 011 02A 011 1CB 1CB 1CB 1CB 1CB 1C8 1CC 035 03A 01B 011 084 022 01C 023 032 07A 1C8 093 164 0E3 084 022 032 001 014 118 02F 017 084 01F 01A 011 024 1C3 1CB 1CB 1CB 1CB 1C0</x:v>
      </x:c>
    </x:row>
    <x:row r="1200">
      <x:c r="A1200" s="22" t="str">
        <x:f>"04"</x:f>
        <x:v>04</x:v>
      </x:c>
      <x:c r="B1200" s="22" t="str">
        <x:f>"AE"</x:f>
        <x:v>AE</x:v>
      </x:c>
      <x:c r="C1200" s="22" t="str">
        <x:f>"0x04AE"</x:f>
        <x:v>0x04AE</x:v>
      </x:c>
      <x:c r="D1200" s="21" t="str">
        <x:v>&lt;SPEAKER&gt;「へええ 魔物巨大化装置?
なんだか すごそうだわ&lt;PAUSE_60&gt;&lt;PAUSE_60&gt;&lt;PAUSE_60&gt;&lt;PAUSE_60&gt;&lt;PAUSE_60&gt;
&lt;SPEAKER&gt;「でも 古代文字ばっかりで
読めないわ! むかつくわ!
&lt;PAUSE_60&gt;&lt;PAUSE_60&gt;&lt;PAUSE_60&gt;&lt;PAUSE_60&gt;</x:v>
      </x:c>
      <x:c r="E1200" s="19" t="str">
        <x:v>&lt;SPEAKER&gt;Whoa... Monster Enlarging
Device? Sounds amazing.&lt;PAUSE_60&gt;&lt;PAUSE_60&gt;&lt;PAUSE_60&gt;&lt;PAUSE_60&gt;&lt;PAUSE_60&gt;&lt;SPEAKER&gt;But it's all ancient writing!
I can't read it! So annoying!&lt;LINE&gt;&lt;PAUSE_60&gt;&lt;PAUSE_60&gt;&lt;PAUSE_60&gt;&lt;PAUSE_60&gt;</x:v>
      </x:c>
      <x:c r="F1200" s="20" t="str"/>
      <x:c r="G1200" s="20" t="str"/>
      <x:c r="H1200" s="23" t="str">
        <x:v>SPEAKER NEWLINE PAUSE_60 PAUSE_60 PAUSE_60 PAUSE_60 PAUSE_60 SPEAKER NEWLINE LINE PAUSE_60 PAUSE_60 PAUSE_60 PAUSE_60 END</x:v>
      </x:c>
      <x:c r="I1200" s="23" t="str">
        <x:v>E9:B1AE</x:v>
      </x:c>
      <x:c r="J1200" s="23" t="str">
        <x:v>CC 57 68 6F 61 2E 2E 2E 01 4D 6F 6E 73 74 65 72 01 45 6E 6C 61 72 67 69 6E 67 C8 44 65 76 69 63 65 3F 01 53 6F 75 6E 64 73 01 61 6D 61 7A 69 6E 67 2E CB CB CB CB CB CC 42 75 74 01 69 74 27 73 01 61 6C 6C 01 61 6E 63 69 65 6E 74 01 77 72 69 74 69 6E 67 21 C8 49 01 63 61 6E 27 74 01 72 65 61 64 01 69 74 21 01 53 6F 01 61 6E 6E 6F 79 69 6E 67 21 C3 CB CB CB CB C0</x:v>
      </x:c>
      <x:c r="K1200" s="23" t="str">
        <x:v>1CC 02C 013 013 001 09A 08B 0CC 0AC 09E 0C2 19F 079 1C8 024 03D 084 01F 015 001 01C 084 019 01E 012 084 01F 03B 1CB 1CB 1CB 1CB 1CB 1C8 1CC 084 022 032 001 096 09F 152 153 084 029 03E 015 037 084 022 1C8 118 031 024 011 03B 07A 001 030 015 021 017 03B 07A 1C3 1CB 1CB 1CB 1CB 1C0</x:v>
      </x:c>
    </x:row>
    <x:row r="1201">
      <x:c r="A1201" s="22" t="str">
        <x:f>"04"</x:f>
        <x:v>04</x:v>
      </x:c>
      <x:c r="B1201" s="22" t="str">
        <x:f>"AF"</x:f>
        <x:v>AF</x:v>
      </x:c>
      <x:c r="C1201" s="22" t="str">
        <x:f>"0x04AF"</x:f>
        <x:v>0x04AF</x:v>
      </x:c>
      <x:c r="D1201" s="21" t="str">
        <x:v>&lt;SPEAKER&gt;「ヨシオさまは ほんとに
うたぐりぶかいですね だから
おくさん にげたんですよ&lt;PAUSE_60&gt;&lt;PAUSE_60&gt;&lt;PAUSE_60&gt;&lt;PAUSE_60&gt;&lt;PAUSE_60&gt;</x:v>
      </x:c>
      <x:c r="E1201" s="19" t="str">
        <x:v>&lt;SPEAKER&gt;Lord Yoshio really
is suspicious. No wonder
his wife ran away.&lt;PAUSE_60&gt;&lt;PAUSE_60&gt;&lt;PAUSE_60&gt;&lt;PAUSE_60&gt;&lt;PAUSE_60&gt;</x:v>
      </x:c>
      <x:c r="F1201" s="20" t="str"/>
      <x:c r="G1201" s="20" t="str"/>
      <x:c r="H1201" s="23" t="str">
        <x:v>SPEAKER NEWLINE NEWLINE PAUSE_60 PAUSE_60 PAUSE_60 PAUSE_60 PAUSE_60 END</x:v>
      </x:c>
      <x:c r="I1201" s="23" t="str">
        <x:v>E9:B227</x:v>
      </x:c>
      <x:c r="J1201" s="23" t="str">
        <x:v>CC 4C 6F 72 64 01 59 6F 73 68 69 6F 01 72 65 61 6C 6C 79 C8 69 73 01 73 75 73 70 69 63 69 6F 75 73 2E 01 4E 6F 01 77 6F 6E 64 65 72 C8 68 69 73 01 77 69 66 65 01 72 61 6E 01 61 77 61 79 2E CB CB CB CB CB C0</x:v>
      </x:c>
      <x:c r="K1201" s="23" t="str">
        <x:v>1CC 067 04D 046 01A 02E 029 001 02D 03D 023 025 1C8 012 01F 084 017 037 084 02B 015 011 084 022 01C 027 001 084 01F 015 036 1C8 014 017 01A 03D 001 025 084 018 01F 03D 084 022 01C 035 1CB 1CB 1CB 1CB 1CB 1C0</x:v>
      </x:c>
    </x:row>
    <x:row r="1202">
      <x:c r="A1202" s="22" t="str">
        <x:f>"04"</x:f>
        <x:v>04</x:v>
      </x:c>
      <x:c r="B1202" s="22" t="str">
        <x:f>"B0"</x:f>
        <x:v>B0</x:v>
      </x:c>
      <x:c r="C1202" s="22" t="str">
        <x:f>"0x04B0"</x:f>
        <x:v>0x04B0</x:v>
      </x:c>
      <x:c r="D1202" s="21" t="str">
        <x:v>&lt;SPEAKER&gt;「なんじゃと! いきなり
わけのわからんこと いうな!&lt;PAUSE_60&gt;&lt;PAUSE_60&gt;&lt;PAUSE_60&gt;&lt;PAUSE_60&gt;
&lt;SPEAKER&gt;「おまえこそ なんじゃ!
オカマじゃという うわさじゃぞ!
&lt;PAUSE_60&gt;&lt;PAUSE_60&gt;&lt;PAUSE_60&gt;&lt;PAUSE_60&gt;</x:v>
      </x:c>
      <x:c r="E1202" s="19" t="str">
        <x:v>&lt;SPEAKER&gt;What?! Do not
suddenly start talking nonsense!&lt;PAUSE_60&gt;&lt;PAUSE_60&gt;&lt;PAUSE_60&gt;&lt;PAUSE_60&gt;&lt;SPEAKER&gt;What about you?! I
hear you dress like a woman!&lt;LINE&gt;&lt;PAUSE_60&gt;&lt;PAUSE_60&gt;&lt;PAUSE_60&gt;&lt;PAUSE_60&gt;</x:v>
      </x:c>
      <x:c r="F1202" s="20" t="str"/>
      <x:c r="G1202" s="20" t="str"/>
      <x:c r="H1202" s="23" t="str">
        <x:v>SPEAKER NEWLINE PAUSE_60 PAUSE_60 PAUSE_60 PAUSE_60 SPEAKER NEWLINE LINE PAUSE_60 PAUSE_60 PAUSE_60 PAUSE_60 END</x:v>
      </x:c>
      <x:c r="I1202" s="23" t="str">
        <x:v>E9:B26C</x:v>
      </x:c>
      <x:c r="J1202" s="23" t="str">
        <x:v>CC 57 68 61 74 3F 21 01 44 6F 01 6E 6F 74 C8 73 75 64 64 65 6E 6C 79 01 73 74 61 72 74 01 74 61 6C 6B 69 6E 67 01 6E 6F 6E 73 65 6E 73 65 21 CB CB CB CB CC 57 68 61 74 01 61 62 6F 75 74 01 79 6F 75 3F 21 01 49 C8 68 65 61 72 01 79 6F 75 01 64 72 65 73 73 01 6C 69 6B 65 01 61 01 77 6F 6D 61 6E 21 C3 CB CB CB CB C0</x:v>
      </x:c>
      <x:c r="K1202" s="23" t="str">
        <x:v>1CC 024 03D 084 01B 03F 023 07A 001 011 016 024 037 1C8 03B 018 028 03B 015 036 03D 019 023 001 011 012 024 07A 1CB 1CB 1CB 1CB 1C8 1CC 014 02E 013 019 01E 001 024 03D 084 01B 03F 07A 1C8 046 047 060 084 01B 03F 023 011 012 001 012 03B 01A 084 01B 03F 084 01E 07A 1C3 1CB 1CB 1CB 1CB 1C0</x:v>
      </x:c>
    </x:row>
    <x:row r="1203">
      <x:c r="A1203" s="22" t="str">
        <x:f>"04"</x:f>
        <x:v>04</x:v>
      </x:c>
      <x:c r="B1203" s="22" t="str">
        <x:f>"B1"</x:f>
        <x:v>B1</x:v>
      </x:c>
      <x:c r="C1203" s="22" t="str">
        <x:f>"0x04B1"</x:f>
        <x:v>0x04B1</x:v>
      </x:c>
      <x:c r="D1203" s="21" t="str">
        <x:v>&lt;SPEAKER&gt;「うわあ そのとーりー!
チュー チュー チュー&lt;PAUSE_60&gt;&lt;PAUSE_60&gt;&lt;PAUSE_60&gt;&lt;PAUSE_60&gt;</x:v>
      </x:c>
      <x:c r="E1203" s="19" t="str">
        <x:v>&lt;SPEAKER&gt;Waaah! You got
me! Kiss, kiss, kiss!&lt;PAUSE_60&gt;&lt;PAUSE_60&gt;&lt;PAUSE_60&gt;&lt;PAUSE_60&gt;</x:v>
      </x:c>
      <x:c r="F1203" s="20" t="str"/>
      <x:c r="G1203" s="20" t="str"/>
      <x:c r="H1203" s="23" t="str">
        <x:v>SPEAKER NEWLINE PAUSE_60 PAUSE_60 PAUSE_60 PAUSE_60 END</x:v>
      </x:c>
      <x:c r="I1203" s="23" t="str">
        <x:v>E9:B2D5</x:v>
      </x:c>
      <x:c r="J1203" s="23" t="str">
        <x:v>CC 57 61 61 61 68 21 01 59 6F 75 01 67 6F 74 C8 6D 65 21 01 4B 69 73 73 2C 01 6B 69 73 73 2C 01 6B 69 73 73 21 CB CB CB CB C0</x:v>
      </x:c>
      <x:c r="K1203" s="23" t="str">
        <x:v>1CC 012 03B 010 001 01E 028 023 078 037 078 07A 1C8 052 072 078 001 052 072 078 001 052 072 078 1CB 1CB 1CB 1CB 1C0</x:v>
      </x:c>
    </x:row>
    <x:row r="1204">
      <x:c r="A1204" s="22" t="str">
        <x:f>"04"</x:f>
        <x:v>04</x:v>
      </x:c>
      <x:c r="B1204" s="22" t="str">
        <x:f>"B2"</x:f>
        <x:v>B2</x:v>
      </x:c>
      <x:c r="C1204" s="22" t="str">
        <x:f>"0x04B2"</x:f>
        <x:v>0x04B2</x:v>
      </x:c>
      <x:c r="D1204" s="21" t="str">
        <x:v>&lt;SPEAKER&gt;「うるさいわね! そとから
のぞいて ギャーギャー
わめいてんじゃないわよ!&lt;PAUSE_60&gt;&lt;PAUSE_60&gt;&lt;PAUSE_60&gt;&lt;PAUSE_60&gt;&lt;PAUSE_60&gt;
&lt;SPEAKER&gt;「あんたたち ほんとに
あたしに べんきょう
させる気があるの?&lt;PAUSE_60&gt;&lt;PAUSE_60&gt;&lt;PAUSE_60&gt;&lt;PAUSE_60&gt;&lt;PAUSE_60&gt;</x:v>
      </x:c>
      <x:c r="E1204" s="19" t="str">
        <x:v>&lt;SPEAKER&gt;Will you shut up?!
Stop peeking in from outside
and yelling your heads off!&lt;PAUSE_60&gt;&lt;PAUSE_60&gt;&lt;PAUSE_60&gt;&lt;PAUSE_60&gt;&lt;PAUSE_60&gt;&lt;SPEAKER&gt;Do you people actually
want me to study or not?&lt;PAUSE_60&gt;&lt;PAUSE_60&gt;&lt;PAUSE_60&gt;&lt;PAUSE_60&gt;&lt;PAUSE_60&gt;</x:v>
      </x:c>
      <x:c r="F1204" s="20" t="str"/>
      <x:c r="G1204" s="20" t="str"/>
      <x:c r="H1204" s="23" t="str">
        <x:v>SPEAKER NEWLINE NEWLINE PAUSE_60 PAUSE_60 PAUSE_60 PAUSE_60 PAUSE_60 SPEAKER NEWLINE PAUSE_60 PAUSE_60 PAUSE_60 PAUSE_60 PAUSE_60 END</x:v>
      </x:c>
      <x:c r="I1204" s="23" t="str">
        <x:v>E9:B2FF</x:v>
      </x:c>
      <x:c r="J1204" s="23" t="str">
        <x:v>CC 57 69 6C 6C 01 79 6F 75 01 73 68 75 74 01 75 70 3F 21 C8 53 74 6F 70 01 70 65 65 6B 69 6E 67 01 69 6E 01 66 72 6F 6D 01 6F 75 74 73 69 64 65 C8 61 6E 64 01 79 65 6C 6C 69 6E 67 01 79 6F 75 72 01 68 65 61 64 73 01 6F 66 66 21 CB CB CB CB CB CC 44 6F 01 79 6F 75 01 70 65 6F 70 6C 65 01 61 63 74 75 61 6C 6C 79 C8 77 61 6E 74 01 6D 65 01 74 6F 01 73 74 75 64 79 01 6F 72 01 6E 6F 74 3F CB CB CB CB CB C0</x:v>
      </x:c>
      <x:c r="K1204" s="23" t="str">
        <x:v>1CC 012 038 01A 011 03B 027 07A 001 01E 023 015 036 1C8 028 084 01E 011 022 001 084 048 071 078 084 048 071 078 1C8 03B 031 011 022 03D 084 01B 03F 024 011 03B 035 07A 1CB 1CB 1CB 1CB 1CB 1C8 1CC 010 03D 01F 01F 020 001 02D 03D 023 025 1C8 010 01F 01B 025 001 084 02C 03D 016 041 012 1C8 01A 01D 038 099 084 015 010 038 028 079 1CB 1CB 1CB 1CB 1CB 1C0</x:v>
      </x:c>
    </x:row>
    <x:row r="1205">
      <x:c r="A1205" s="22" t="str">
        <x:f>"04"</x:f>
        <x:v>04</x:v>
      </x:c>
      <x:c r="B1205" s="22" t="str">
        <x:f>"B3"</x:f>
        <x:v>B3</x:v>
      </x:c>
      <x:c r="C1205" s="22" t="str">
        <x:f>"0x04B3"</x:f>
        <x:v>0x04B3</x:v>
      </x:c>
      <x:c r="D1205" s="21" t="str">
        <x:v>&lt;SPEAKER&gt;「行くわよ デスランド島へ!
ああ 体がうずく! ああ
はやく あばれまわりたい!&lt;PAUSE_60&gt;&lt;PAUSE_60&gt;&lt;PAUSE_60&gt;&lt;PAUSE_60&gt;&lt;PAUSE_60&gt;</x:v>
      </x:c>
      <x:c r="E1205" s="19" t="str">
        <x:v>&lt;SPEAKER&gt;We're going to Deathland
Island! Ahh, I'm itching for
action! I can't wait to run wild!&lt;PAUSE_60&gt;&lt;PAUSE_60&gt;&lt;PAUSE_60&gt;&lt;PAUSE_60&gt;&lt;PAUSE_60&gt;</x:v>
      </x:c>
      <x:c r="F1205" s="20" t="str"/>
      <x:c r="G1205" s="20" t="str"/>
      <x:c r="H1205" s="23" t="str">
        <x:v>SPEAKER NEWLINE NEWLINE PAUSE_60 PAUSE_60 PAUSE_60 PAUSE_60 PAUSE_60 END</x:v>
      </x:c>
      <x:c r="I1205" s="23" t="str">
        <x:v>E9:B386</x:v>
      </x:c>
      <x:c r="J1205" s="23" t="str">
        <x:v>CC 57 65 27 72 65 01 67 6F 69 6E 67 01 74 6F 01 44 65 61 74 68 6C 61 6E 64 C8 49 73 6C 61 6E 64 21 01 41 68 68 2C 01 49 27 6D 01 69 74 63 68 69 6E 67 01 66 6F 72 C8 61 63 74 69 6F 6E 21 01 49 01 63 61 6E 27 74 01 77 61 69 74 01 74 6F 01 72 75 6E 01 77 69 6C 64 21 CB CB CB CB CB C0</x:v>
      </x:c>
      <x:c r="K1205" s="23" t="str">
        <x:v>1CC 08D 017 03B 035 001 084 054 04E 068 06F 084 055 08A 02C 07A 1C8 010 010 001 0F0 084 015 012 084 01C 017 07A 001 010 010 1C8 029 033 017 001 010 084 029 039 02E 03B 037 01F 011 07A 1CB 1CB 1CB 1CB 1CB 1C0</x:v>
      </x:c>
    </x:row>
    <x:row r="1206">
      <x:c r="A1206" s="22" t="str">
        <x:f>"04"</x:f>
        <x:v>04</x:v>
      </x:c>
      <x:c r="B1206" s="22" t="str">
        <x:f>"B4"</x:f>
        <x:v>B4</x:v>
      </x:c>
      <x:c r="C1206" s="22" t="str">
        <x:f>"0x04B4"</x:f>
        <x:v>0x04B4</x:v>
      </x:c>
      <x:c r="D1206" s="21" t="str">
        <x:v>&lt;SPEAKER&gt;「今日は しくじれないわ!
・・・・・・・・・よおし!&lt;PAUSE_60&gt;&lt;PAUSE_60&gt;&lt;PAUSE_60&gt;&lt;PAUSE_60&gt;&lt;PAUSE_60&gt;</x:v>
      </x:c>
      <x:c r="E1206" s="19" t="str">
        <x:v>&lt;SPEAKER&gt;I cannot mess
up today! ........ All right!&lt;PAUSE_60&gt;&lt;PAUSE_60&gt;&lt;PAUSE_60&gt;&lt;PAUSE_60&gt;&lt;PAUSE_60&gt;</x:v>
      </x:c>
      <x:c r="F1206" s="20" t="str"/>
      <x:c r="G1206" s="20" t="str"/>
      <x:c r="H1206" s="23" t="str">
        <x:v>SPEAKER NEWLINE PAUSE_60 PAUSE_60 PAUSE_60 PAUSE_60 PAUSE_60 END</x:v>
      </x:c>
      <x:c r="I1206" s="23" t="str">
        <x:v>E9:B3E4</x:v>
      </x:c>
      <x:c r="J1206" s="23" t="str">
        <x:v>CC 49 01 63 61 6E 6E 6F 74 01 6D 65 73 73 C8 75 70 01 74 6F 64 61 79 21 01 2E 2E 2E 2E 2E 2E 2E 2E 01 41 6C 6C 01 72 69 67 68 74 21 CB CB CB CB CB C0</x:v>
      </x:c>
      <x:c r="K1206" s="23" t="str">
        <x:v>1CC 150 120 029 001 01B 017 084 01B 039 024 011 03B 07A 1C8 081 081 081 081 081 081 081 081 081 035 014 01B 07A 1CB 1CB 1CB 1CB 1CB 1C0</x:v>
      </x:c>
    </x:row>
    <x:row r="1207">
      <x:c r="A1207" s="22" t="str">
        <x:f>"04"</x:f>
        <x:v>04</x:v>
      </x:c>
      <x:c r="B1207" s="22" t="str">
        <x:f>"B5"</x:f>
        <x:v>B5</x:v>
      </x:c>
      <x:c r="C1207" s="22" t="str">
        <x:f>"0x04B5"</x:f>
        <x:v>0x04B5</x:v>
      </x:c>
      <x:c r="D1207" s="21" t="str">
        <x:v>&lt;SPEAKER&gt;「げはっはっはっ あまいですな
このヨシオ お嬢様の お考えは
すべて お見通しですわい&lt;PAUSE_60&gt;&lt;PAUSE_60&gt;&lt;PAUSE_60&gt;&lt;PAUSE_60&gt;&lt;PAUSE_60&gt;</x:v>
      </x:c>
      <x:c r="E1207" s="19" t="str">
        <x:v>&lt;SPEAKER&gt;Gehahaha! Too easy,
my lady. This Yoshio sees right
through everything you're planning!&lt;PAUSE_60&gt;&lt;PAUSE_60&gt;&lt;PAUSE_60&gt;&lt;PAUSE_60&gt;&lt;PAUSE_60&gt;</x:v>
      </x:c>
      <x:c r="F1207" s="20" t="str"/>
      <x:c r="G1207" s="20" t="str"/>
      <x:c r="H1207" s="23" t="str">
        <x:v>SPEAKER NEWLINE NEWLINE PAUSE_60 PAUSE_60 PAUSE_60 PAUSE_60 PAUSE_60 END</x:v>
      </x:c>
      <x:c r="I1207" s="23" t="str">
        <x:v>E9:B416</x:v>
      </x:c>
      <x:c r="J1207" s="23" t="str">
        <x:v>CC 47 65 68 61 68 61 68 61 21 01 54 6F 6F 01 65 61 73 79 2C C8 6D 79 01 6C 61 64 79 2E 01 54 68 69 73 01 59 6F 73 68 69 6F 01 73 65 65 73 01 72 69 67 68 74 C8 74 68 72 6F 75 67 68 01 65 76 65 72 79 74 68 69 6E 67 01 79 6F 75 27 72 65 01 70 6C 61 6E 6E 69 6E 67 21 CB CB CB CB CB C0</x:v>
      </x:c>
      <x:c r="K1207" s="23" t="str">
        <x:v>1CC 084 018 029 03E 029 03E 029 03E 001 010 02E 011 084 022 01C 024 1C8 019 028 067 04D 046 001 014 0D8 0D9 028 001 014 0DB 013 029 1C8 01C 084 02C 022 001 014 090 12E 01B 084 022 01C 03B 011 1CB 1CB 1CB 1CB 1CB 1C0</x:v>
      </x:c>
    </x:row>
    <x:row r="1208">
      <x:c r="A1208" s="22" t="str">
        <x:f>"04"</x:f>
        <x:v>04</x:v>
      </x:c>
      <x:c r="B1208" s="22" t="str">
        <x:f>"B6"</x:f>
        <x:v>B6</x:v>
      </x:c>
      <x:c r="C1208" s="22" t="str">
        <x:f>"0x04B6"</x:f>
        <x:v>0x04B6</x:v>
      </x:c>
      <x:c r="D1208" s="21" t="str">
        <x:v>&lt;SPEAKER&gt;「くっ あたしのやることを
わかってて 待ちぶせするなんて
ほんとに いやなやつね&lt;PAUSE_60&gt;&lt;PAUSE_60&gt;&lt;PAUSE_60&gt;&lt;PAUSE_60&gt;&lt;PAUSE_60&gt;
&lt;SPEAKER&gt;「かならず にげてやるわ!
この ハゲじじい!
&lt;PAUSE_60&gt;&lt;PAUSE_60&gt;&lt;PAUSE_60&gt;&lt;PAUSE_60&gt;&lt;PAUSE_60&gt;</x:v>
      </x:c>
      <x:c r="E1208" s="19" t="str">
        <x:v>&lt;SPEAKER&gt;Grr! You knew what I
would do and waited here for
me? You really are the worst!&lt;PAUSE_60&gt;&lt;PAUSE_60&gt;&lt;PAUSE_60&gt;&lt;PAUSE_60&gt;&lt;PAUSE_60&gt;&lt;SPEAKER&gt;I am getting out of here
someday, you bald old geezer!&lt;LINE&gt;&lt;PAUSE_60&gt;&lt;PAUSE_60&gt;&lt;PAUSE_60&gt;&lt;PAUSE_60&gt;&lt;PAUSE_60&gt;</x:v>
      </x:c>
      <x:c r="F1208" s="20" t="str"/>
      <x:c r="G1208" s="20" t="str"/>
      <x:c r="H1208" s="23" t="str">
        <x:v>SPEAKER NEWLINE NEWLINE PAUSE_60 PAUSE_60 PAUSE_60 PAUSE_60 PAUSE_60 SPEAKER NEWLINE LINE PAUSE_60 PAUSE_60 PAUSE_60 PAUSE_60 PAUSE_60 END</x:v>
      </x:c>
      <x:c r="I1208" s="23" t="str">
        <x:v>E9:B474</x:v>
      </x:c>
      <x:c r="J1208" s="23" t="str">
        <x:v>CC 47 72 72 21 01 59 6F 75 01 6B 6E 65 77 01 77 68 61 74 01 49 C8 77 6F 75 6C 64 01 64 6F 01 61 6E 64 01 77 61 69 74 65 64 01 68 65 72 65 01 66 6F 72 C8 6D 65 3F 01 59 6F 75 01 72 65 61 6C 6C 79 01 61 72 65 01 74 68 65 01 77 6F 72 73 74 21 CB CB CB CB CB CC 49 01 61 6D 01 67 65 74 74 69 6E 67 01 6F 75 74 01 6F 66 01 68 65 72 65 C8 73 6F 6D 65 64 61 79 2C 01 79 6F 75 01 62 61 6C 64 01 6F 6C 64 01 67 65 65 7A 65 72 21 C3 CB CB CB CB CB C0</x:v>
      </x:c>
      <x:c r="K1208" s="23" t="str">
        <x:v>1CC 017 03E 001 010 01F 01B 028 033 038 019 023 03C 1C8 03B 015 03E 022 022 001 16B 020 084 02B 01D 01C 038 024 03D 022 1C8 02D 03D 023 025 001 011 033 024 033 021 027 1CB 1CB 1CB 1CB 1CB 1C8 1CC 015 024 036 084 01C 001 025 084 018 022 033 038 03B 07A 1C8 019 028 001 05B 084 04A 084 01B 084 01B 011 07A 1C3 1CB 1CB 1CB 1CB 1CB 1C0</x:v>
      </x:c>
    </x:row>
    <x:row r="1209">
      <x:c r="A1209" s="22" t="str">
        <x:f>"04"</x:f>
        <x:v>04</x:v>
      </x:c>
      <x:c r="B1209" s="22" t="str">
        <x:f>"B7"</x:f>
        <x:v>B7</x:v>
      </x:c>
      <x:c r="C1209" s="22" t="str">
        <x:f>"0x04B7"</x:f>
        <x:v>0x04B7</x:v>
      </x:c>
      <x:c r="D1209" s="21" t="str">
        <x:v>&lt;SPEAKER&gt;「お嬢様 おねがいですから
おとなしくしてくださいよお!&lt;PAUSE_60&gt;&lt;PAUSE_60&gt;&lt;PAUSE_60&gt;&lt;PAUSE_60&gt;&lt;PAUSE_60&gt;</x:v>
      </x:c>
      <x:c r="E1209" s="19" t="str">
        <x:v>&lt;SPEAKER&gt;My lady, please!
Just behave yourself!&lt;PAUSE_60&gt;&lt;PAUSE_60&gt;&lt;PAUSE_60&gt;&lt;PAUSE_60&gt;&lt;PAUSE_60&gt;</x:v>
      </x:c>
      <x:c r="F1209" s="20" t="str"/>
      <x:c r="G1209" s="20" t="str"/>
      <x:c r="H1209" s="23" t="str">
        <x:v>SPEAKER NEWLINE PAUSE_60 PAUSE_60 PAUSE_60 PAUSE_60 PAUSE_60 END</x:v>
      </x:c>
      <x:c r="I1209" s="23" t="str">
        <x:v>E9:B507</x:v>
      </x:c>
      <x:c r="J1209" s="23" t="str">
        <x:v>CC 4D 79 01 6C 61 64 79 2C 01 70 6C 65 61 73 65 21 C8 4A 75 73 74 01 62 65 68 61 76 65 01 79 6F 75 72 73 65 6C 66 21 CB CB CB CB CB C0</x:v>
      </x:c>
      <x:c r="K1209" s="23" t="str">
        <x:v>1CC 014 0D8 0D9 001 014 027 084 015 011 084 022 01C 015 036 1C8 014 023 024 01B 017 01B 022 017 084 01F 01A 011 035 014 07A 1CB 1CB 1CB 1CB 1CB 1C0</x:v>
      </x:c>
    </x:row>
    <x:row r="1210">
      <x:c r="A1210" s="22" t="str">
        <x:f>"04"</x:f>
        <x:v>04</x:v>
      </x:c>
      <x:c r="B1210" s="22" t="str">
        <x:f>"B8"</x:f>
        <x:v>B8</x:v>
      </x:c>
      <x:c r="C1210" s="22" t="str">
        <x:f>"0x04B8"</x:f>
        <x:v>0x04B8</x:v>
      </x:c>
      <x:c r="D1210" s="21" t="str">
        <x:v>&lt;SPEAKER&gt;「いたいわね!
あんたも グルね!&lt;PAUSE_60&gt;&lt;PAUSE_60&gt;&lt;PAUSE_60&gt;&lt;PAUSE_60&gt;&lt;PAUSE_60&gt;</x:v>
      </x:c>
      <x:c r="E1210" s="19" t="str">
        <x:v>&lt;SPEAKER&gt;Ow! You
are in on this too!&lt;PAUSE_60&gt;&lt;PAUSE_60&gt;&lt;PAUSE_60&gt;&lt;PAUSE_60&gt;&lt;PAUSE_60&gt;</x:v>
      </x:c>
      <x:c r="F1210" s="20" t="str"/>
      <x:c r="G1210" s="20" t="str"/>
      <x:c r="H1210" s="23" t="str">
        <x:v>SPEAKER NEWLINE PAUSE_60 PAUSE_60 PAUSE_60 PAUSE_60 PAUSE_60 END</x:v>
      </x:c>
      <x:c r="I1210" s="23" t="str">
        <x:v>E9:B534</x:v>
      </x:c>
      <x:c r="J1210" s="23" t="str">
        <x:v>CC 4F 77 21 01 59 6F 75 C8 61 72 65 01 69 6E 01 6F 6E 01 74 68 69 73 01 74 6F 6F 21 CB CB CB CB CB C0</x:v>
      </x:c>
      <x:c r="K1210" s="23" t="str">
        <x:v>1CC 011 01F 011 03B 027 07A 1C8 010 03D 01F 032 001 084 049 06A 027 07A 1CB 1CB 1CB 1CB 1CB 1C0</x:v>
      </x:c>
    </x:row>
    <x:row r="1211">
      <x:c r="A1211" s="22" t="str">
        <x:f>"04"</x:f>
        <x:v>04</x:v>
      </x:c>
      <x:c r="B1211" s="22" t="str">
        <x:f>"B9"</x:f>
        <x:v>B9</x:v>
      </x:c>
      <x:c r="C1211" s="22" t="str">
        <x:f>"0x04B9"</x:f>
        <x:v>0x04B9</x:v>
      </x:c>
      <x:c r="D1211" s="21" t="str">
        <x:v>&lt;SPEAKER&gt;「げふぉっふぉっふぉ
何をやっても われわれからは
にげられませんよ!&lt;PAUSE_60&gt;&lt;PAUSE_60&gt;&lt;PAUSE_60&gt;&lt;PAUSE_60&gt;&lt;PAUSE_60&gt;
&lt;SPEAKER&gt;「あきらめて くだされ
&lt;PAUSE_60&gt;&lt;PAUSE_60&gt;&lt;PAUSE_60&gt;</x:v>
      </x:c>
      <x:c r="E1211" s="19" t="str">
        <x:v>&lt;SPEAKER&gt;Geh-ho-ho-ho! No
matter what you try,
you cannot escape us!&lt;PAUSE_60&gt;&lt;PAUSE_60&gt;&lt;PAUSE_60&gt;&lt;PAUSE_60&gt;&lt;PAUSE_60&gt;&lt;SPEAKER&gt;Please give up, my lady.&lt;LINE&gt;&lt;LINE&gt;&lt;PAUSE_60&gt;&lt;PAUSE_60&gt;&lt;PAUSE_60&gt;</x:v>
      </x:c>
      <x:c r="F1211" s="20" t="str"/>
      <x:c r="G1211" s="20" t="str"/>
      <x:c r="H1211" s="23" t="str">
        <x:v>SPEAKER NEWLINE NEWLINE PAUSE_60 PAUSE_60 PAUSE_60 PAUSE_60 PAUSE_60 SPEAKER LINE LINE PAUSE_60 PAUSE_60 PAUSE_60 END</x:v>
      </x:c>
      <x:c r="I1211" s="23" t="str">
        <x:v>E9:B556</x:v>
      </x:c>
      <x:c r="J1211" s="23" t="str">
        <x:v>CC 47 65 68 2D 68 6F 2D 68 6F 2D 68 6F 21 01 4E 6F C8 6D 61 74 74 65 72 01 77 68 61 74 01 79 6F 75 01 74 72 79 2C C8 79 6F 75 01 63 61 6E 6E 6F 74 01 65 73 63 61 70 65 01 75 73 21 CB CB CB CB CB CC 50 6C 65 61 73 65 01 67 69 76 65 01 75 70 2C 01 6D 79 01 6C 61 64 79 2E C3 C3 CB CB CB C0</x:v>
      </x:c>
      <x:c r="K1211" s="23" t="str">
        <x:v>1CC 084 018 02B 082 03E 02B 082 03E 02B 082 1C8 093 03C 033 03E 022 032 001 03B 039 03B 039 015 036 029 1C8 025 084 018 036 039 02E 01D 03D 035 07A 1CB 1CB 1CB 1CB 1CB 1C8 1CC 010 016 036 031 022 001 017 084 01F 01A 039 1C3 1C3 1CB 1CB 1CB 1C0</x:v>
      </x:c>
    </x:row>
    <x:row r="1212">
      <x:c r="A1212" s="22" t="str">
        <x:f>"04"</x:f>
        <x:v>04</x:v>
      </x:c>
      <x:c r="B1212" s="22" t="str">
        <x:f>"BA"</x:f>
        <x:v>BA</x:v>
      </x:c>
      <x:c r="C1212" s="22" t="str">
        <x:f>"0x04BA"</x:f>
        <x:v>0x04BA</x:v>
      </x:c>
      <x:c r="D1212" s="21" t="str">
        <x:v>&lt;SPEAKER&gt;「ヨシオぬかったわね
向こうのドアが あいてるわよ!&lt;PAUSE_60&gt;&lt;PAUSE_60&gt;&lt;PAUSE_60&gt;&lt;PAUSE_60&gt;</x:v>
      </x:c>
      <x:c r="E1212" s="19" t="str">
        <x:v>&lt;SPEAKER&gt;Yoshio, you slipped up!
That door over there is open!&lt;PAUSE_60&gt;&lt;PAUSE_60&gt;&lt;PAUSE_60&gt;&lt;PAUSE_60&gt;</x:v>
      </x:c>
      <x:c r="F1212" s="20" t="str"/>
      <x:c r="G1212" s="20" t="str"/>
      <x:c r="H1212" s="23" t="str">
        <x:v>SPEAKER NEWLINE PAUSE_60 PAUSE_60 PAUSE_60 PAUSE_60 END</x:v>
      </x:c>
      <x:c r="I1212" s="23" t="str">
        <x:v>E9:B5B6</x:v>
      </x:c>
      <x:c r="J1212" s="23" t="str">
        <x:v>CC 59 6F 73 68 69 6F 2C 01 79 6F 75 01 73 6C 69 70 70 65 64 01 75 70 21 C8 54 68 61 74 01 64 6F 6F 72 01 6F 76 65 72 01 74 68 65 72 65 01 69 73 01 6F 70 65 6E 21 CB CB CB CB C0</x:v>
      </x:c>
      <x:c r="K1212" s="23" t="str">
        <x:v>1CC 067 04D 046 026 015 03E 01F 03B 027 1C8 1AB 019 012 028 084 055 042 084 015 001 010 011 022 038 03B 035 07A 1CB 1CB 1CB 1CB 1C0</x:v>
      </x:c>
    </x:row>
    <x:row r="1213">
      <x:c r="A1213" s="22" t="str">
        <x:f>"04"</x:f>
        <x:v>04</x:v>
      </x:c>
      <x:c r="B1213" s="22" t="str">
        <x:f>"BB"</x:f>
        <x:v>BB</x:v>
      </x:c>
      <x:c r="C1213" s="22" t="str">
        <x:f>"0x04BB"</x:f>
        <x:v>0x04BB</x:v>
      </x:c>
      <x:c r="D1213" s="21" t="str">
        <x:v>&lt;SPEAKER&gt;「しかたがありませんな&lt;PAUSE_60&gt;&lt;PAUSE_60&gt;&lt;PAUSE_60&gt;&lt;PAUSE_60&gt;</x:v>
      </x:c>
      <x:c r="E1213" s="19" t="str">
        <x:v>&lt;SPEAKER&gt;It cannot be helped.&lt;PAUSE_60&gt;&lt;PAUSE_60&gt;&lt;PAUSE_60&gt;&lt;PAUSE_60&gt;</x:v>
      </x:c>
      <x:c r="F1213" s="20" t="str"/>
      <x:c r="G1213" s="20" t="str"/>
      <x:c r="H1213" s="23" t="str">
        <x:v>SPEAKER PAUSE_60 PAUSE_60 PAUSE_60 PAUSE_60 END</x:v>
      </x:c>
      <x:c r="I1213" s="23" t="str">
        <x:v>E9:B5F1</x:v>
      </x:c>
      <x:c r="J1213" s="23" t="str">
        <x:v>CC 49 74 01 63 61 6E 6E 6F 74 01 62 65 01 68 65 6C 70 65 64 2E CB CB CB CB C0</x:v>
      </x:c>
      <x:c r="K1213" s="23" t="str">
        <x:v>1CC 01B 015 01F 084 015 010 037 02E 01D 03D 024 1CB 1CB 1CB 1CB 1C0</x:v>
      </x:c>
    </x:row>
    <x:row r="1214">
      <x:c r="A1214" s="22" t="str">
        <x:f>"04"</x:f>
        <x:v>04</x:v>
      </x:c>
      <x:c r="B1214" s="22" t="str">
        <x:f>"BC"</x:f>
        <x:v>BC</x:v>
      </x:c>
      <x:c r="C1214" s="22" t="str">
        <x:f>"0x04BC"</x:f>
        <x:v>0x04BC</x:v>
      </x:c>
      <x:c r="D1214" s="21" t="str">
        <x:v>&lt;SPEAKER&gt;「そんなものには
あたらないよーだっ!&lt;PAUSE_60&gt;&lt;PAUSE_60&gt;&lt;PAUSE_60&gt;&lt;PAUSE_60&gt;</x:v>
      </x:c>
      <x:c r="E1214" s="19" t="str">
        <x:v>&lt;SPEAKER&gt;Like that
could ever hit me!&lt;PAUSE_60&gt;&lt;PAUSE_60&gt;&lt;PAUSE_60&gt;&lt;PAUSE_60&gt;</x:v>
      </x:c>
      <x:c r="F1214" s="20" t="str"/>
      <x:c r="G1214" s="20" t="str"/>
      <x:c r="H1214" s="23" t="str">
        <x:v>SPEAKER NEWLINE PAUSE_60 PAUSE_60 PAUSE_60 PAUSE_60 END</x:v>
      </x:c>
      <x:c r="I1214" s="23" t="str">
        <x:v>E9:B60B</x:v>
      </x:c>
      <x:c r="J1214" s="23" t="str">
        <x:v>CC 4C 69 6B 65 01 74 68 61 74 C8 63 6F 75 6C 64 01 65 76 65 72 01 68 69 74 01 6D 65 21 CB CB CB CB C0</x:v>
      </x:c>
      <x:c r="K1214" s="23" t="str">
        <x:v>1CC 01E 03D 024 032 028 025 029 1C8 010 01F 036 024 011 035 078 084 01F 03E 07A 1CB 1CB 1CB 1CB 1C0</x:v>
      </x:c>
    </x:row>
    <x:row r="1215">
      <x:c r="A1215" s="22" t="str">
        <x:f>"04"</x:f>
        <x:v>04</x:v>
      </x:c>
      <x:c r="B1215" s="22" t="str">
        <x:f>"BD"</x:f>
        <x:v>BD</x:v>
      </x:c>
      <x:c r="C1215" s="22" t="str">
        <x:f>"0x04BD"</x:f>
        <x:v>0x04BD</x:v>
      </x:c>
      <x:c r="D1215" s="21" t="str">
        <x:v>&lt;SPEAKER&gt;「な なんですと
と とりゃー&lt;PAUSE_60&gt;&lt;PAUSE_60&gt;&lt;PAUSE_60&gt;&lt;PAUSE_60&gt;</x:v>
      </x:c>
      <x:c r="E1215" s="19" t="str">
        <x:v>&lt;SPEAKER&gt;W-what?! T-take this!&lt;PAUSE_60&gt;&lt;PAUSE_60&gt;&lt;PAUSE_60&gt;&lt;PAUSE_60&gt;</x:v>
      </x:c>
      <x:c r="F1215" s="20" t="str"/>
      <x:c r="G1215" s="20" t="str"/>
      <x:c r="H1215" s="23" t="str">
        <x:v>SPEAKER PAUSE_60 PAUSE_60 PAUSE_60 PAUSE_60 END</x:v>
      </x:c>
      <x:c r="I1215" s="23" t="str">
        <x:v>E9:B62D</x:v>
      </x:c>
      <x:c r="J1215" s="23" t="str">
        <x:v>CC 57 2D 77 68 61 74 3F 21 01 54 2D 74 61 6B 65 01 74 68 69 73 21 CB CB CB CB C0</x:v>
      </x:c>
      <x:c r="K1215" s="23" t="str">
        <x:v>1CC 024 001 024 03D 084 022 01C 023 1C8 023 001 023 037 03F 078 1CB 1CB 1CB 1CB 1C0</x:v>
      </x:c>
    </x:row>
    <x:row r="1216">
      <x:c r="A1216" s="22" t="str">
        <x:f>"04"</x:f>
        <x:v>04</x:v>
      </x:c>
      <x:c r="B1216" s="22" t="str">
        <x:f>"BE"</x:f>
        <x:v>BE</x:v>
      </x:c>
      <x:c r="C1216" s="22" t="str">
        <x:f>"0x04BE"</x:f>
        <x:v>0x04BE</x:v>
      </x:c>
      <x:c r="D1216" s="21" t="str">
        <x:v>&lt;SPEAKER&gt;「ヨ ヨシオさまー
やめてくだされー 火じだー&lt;PAUSE_60&gt;&lt;PAUSE_60&gt;&lt;PAUSE_60&gt;&lt;PAUSE_60&gt;</x:v>
      </x:c>
      <x:c r="E1216" s="19" t="str">
        <x:v>&lt;SPEAKER&gt;L-Lord Yoshio!
Stop! There is a fire!&lt;PAUSE_60&gt;&lt;PAUSE_60&gt;&lt;PAUSE_60&gt;&lt;PAUSE_60&gt;</x:v>
      </x:c>
      <x:c r="F1216" s="20" t="str"/>
      <x:c r="G1216" s="20" t="str"/>
      <x:c r="H1216" s="23" t="str">
        <x:v>SPEAKER NEWLINE PAUSE_60 PAUSE_60 PAUSE_60 PAUSE_60 END</x:v>
      </x:c>
      <x:c r="I1216" s="23" t="str">
        <x:v>E9:B648</x:v>
      </x:c>
      <x:c r="J1216" s="23" t="str">
        <x:v>CC 4C 2D 4C 6F 72 64 01 59 6F 73 68 69 6F 21 C8 53 74 6F 70 21 01 54 68 65 72 65 01 69 73 01 61 01 66 69 72 65 21 CB CB CB CB C0</x:v>
      </x:c>
      <x:c r="K1216" s="23" t="str">
        <x:v>1CC 067 001 067 04D 046 01A 02E 078 1C8 033 031 022 017 084 01F 01A 039 078 001 110 084 01B 084 01F 078 1CB 1CB 1CB 1CB 1C0</x:v>
      </x:c>
    </x:row>
    <x:row r="1217">
      <x:c r="A1217" s="22" t="str">
        <x:f>"04"</x:f>
        <x:v>04</x:v>
      </x:c>
      <x:c r="B1217" s="22" t="str">
        <x:f>"BF"</x:f>
        <x:v>BF</x:v>
      </x:c>
      <x:c r="C1217" s="22" t="str">
        <x:f>"0x04BF"</x:f>
        <x:v>0x04BF</x:v>
      </x:c>
      <x:c r="D1217" s="21" t="str">
        <x:v>&lt;SPEAKER&gt;「お お嬢様ー&lt;PAUSE_60&gt;&lt;PAUSE_60&gt;&lt;PAUSE_60&gt;&lt;PAUSE_60&gt;</x:v>
      </x:c>
      <x:c r="E1217" s="19" t="str">
        <x:v>&lt;SPEAKER&gt;M-my lady!&lt;PAUSE_60&gt;&lt;PAUSE_60&gt;&lt;PAUSE_60&gt;&lt;PAUSE_60&gt;</x:v>
      </x:c>
      <x:c r="F1217" s="20" t="str"/>
      <x:c r="G1217" s="20" t="str"/>
      <x:c r="H1217" s="23" t="str">
        <x:v>SPEAKER PAUSE_60 PAUSE_60 PAUSE_60 PAUSE_60 END</x:v>
      </x:c>
      <x:c r="I1217" s="23" t="str">
        <x:v>E9:B673</x:v>
      </x:c>
      <x:c r="J1217" s="23" t="str">
        <x:v>CC 4D 2D 6D 79 01 6C 61 64 79 21 CB CB CB CB C0</x:v>
      </x:c>
      <x:c r="K1217" s="23" t="str">
        <x:v>1CC 014 001 014 0D8 0D9 078 1CB 1CB 1CB 1CB 1C0</x:v>
      </x:c>
    </x:row>
    <x:row r="1218">
      <x:c r="A1218" s="22" t="str">
        <x:f>"04"</x:f>
        <x:v>04</x:v>
      </x:c>
      <x:c r="B1218" s="22" t="str">
        <x:f>"C0"</x:f>
        <x:v>C0</x:v>
      </x:c>
      <x:c r="C1218" s="22" t="str">
        <x:f>"0x04C0"</x:f>
        <x:v>0x04C0</x:v>
      </x:c>
      <x:c r="D1218" s="21" t="str">
        <x:v>&lt;SPEAKER&gt;「帰るまでには
家を なおしておいてね&lt;PAUSE_60&gt;&lt;PAUSE_60&gt;&lt;PAUSE_60&gt;&lt;PAUSE_60&gt;&lt;PAUSE_60&gt;</x:v>
      </x:c>
      <x:c r="E1218" s="19" t="str">
        <x:v>&lt;SPEAKER&gt;Fix the house
before I get back, okay?&lt;PAUSE_60&gt;&lt;PAUSE_60&gt;&lt;PAUSE_60&gt;&lt;PAUSE_60&gt;&lt;PAUSE_60&gt;</x:v>
      </x:c>
      <x:c r="F1218" s="20" t="str"/>
      <x:c r="G1218" s="20" t="str"/>
      <x:c r="H1218" s="23" t="str">
        <x:v>SPEAKER NEWLINE PAUSE_60 PAUSE_60 PAUSE_60 PAUSE_60 PAUSE_60 END</x:v>
      </x:c>
      <x:c r="I1218" s="23" t="str">
        <x:v>E9:B683</x:v>
      </x:c>
      <x:c r="J1218" s="23" t="str">
        <x:v>CC 46 69 78 01 74 68 65 01 68 6F 75 73 65 C8 62 65 66 6F 72 65 01 49 01 67 65 74 01 62 61 63 6B 2C 01 6F 6B 61 79 3F CB CB CB CB CB C0</x:v>
      </x:c>
      <x:c r="K1218" s="23" t="str">
        <x:v>1CC 13D 038 02E 084 022 025 029 1C8 161 03C 001 024 014 01B 022 014 011 022 027 1CB 1CB 1CB 1CB 1CB 1C0</x:v>
      </x:c>
    </x:row>
    <x:row r="1219">
      <x:c r="A1219" s="22" t="str">
        <x:f>"04"</x:f>
        <x:v>04</x:v>
      </x:c>
      <x:c r="B1219" s="22" t="str">
        <x:f>"C1"</x:f>
        <x:v>C1</x:v>
      </x:c>
      <x:c r="C1219" s="22" t="str">
        <x:f>"0x04C1"</x:f>
        <x:v>0x04C1</x:v>
      </x:c>
      <x:c r="D1219" s="21" t="str">
        <x:v>&lt;CLEAR&gt;
ビーカーの中に
まものエキスを みつけた</x:v>
      </x:c>
      <x:c r="E1219" s="19" t="str">
        <x:v>&lt;CLEAR&gt;Lady found Monster
Extract inside the beaker.</x:v>
      </x:c>
      <x:c r="F1219" s="20" t="str"/>
      <x:c r="G1219" s="20" t="str"/>
      <x:c r="H1219" s="23" t="str">
        <x:v>CLEAR NEWLINE END</x:v>
      </x:c>
      <x:c r="I1219" s="23" t="str">
        <x:v>E9:B6B0</x:v>
      </x:c>
      <x:c r="J1219" s="23" t="str">
        <x:v>D0 4C 61 64 79 01 66 6F 75 6E 64 01 4D 6F 6E 73 74 65 72 C8 45 78 74 72 61 63 74 01 69 6E 73 69 64 65 01 74 68 65 01 62 65 61 6B 65 72 2E C0</x:v>
      </x:c>
      <x:c r="K1219" s="23" t="str">
        <x:v>1D0 084 05C 078 047 078 028 0A1 025 1C8 02E 032 028 045 048 04E 03C 001 02F 021 018 01F 1C0</x:v>
      </x:c>
    </x:row>
    <x:row r="1220">
      <x:c r="A1220" s="22" t="str">
        <x:f>"04"</x:f>
        <x:v>04</x:v>
      </x:c>
      <x:c r="B1220" s="22" t="str">
        <x:f>"C2"</x:f>
        <x:v>C2</x:v>
      </x:c>
      <x:c r="C1220" s="22" t="str">
        <x:f>"0x04C2"</x:f>
        <x:v>0x04C2</x:v>
      </x:c>
      <x:c r="D1220" s="21" t="str">
        <x:v>&lt;CLEAR&gt;
ビーカーの中に
まものエキスが 入っている
持っていきますか?</x:v>
      </x:c>
      <x:c r="E1220" s="19" t="str">
        <x:v>&lt;CLEAR&gt;There is Monster Extract
inside the beaker. Take it?</x:v>
      </x:c>
      <x:c r="F1220" s="20" t="str"/>
      <x:c r="G1220" s="20" t="str"/>
      <x:c r="H1220" s="23" t="str">
        <x:v>CLEAR NEWLINE END</x:v>
      </x:c>
      <x:c r="I1220" s="23" t="str">
        <x:v>E9:B6DF</x:v>
      </x:c>
      <x:c r="J1220" s="23" t="str">
        <x:v>D0 54 68 65 72 65 01 69 73 01 4D 6F 6E 73 74 65 72 01 45 78 74 72 61 63 74 C8 69 6E 73 69 64 65 01 74 68 65 01 62 65 61 6B 65 72 2E 01 54 61 6B 65 01 69 74 3F C0</x:v>
      </x:c>
      <x:c r="K1220" s="23" t="str">
        <x:v>1D0 084 05C 078 047 078 028 0A1 025 1C8 02E 032 028 045 048 04E 084 015 001 08E 03E 022 011 038 1C8 0D3 03E 022 011 016 02E 01C 015 079 1C0</x:v>
      </x:c>
    </x:row>
    <x:row r="1221">
      <x:c r="A1221" s="22" t="str">
        <x:f>"04"</x:f>
        <x:v>04</x:v>
      </x:c>
      <x:c r="B1221" s="22" t="str">
        <x:f>"C3"</x:f>
        <x:v>C3</x:v>
      </x:c>
      <x:c r="C1221" s="22" t="str">
        <x:f>"0x04C3"</x:f>
        <x:v>0x04C3</x:v>
      </x:c>
      <x:c r="D1221" s="21" t="str">
        <x:v>&lt;SPEAKER&gt;「もしもし! こちらデスランド
テレショッピングサーヴィスだ!
まいど ありがとうよ!&lt;WAIT&gt;&lt;SPEAKER&gt;「どこでも 一発道具を
おとどけするぜ!</x:v>
      </x:c>
      <x:c r="E1221" s="19" t="str">
        <x:v>&lt;SPEAKER&gt;Hello! Deathland
Teleshopping Service here!
Thanks for your business!&lt;WAIT&gt;&lt;SPEAKER&gt;We deliver useful
items anywhere, instantly!</x:v>
      </x:c>
      <x:c r="F1221" s="20" t="str"/>
      <x:c r="G1221" s="20" t="str"/>
      <x:c r="H1221" s="23" t="str">
        <x:v>SPEAKER NEWLINE NEWLINE WAIT SPEAKER NEWLINE END</x:v>
      </x:c>
      <x:c r="I1221" s="23" t="str">
        <x:v>E9:B715</x:v>
      </x:c>
      <x:c r="J1221" s="23" t="str">
        <x:v>CC 48 65 6C 6C 6F 21 01 44 65 61 74 68 6C 61 6E 64 C8 54 65 6C 65 73 68 6F 70 70 69 6E 67 01 53 65 72 76 69 63 65 01 68 65 72 65 21 C8 54 68 61 6E 6B 73 01 66 6F 72 01 79 6F 75 72 01 62 75 73 69 6E 65 73 73 21 C5 CC 57 65 01 64 65 6C 69 76 65 72 01 75 73 65 66 75 6C C8 69 74 65 6D 73 01 61 6E 79 77 68 65 72 65 2C 01 69 6E 73 74 61 6E 74 6C 79 21 C0</x:v>
      </x:c>
      <x:c r="K1221" s="23" t="str">
        <x:v>1CC 032 01B 032 01B 07A 001 019 020 036 084 054 04E 068 06F 084 055 1C8 054 06B 04D 073 070 083 05C 06F 084 049 04C 078 084 044 075 04E 084 01F 07A 1C8 02E 011 084 023 001 010 037 084 015 023 012 035 07A 1C5 1CC 084 023 019 084 022 032 001 0AF 0C8 0C7 124 03C 1C8 014 023 084 023 018 01C 038 084 01D 07A 1C0</x:v>
      </x:c>
    </x:row>
  </x:sheetData>
  <x:pageMargins left="0.7" right="0.7" top="0.75" bottom="0.75" header="0.3" footer="0.3"/>
</x:worksheet>
</file>

<file path=xl/worksheets/sheet2.xml><?xml version="1.0" encoding="utf-8"?>
<x:worksheet xmlns:x="http://schemas.openxmlformats.org/spreadsheetml/2006/main">
  <x:sheetViews>
    <x:sheetView showGridLines="1" workbookViewId="0"/>
  </x:sheetViews>
  <x:sheetFormatPr defaultRowHeight="15"/>
  <x:cols>
    <x:col min="1" max="1" width="10" hidden="0" customWidth="1"/>
    <x:col min="2" max="2" width="8.75" hidden="0" customWidth="1"/>
    <x:col min="3" max="3" width="16.25" hidden="0" customWidth="1"/>
    <x:col min="4" max="4" width="32.5" hidden="0" customWidth="1"/>
    <x:col min="5" max="5" width="37.5" hidden="0" customWidth="1"/>
    <x:col min="6" max="6" width="37.5" hidden="0" customWidth="1"/>
    <x:col min="7" max="7" width="32.5" hidden="0" customWidth="1"/>
    <x:col min="8" max="8" width="32.5" hidden="0" customWidth="1"/>
  </x:cols>
  <x:sheetData>
    <x:row r="1" ht="25.5" customHeight="1">
      <x:c r="A1" s="15" t="str">
        <x:v>table</x:v>
      </x:c>
      <x:c r="B1" s="16" t="str">
        <x:v>index</x:v>
      </x:c>
      <x:c r="C1" s="16" t="str">
        <x:v>category</x:v>
      </x:c>
      <x:c r="D1" s="16" t="str">
        <x:v>japanese</x:v>
      </x:c>
      <x:c r="E1" s="16" t="str">
        <x:v>machine_english_reference</x:v>
      </x:c>
      <x:c r="F1" s="16" t="str">
        <x:v>professional_translation</x:v>
      </x:c>
      <x:c r="G1" s="16" t="str">
        <x:v>translator_notes</x:v>
      </x:c>
      <x:c r="H1" s="17" t="str">
        <x:v>english_raw_codes</x:v>
      </x:c>
    </x:row>
    <x:row r="2" ht="40.5" customHeight="1">
      <x:c r="A2" s="22" t="str">
        <x:v>byte</x:v>
      </x:c>
      <x:c r="B2" s="22" t="str">
        <x:v>0</x:v>
      </x:c>
      <x:c r="C2" s="22" t="str">
        <x:v>entity/name</x:v>
      </x:c>
      <x:c r="D2" s="21" t="str">
        <x:v>レディ</x:v>
      </x:c>
      <x:c r="E2" s="19" t="str">
        <x:v>Lady</x:v>
      </x:c>
      <x:c r="F2" s="20" t="str"/>
      <x:c r="G2" s="20" t="str"/>
      <x:c r="H2" s="23" t="str">
        <x:v>0C 42 45 5A</x:v>
      </x:c>
    </x:row>
    <x:row r="3" ht="40.5" customHeight="1">
      <x:c r="A3" s="22" t="str">
        <x:v>byte</x:v>
      </x:c>
      <x:c r="B3" s="22" t="str">
        <x:v>1</x:v>
      </x:c>
      <x:c r="C3" s="22" t="str">
        <x:v>entity/name</x:v>
      </x:c>
      <x:c r="D3" s="21" t="str">
        <x:v>コックス</x:v>
      </x:c>
      <x:c r="E3" s="19" t="str">
        <x:v>Cox</x:v>
      </x:c>
      <x:c r="F3" s="20" t="str"/>
      <x:c r="G3" s="20" t="str"/>
      <x:c r="H3" s="23" t="str">
        <x:v>28 50 59</x:v>
      </x:c>
    </x:row>
    <x:row r="4" ht="40.5" customHeight="1">
      <x:c r="A4" s="22" t="str">
        <x:v>byte</x:v>
      </x:c>
      <x:c r="B4" s="22" t="str">
        <x:v>2</x:v>
      </x:c>
      <x:c r="C4" s="22" t="str">
        <x:v>entity/name</x:v>
      </x:c>
      <x:c r="D4" s="21" t="str">
        <x:v>ヨシオ</x:v>
      </x:c>
      <x:c r="E4" s="19" t="str">
        <x:v>Yoshio</x:v>
      </x:c>
      <x:c r="F4" s="20" t="str"/>
      <x:c r="G4" s="20" t="str"/>
      <x:c r="H4" s="23" t="str">
        <x:v>0F 50 54 49 4A 50</x:v>
      </x:c>
    </x:row>
    <x:row r="5" ht="40.5" customHeight="1">
      <x:c r="A5" s="22" t="str">
        <x:v>byte</x:v>
      </x:c>
      <x:c r="B5" s="22" t="str">
        <x:v>3</x:v>
      </x:c>
      <x:c r="C5" s="22" t="str">
        <x:v>entity/name</x:v>
      </x:c>
      <x:c r="D5" s="21" t="str">
        <x:v>モグきち</x:v>
      </x:c>
      <x:c r="E5" s="19" t="str">
        <x:v>Mogukichi</x:v>
      </x:c>
      <x:c r="F5" s="20" t="str"/>
      <x:c r="G5" s="20" t="str"/>
      <x:c r="H5" s="23" t="str">
        <x:v>31 50 48 56 4C 4A 44 49 4A</x:v>
      </x:c>
    </x:row>
    <x:row r="6" ht="40.5" customHeight="1">
      <x:c r="A6" s="22" t="str">
        <x:v>byte</x:v>
      </x:c>
      <x:c r="B6" s="22" t="str">
        <x:v>4</x:v>
      </x:c>
      <x:c r="C6" s="22" t="str">
        <x:v>entity/name</x:v>
      </x:c>
      <x:c r="D6" s="21" t="str">
        <x:v>バーボ</x:v>
      </x:c>
      <x:c r="E6" s="19" t="str">
        <x:v>Barbo</x:v>
      </x:c>
      <x:c r="F6" s="20" t="str"/>
      <x:c r="G6" s="20" t="str"/>
      <x:c r="H6" s="23" t="str">
        <x:v>27 42 53 43 50</x:v>
      </x:c>
    </x:row>
    <x:row r="7" ht="40.5" customHeight="1">
      <x:c r="A7" s="22" t="str">
        <x:v>byte</x:v>
      </x:c>
      <x:c r="B7" s="22" t="str">
        <x:v>5</x:v>
      </x:c>
      <x:c r="C7" s="22" t="str">
        <x:v>entity/name</x:v>
      </x:c>
      <x:c r="D7" s="21" t="str">
        <x:v>ボブ</x:v>
      </x:c>
      <x:c r="E7" s="19" t="str">
        <x:v>Bob</x:v>
      </x:c>
      <x:c r="F7" s="20" t="str"/>
      <x:c r="G7" s="20" t="str"/>
      <x:c r="H7" s="23" t="str">
        <x:v>27 50 43</x:v>
      </x:c>
    </x:row>
    <x:row r="8" ht="40.5" customHeight="1">
      <x:c r="A8" s="22" t="str">
        <x:v>byte</x:v>
      </x:c>
      <x:c r="B8" s="22" t="str">
        <x:v>6</x:v>
      </x:c>
      <x:c r="C8" s="22" t="str">
        <x:v>entity/name</x:v>
      </x:c>
      <x:c r="D8" s="21" t="str">
        <x:v>こボブ</x:v>
      </x:c>
      <x:c r="E8" s="19" t="str">
        <x:v>Bob Jr.</x:v>
      </x:c>
      <x:c r="F8" s="20" t="str"/>
      <x:c r="G8" s="20" t="str"/>
      <x:c r="H8" s="23" t="str">
        <x:v>27 50 43 01 2F 53 1D</x:v>
      </x:c>
    </x:row>
    <x:row r="9" ht="40.5" customHeight="1">
      <x:c r="A9" s="22" t="str">
        <x:v>byte</x:v>
      </x:c>
      <x:c r="B9" s="22" t="str">
        <x:v>7</x:v>
      </x:c>
      <x:c r="C9" s="22" t="str">
        <x:v>entity/name</x:v>
      </x:c>
      <x:c r="D9" s="21" t="str">
        <x:v>じじボブ</x:v>
      </x:c>
      <x:c r="E9" s="19" t="str">
        <x:v>Grandpa Bob</x:v>
      </x:c>
      <x:c r="F9" s="20" t="str"/>
      <x:c r="G9" s="20" t="str"/>
      <x:c r="H9" s="23" t="str">
        <x:v>2C 53 42 4F 45 51 42 01 27 50 43</x:v>
      </x:c>
    </x:row>
    <x:row r="10" ht="40.5" customHeight="1">
      <x:c r="A10" s="22" t="str">
        <x:v>byte</x:v>
      </x:c>
      <x:c r="B10" s="22" t="str">
        <x:v>8</x:v>
      </x:c>
      <x:c r="C10" s="22" t="str">
        <x:v>entity/name</x:v>
      </x:c>
      <x:c r="D10" s="21" t="str">
        <x:v>サジク</x:v>
      </x:c>
      <x:c r="E10" s="19" t="str">
        <x:v>Sajik</x:v>
      </x:c>
      <x:c r="F10" s="20" t="str"/>
      <x:c r="G10" s="20" t="str"/>
      <x:c r="H10" s="23" t="str">
        <x:v>0D 42 4B 4A 4C</x:v>
      </x:c>
    </x:row>
    <x:row r="11" ht="40.5" customHeight="1">
      <x:c r="A11" s="22" t="str">
        <x:v>byte</x:v>
      </x:c>
      <x:c r="B11" s="22" t="str">
        <x:v>9</x:v>
      </x:c>
      <x:c r="C11" s="22" t="str">
        <x:v>entity/name</x:v>
      </x:c>
      <x:c r="D11" s="21" t="str">
        <x:v>メグ</x:v>
      </x:c>
      <x:c r="E11" s="19" t="str">
        <x:v>Meg</x:v>
      </x:c>
      <x:c r="F11" s="20" t="str"/>
      <x:c r="G11" s="20" t="str"/>
      <x:c r="H11" s="23" t="str">
        <x:v>31 46 48</x:v>
      </x:c>
    </x:row>
    <x:row r="12" ht="40.5" customHeight="1">
      <x:c r="A12" s="22" t="str">
        <x:v>byte</x:v>
      </x:c>
      <x:c r="B12" s="22" t="str">
        <x:v>10</x:v>
      </x:c>
      <x:c r="C12" s="22" t="str">
        <x:v>entity/name</x:v>
      </x:c>
      <x:c r="D12" s="21" t="str">
        <x:v>ラムス</x:v>
      </x:c>
      <x:c r="E12" s="19" t="str">
        <x:v>Ramus</x:v>
      </x:c>
      <x:c r="F12" s="20" t="str"/>
      <x:c r="G12" s="20" t="str"/>
      <x:c r="H12" s="23" t="str">
        <x:v>35 42 4E 56 54</x:v>
      </x:c>
    </x:row>
    <x:row r="13" ht="40.5" customHeight="1">
      <x:c r="A13" s="22" t="str">
        <x:v>byte</x:v>
      </x:c>
      <x:c r="B13" s="22" t="str">
        <x:v>11</x:v>
      </x:c>
      <x:c r="C13" s="22" t="str">
        <x:v>entity/name</x:v>
      </x:c>
      <x:c r="D13" s="21" t="str">
        <x:v>カプリ</x:v>
      </x:c>
      <x:c r="E13" s="19" t="str">
        <x:v>Capri</x:v>
      </x:c>
      <x:c r="F13" s="20" t="str"/>
      <x:c r="G13" s="20" t="str"/>
      <x:c r="H13" s="23" t="str">
        <x:v>28 42 51 53 4A</x:v>
      </x:c>
    </x:row>
    <x:row r="14" ht="40.5" customHeight="1">
      <x:c r="A14" s="22" t="str">
        <x:v>byte</x:v>
      </x:c>
      <x:c r="B14" s="22" t="str">
        <x:v>12</x:v>
      </x:c>
      <x:c r="C14" s="22" t="str">
        <x:v>entity/name</x:v>
      </x:c>
      <x:c r="D14" s="21" t="str">
        <x:v>コレクタ</x:v>
      </x:c>
      <x:c r="E14" s="19" t="str">
        <x:v>Collector</x:v>
      </x:c>
      <x:c r="F14" s="20" t="str"/>
      <x:c r="G14" s="20" t="str"/>
      <x:c r="H14" s="23" t="str">
        <x:v>28 50 4D 4D 46 44 55 50 53</x:v>
      </x:c>
    </x:row>
    <x:row r="15" ht="40.5" customHeight="1">
      <x:c r="A15" s="22" t="str">
        <x:v>byte</x:v>
      </x:c>
      <x:c r="B15" s="22" t="str">
        <x:v>13</x:v>
      </x:c>
      <x:c r="C15" s="22" t="str">
        <x:v>entity/name</x:v>
      </x:c>
      <x:c r="D15" s="21" t="str">
        <x:v>じじいのこえ</x:v>
      </x:c>
      <x:c r="E15" s="19" t="str">
        <x:v>Old Man's Voice</x:v>
      </x:c>
      <x:c r="F15" s="20" t="str"/>
      <x:c r="G15" s="20" t="str"/>
      <x:c r="H15" s="23" t="str">
        <x:v>33 4D 45 01 31 42 4F 16 54 01 38 50 4A 44 46</x:v>
      </x:c>
    </x:row>
    <x:row r="16" ht="40.5" customHeight="1">
      <x:c r="A16" s="22" t="str">
        <x:v>byte</x:v>
      </x:c>
      <x:c r="B16" s="22" t="str">
        <x:v>14</x:v>
      </x:c>
      <x:c r="C16" s="22" t="str">
        <x:v>entity/name</x:v>
      </x:c>
      <x:c r="D16" s="21" t="str">
        <x:v>ぐんしゅう</x:v>
      </x:c>
      <x:c r="E16" s="19" t="str">
        <x:v>Crowd</x:v>
      </x:c>
      <x:c r="F16" s="20" t="str"/>
      <x:c r="G16" s="20" t="str"/>
      <x:c r="H16" s="23" t="str">
        <x:v>28 53 50 58 45</x:v>
      </x:c>
    </x:row>
    <x:row r="17" ht="40.5" customHeight="1">
      <x:c r="A17" s="22" t="str">
        <x:v>byte</x:v>
      </x:c>
      <x:c r="B17" s="22" t="str">
        <x:v>15</x:v>
      </x:c>
      <x:c r="C17" s="22" t="str">
        <x:v>entity/name</x:v>
      </x:c>
      <x:c r="D17" s="21" t="str">
        <x:v>ぐんしゅう</x:v>
      </x:c>
      <x:c r="E17" s="19" t="str">
        <x:v>Crowd</x:v>
      </x:c>
      <x:c r="F17" s="20" t="str"/>
      <x:c r="G17" s="20" t="str"/>
      <x:c r="H17" s="23" t="str">
        <x:v>28 53 50 58 45</x:v>
      </x:c>
    </x:row>
    <x:row r="18" ht="40.5" customHeight="1">
      <x:c r="A18" s="22" t="str">
        <x:v>byte</x:v>
      </x:c>
      <x:c r="B18" s="22" t="str">
        <x:v>16</x:v>
      </x:c>
      <x:c r="C18" s="22" t="str">
        <x:v>entity/name</x:v>
      </x:c>
      <x:c r="D18" s="21" t="str">
        <x:v>ベビすけ</x:v>
      </x:c>
      <x:c r="E18" s="19" t="str">
        <x:v>Bebisuke</x:v>
      </x:c>
      <x:c r="F18" s="20" t="str"/>
      <x:c r="G18" s="20" t="str"/>
      <x:c r="H18" s="23" t="str">
        <x:v>27 46 43 4A 54 56 4C 46</x:v>
      </x:c>
    </x:row>
    <x:row r="19" ht="40.5" customHeight="1">
      <x:c r="A19" s="22" t="str">
        <x:v>byte</x:v>
      </x:c>
      <x:c r="B19" s="22" t="str">
        <x:v>17</x:v>
      </x:c>
      <x:c r="C19" s="22" t="str">
        <x:v>entity/name</x:v>
      </x:c>
      <x:c r="D19" s="21" t="str">
        <x:v>ベビへい</x:v>
      </x:c>
      <x:c r="E19" s="19" t="str">
        <x:v>Bebihei</x:v>
      </x:c>
      <x:c r="F19" s="20" t="str"/>
      <x:c r="G19" s="20" t="str"/>
      <x:c r="H19" s="23" t="str">
        <x:v>27 46 43 4A 49 46 4A</x:v>
      </x:c>
    </x:row>
    <x:row r="20" ht="40.5" customHeight="1">
      <x:c r="A20" s="22" t="str">
        <x:v>byte</x:v>
      </x:c>
      <x:c r="B20" s="22" t="str">
        <x:v>18</x:v>
      </x:c>
      <x:c r="C20" s="22" t="str">
        <x:v>entity/name</x:v>
      </x:c>
      <x:c r="D20" s="21" t="str">
        <x:v>ベビた</x:v>
      </x:c>
      <x:c r="E20" s="19" t="str">
        <x:v>Bebita</x:v>
      </x:c>
      <x:c r="F20" s="20" t="str"/>
      <x:c r="G20" s="20" t="str"/>
      <x:c r="H20" s="23" t="str">
        <x:v>27 46 43 4A 55 42</x:v>
      </x:c>
    </x:row>
    <x:row r="21" ht="40.5" customHeight="1">
      <x:c r="A21" s="22" t="str">
        <x:v>byte</x:v>
      </x:c>
      <x:c r="B21" s="22" t="str">
        <x:v>19</x:v>
      </x:c>
      <x:c r="C21" s="22" t="str">
        <x:v>entity/name</x:v>
      </x:c>
      <x:c r="D21" s="21" t="str">
        <x:v>ベビオ</x:v>
      </x:c>
      <x:c r="E21" s="19" t="str">
        <x:v>Bebio</x:v>
      </x:c>
      <x:c r="F21" s="20" t="str"/>
      <x:c r="G21" s="20" t="str"/>
      <x:c r="H21" s="23" t="str">
        <x:v>27 46 43 4A 50</x:v>
      </x:c>
    </x:row>
    <x:row r="22" ht="40.5" customHeight="1">
      <x:c r="A22" s="22" t="str">
        <x:v>byte</x:v>
      </x:c>
      <x:c r="B22" s="22" t="str">
        <x:v>20</x:v>
      </x:c>
      <x:c r="C22" s="22" t="str">
        <x:v>entity/name</x:v>
      </x:c>
      <x:c r="D22" s="21" t="str">
        <x:v>ジェイビー</x:v>
      </x:c>
      <x:c r="E22" s="19" t="str">
        <x:v>J.B.</x:v>
      </x:c>
      <x:c r="F22" s="20" t="str"/>
      <x:c r="G22" s="20" t="str"/>
      <x:c r="H22" s="23" t="str">
        <x:v>2F 1D 27 1D</x:v>
      </x:c>
    </x:row>
    <x:row r="23" ht="40.5" customHeight="1">
      <x:c r="A23" s="22" t="str">
        <x:v>byte</x:v>
      </x:c>
      <x:c r="B23" s="22" t="str">
        <x:v>21</x:v>
      </x:c>
      <x:c r="C23" s="22" t="str">
        <x:v>entity/name</x:v>
      </x:c>
      <x:c r="D23" s="21" t="str">
        <x:v>ヘブリ</x:v>
      </x:c>
      <x:c r="E23" s="19" t="str">
        <x:v>Hebri</x:v>
      </x:c>
      <x:c r="F23" s="20" t="str"/>
      <x:c r="G23" s="20" t="str"/>
      <x:c r="H23" s="23" t="str">
        <x:v>2D 46 43 53 4A</x:v>
      </x:c>
    </x:row>
    <x:row r="24" ht="40.5" customHeight="1">
      <x:c r="A24" s="22" t="str">
        <x:v>byte</x:v>
      </x:c>
      <x:c r="B24" s="22" t="str">
        <x:v>22</x:v>
      </x:c>
      <x:c r="C24" s="22" t="str">
        <x:v>entity/name</x:v>
      </x:c>
      <x:c r="D24" s="21" t="str">
        <x:v>ドドヘイ</x:v>
      </x:c>
      <x:c r="E24" s="19" t="str">
        <x:v>Dodohei</x:v>
      </x:c>
      <x:c r="F24" s="20" t="str"/>
      <x:c r="G24" s="20" t="str"/>
      <x:c r="H24" s="23" t="str">
        <x:v>29 50 45 50 49 46 4A</x:v>
      </x:c>
    </x:row>
    <x:row r="25" ht="40.5" customHeight="1">
      <x:c r="A25" s="22" t="str">
        <x:v>byte</x:v>
      </x:c>
      <x:c r="B25" s="22" t="str">
        <x:v>23</x:v>
      </x:c>
      <x:c r="C25" s="22" t="str">
        <x:v>entity/name</x:v>
      </x:c>
      <x:c r="D25" s="21" t="str">
        <x:v>ゲムコ</x:v>
      </x:c>
      <x:c r="E25" s="19" t="str">
        <x:v>Gemuko</x:v>
      </x:c>
      <x:c r="F25" s="20" t="str"/>
      <x:c r="G25" s="20" t="str"/>
      <x:c r="H25" s="23" t="str">
        <x:v>2C 46 4E 56 4C 50</x:v>
      </x:c>
    </x:row>
    <x:row r="26" ht="40.5" customHeight="1">
      <x:c r="A26" s="22" t="str">
        <x:v>byte</x:v>
      </x:c>
      <x:c r="B26" s="22" t="str">
        <x:v>24</x:v>
      </x:c>
      <x:c r="C26" s="22" t="str">
        <x:v>entity/name</x:v>
      </x:c>
      <x:c r="D26" s="21" t="str">
        <x:v>ミニー</x:v>
      </x:c>
      <x:c r="E26" s="19" t="str">
        <x:v>Minnie</x:v>
      </x:c>
      <x:c r="F26" s="20" t="str"/>
      <x:c r="G26" s="20" t="str"/>
      <x:c r="H26" s="23" t="str">
        <x:v>31 4A 4F 4F 4A 46</x:v>
      </x:c>
    </x:row>
    <x:row r="27" ht="40.5" customHeight="1">
      <x:c r="A27" s="22" t="str">
        <x:v>byte</x:v>
      </x:c>
      <x:c r="B27" s="22" t="str">
        <x:v>25</x:v>
      </x:c>
      <x:c r="C27" s="22" t="str">
        <x:v>entity/name</x:v>
      </x:c>
      <x:c r="D27" s="21" t="str">
        <x:v>デモリン</x:v>
      </x:c>
      <x:c r="E27" s="19" t="str">
        <x:v>Demorin</x:v>
      </x:c>
      <x:c r="F27" s="20" t="str"/>
      <x:c r="G27" s="20" t="str"/>
      <x:c r="H27" s="23" t="str">
        <x:v>29 46 4E 50 53 4A 4F</x:v>
      </x:c>
    </x:row>
    <x:row r="28" ht="40.5" customHeight="1">
      <x:c r="A28" s="22" t="str">
        <x:v>byte</x:v>
      </x:c>
      <x:c r="B28" s="22" t="str">
        <x:v>26</x:v>
      </x:c>
      <x:c r="C28" s="22" t="str">
        <x:v>entity/name</x:v>
      </x:c>
      <x:c r="D28" s="21" t="str">
        <x:v>ゆきぼう</x:v>
      </x:c>
      <x:c r="E28" s="19" t="str">
        <x:v>Yukibo</x:v>
      </x:c>
      <x:c r="F28" s="20" t="str"/>
      <x:c r="G28" s="20" t="str"/>
      <x:c r="H28" s="23" t="str">
        <x:v>0F 56 4C 4A 43 50</x:v>
      </x:c>
    </x:row>
    <x:row r="29" ht="40.5" customHeight="1">
      <x:c r="A29" s="22" t="str">
        <x:v>byte</x:v>
      </x:c>
      <x:c r="B29" s="22" t="str">
        <x:v>27</x:v>
      </x:c>
      <x:c r="C29" s="22" t="str">
        <x:v>entity/name</x:v>
      </x:c>
      <x:c r="D29" s="21" t="str">
        <x:v>ガヌビス</x:v>
      </x:c>
      <x:c r="E29" s="19" t="str">
        <x:v>Ganubis</x:v>
      </x:c>
      <x:c r="F29" s="20" t="str"/>
      <x:c r="G29" s="20" t="str"/>
      <x:c r="H29" s="23" t="str">
        <x:v>2C 42 4F 56 43 4A 54</x:v>
      </x:c>
    </x:row>
    <x:row r="30" ht="40.5" customHeight="1">
      <x:c r="A30" s="22" t="str">
        <x:v>byte</x:v>
      </x:c>
      <x:c r="B30" s="22" t="str">
        <x:v>28</x:v>
      </x:c>
      <x:c r="C30" s="22" t="str">
        <x:v>entity/name</x:v>
      </x:c>
      <x:c r="D30" s="21" t="str">
        <x:v>※</x:v>
      </x:c>
      <x:c r="E30" s="19" t="str">
        <x:v>*</x:v>
      </x:c>
      <x:c r="F30" s="20" t="str"/>
      <x:c r="G30" s="20" t="str"/>
      <x:c r="H30" s="23" t="str">
        <x:v>19</x:v>
      </x:c>
    </x:row>
    <x:row r="31" ht="40.5" customHeight="1">
      <x:c r="A31" s="22" t="str">
        <x:v>byte</x:v>
      </x:c>
      <x:c r="B31" s="22" t="str">
        <x:v>29</x:v>
      </x:c>
      <x:c r="C31" s="22" t="str">
        <x:v>entity/name</x:v>
      </x:c>
      <x:c r="D31" s="21" t="str">
        <x:v>※</x:v>
      </x:c>
      <x:c r="E31" s="19" t="str">
        <x:v>*</x:v>
      </x:c>
      <x:c r="F31" s="20" t="str"/>
      <x:c r="G31" s="20" t="str"/>
      <x:c r="H31" s="23" t="str">
        <x:v>19</x:v>
      </x:c>
    </x:row>
    <x:row r="32" ht="40.5" customHeight="1">
      <x:c r="A32" s="22" t="str">
        <x:v>byte</x:v>
      </x:c>
      <x:c r="B32" s="22" t="str">
        <x:v>30</x:v>
      </x:c>
      <x:c r="C32" s="22" t="str">
        <x:v>entity/name</x:v>
      </x:c>
      <x:c r="D32" s="21" t="str">
        <x:v>※</x:v>
      </x:c>
      <x:c r="E32" s="19" t="str">
        <x:v>*</x:v>
      </x:c>
      <x:c r="F32" s="20" t="str"/>
      <x:c r="G32" s="20" t="str"/>
      <x:c r="H32" s="23" t="str">
        <x:v>19</x:v>
      </x:c>
    </x:row>
    <x:row r="33" ht="40.5" customHeight="1">
      <x:c r="A33" s="22" t="str">
        <x:v>byte</x:v>
      </x:c>
      <x:c r="B33" s="22" t="str">
        <x:v>31</x:v>
      </x:c>
      <x:c r="C33" s="22" t="str">
        <x:v>entity/name</x:v>
      </x:c>
      <x:c r="D33" s="21" t="str">
        <x:v>キングバロン</x:v>
      </x:c>
      <x:c r="E33" s="19" t="str">
        <x:v>King Baron</x:v>
      </x:c>
      <x:c r="F33" s="20" t="str"/>
      <x:c r="G33" s="20" t="str"/>
      <x:c r="H33" s="23" t="str">
        <x:v>30 4A 4F 48 01 27 42 53 50 4F</x:v>
      </x:c>
    </x:row>
    <x:row r="34" ht="40.5" customHeight="1">
      <x:c r="A34" s="22" t="str">
        <x:v>byte</x:v>
      </x:c>
      <x:c r="B34" s="22" t="str">
        <x:v>32</x:v>
      </x:c>
      <x:c r="C34" s="22" t="str">
        <x:v>entity/name</x:v>
      </x:c>
      <x:c r="D34" s="21" t="str">
        <x:v>※</x:v>
      </x:c>
      <x:c r="E34" s="19" t="str">
        <x:v>*</x:v>
      </x:c>
      <x:c r="F34" s="20" t="str"/>
      <x:c r="G34" s="20" t="str"/>
      <x:c r="H34" s="23" t="str">
        <x:v>19</x:v>
      </x:c>
    </x:row>
    <x:row r="35" ht="40.5" customHeight="1">
      <x:c r="A35" s="22" t="str">
        <x:v>byte</x:v>
      </x:c>
      <x:c r="B35" s="22" t="str">
        <x:v>33</x:v>
      </x:c>
      <x:c r="C35" s="22" t="str">
        <x:v>entity/name</x:v>
      </x:c>
      <x:c r="D35" s="21" t="str">
        <x:v>イノブ</x:v>
      </x:c>
      <x:c r="E35" s="19" t="str">
        <x:v>Inobu</x:v>
      </x:c>
      <x:c r="F35" s="20" t="str"/>
      <x:c r="G35" s="20" t="str"/>
      <x:c r="H35" s="23" t="str">
        <x:v>2E 4F 50 43 56</x:v>
      </x:c>
    </x:row>
    <x:row r="36" ht="40.5" customHeight="1">
      <x:c r="A36" s="22" t="str">
        <x:v>byte</x:v>
      </x:c>
      <x:c r="B36" s="22" t="str">
        <x:v>34</x:v>
      </x:c>
      <x:c r="C36" s="22" t="str">
        <x:v>entity/name</x:v>
      </x:c>
      <x:c r="D36" s="21" t="str">
        <x:v>ベビー</x:v>
      </x:c>
      <x:c r="E36" s="19" t="str">
        <x:v>Baby</x:v>
      </x:c>
      <x:c r="F36" s="20" t="str"/>
      <x:c r="G36" s="20" t="str"/>
      <x:c r="H36" s="23" t="str">
        <x:v>27 42 43 5A</x:v>
      </x:c>
    </x:row>
    <x:row r="37" ht="40.5" customHeight="1">
      <x:c r="A37" s="22" t="str">
        <x:v>byte</x:v>
      </x:c>
      <x:c r="B37" s="22" t="str">
        <x:v>35</x:v>
      </x:c>
      <x:c r="C37" s="22" t="str">
        <x:v>entity/name</x:v>
      </x:c>
      <x:c r="D37" s="21" t="str">
        <x:v>まみ</x:v>
      </x:c>
      <x:c r="E37" s="19" t="str">
        <x:v>Mami</x:v>
      </x:c>
      <x:c r="F37" s="20" t="str"/>
      <x:c r="G37" s="20" t="str"/>
      <x:c r="H37" s="23" t="str">
        <x:v>31 42 4E 4A</x:v>
      </x:c>
    </x:row>
    <x:row r="38" ht="40.5" customHeight="1">
      <x:c r="A38" s="22" t="str">
        <x:v>byte</x:v>
      </x:c>
      <x:c r="B38" s="22" t="str">
        <x:v>36</x:v>
      </x:c>
      <x:c r="C38" s="22" t="str">
        <x:v>entity/name</x:v>
      </x:c>
      <x:c r="D38" s="21" t="str">
        <x:v>ヤス</x:v>
      </x:c>
      <x:c r="E38" s="19" t="str">
        <x:v>Yasu</x:v>
      </x:c>
      <x:c r="F38" s="20" t="str"/>
      <x:c r="G38" s="20" t="str"/>
      <x:c r="H38" s="23" t="str">
        <x:v>0F 42 54 56</x:v>
      </x:c>
    </x:row>
    <x:row r="39" ht="40.5" customHeight="1">
      <x:c r="A39" s="22" t="str">
        <x:v>byte</x:v>
      </x:c>
      <x:c r="B39" s="22" t="str">
        <x:v>37</x:v>
      </x:c>
      <x:c r="C39" s="22" t="str">
        <x:v>entity/name</x:v>
      </x:c>
      <x:c r="D39" s="21" t="str">
        <x:v>リカ</x:v>
      </x:c>
      <x:c r="E39" s="19" t="str">
        <x:v>Rika</x:v>
      </x:c>
      <x:c r="F39" s="20" t="str"/>
      <x:c r="G39" s="20" t="str"/>
      <x:c r="H39" s="23" t="str">
        <x:v>35 4A 4C 42</x:v>
      </x:c>
    </x:row>
    <x:row r="40" ht="40.5" customHeight="1">
      <x:c r="A40" s="22" t="str">
        <x:v>byte</x:v>
      </x:c>
      <x:c r="B40" s="22" t="str">
        <x:v>38</x:v>
      </x:c>
      <x:c r="C40" s="22" t="str">
        <x:v>entity/name</x:v>
      </x:c>
      <x:c r="D40" s="21" t="str">
        <x:v>ゲム</x:v>
      </x:c>
      <x:c r="E40" s="19" t="str">
        <x:v>Gem</x:v>
      </x:c>
      <x:c r="F40" s="20" t="str"/>
      <x:c r="G40" s="20" t="str"/>
      <x:c r="H40" s="23" t="str">
        <x:v>2C 46 4E</x:v>
      </x:c>
    </x:row>
    <x:row r="41">
      <x:c r="A41" s="22" t="str">
        <x:v>byte</x:v>
      </x:c>
      <x:c r="B41" s="22" t="str">
        <x:v>39</x:v>
      </x:c>
      <x:c r="C41" s="22" t="str">
        <x:v>entity/name</x:v>
      </x:c>
      <x:c r="D41" s="21" t="str">
        <x:v>※</x:v>
      </x:c>
      <x:c r="E41" s="19" t="str">
        <x:v>*</x:v>
      </x:c>
      <x:c r="F41" s="20" t="str"/>
      <x:c r="G41" s="20" t="str"/>
      <x:c r="H41" s="23" t="str">
        <x:v>19</x:v>
      </x:c>
    </x:row>
    <x:row r="42">
      <x:c r="A42" s="22" t="str">
        <x:v>byte</x:v>
      </x:c>
      <x:c r="B42" s="22" t="str">
        <x:v>40</x:v>
      </x:c>
      <x:c r="C42" s="22" t="str">
        <x:v>entity/name</x:v>
      </x:c>
      <x:c r="D42" s="21" t="str">
        <x:v>トマトン</x:v>
      </x:c>
      <x:c r="E42" s="19" t="str">
        <x:v>Tomaton</x:v>
      </x:c>
      <x:c r="F42" s="20" t="str"/>
      <x:c r="G42" s="20" t="str"/>
      <x:c r="H42" s="23" t="str">
        <x:v>36 50 4E 42 55 50 4F</x:v>
      </x:c>
    </x:row>
    <x:row r="43">
      <x:c r="A43" s="22" t="str">
        <x:v>byte</x:v>
      </x:c>
      <x:c r="B43" s="22" t="str">
        <x:v>41</x:v>
      </x:c>
      <x:c r="C43" s="22" t="str">
        <x:v>entity/name</x:v>
      </x:c>
      <x:c r="D43" s="21" t="str">
        <x:v>グリーンパパ</x:v>
      </x:c>
      <x:c r="E43" s="19" t="str">
        <x:v>Green Papa</x:v>
      </x:c>
      <x:c r="F43" s="20" t="str"/>
      <x:c r="G43" s="20" t="str"/>
      <x:c r="H43" s="23" t="str">
        <x:v>2C 53 46 46 4F 01 0E 42 51 42</x:v>
      </x:c>
    </x:row>
    <x:row r="44">
      <x:c r="A44" s="22" t="str">
        <x:v>byte</x:v>
      </x:c>
      <x:c r="B44" s="22" t="str">
        <x:v>42</x:v>
      </x:c>
      <x:c r="C44" s="22" t="str">
        <x:v>entity/name</x:v>
      </x:c>
      <x:c r="D44" s="21" t="str">
        <x:v>わるいフェアリー</x:v>
      </x:c>
      <x:c r="E44" s="19" t="str">
        <x:v>Bad Fairy</x:v>
      </x:c>
      <x:c r="F44" s="20" t="str"/>
      <x:c r="G44" s="20" t="str"/>
      <x:c r="H44" s="23" t="str">
        <x:v>27 42 45 01 2B 42 4A 53 5A</x:v>
      </x:c>
    </x:row>
    <x:row r="45">
      <x:c r="A45" s="22" t="str">
        <x:v>byte</x:v>
      </x:c>
      <x:c r="B45" s="22" t="str">
        <x:v>43</x:v>
      </x:c>
      <x:c r="C45" s="22" t="str">
        <x:v>entity/name</x:v>
      </x:c>
      <x:c r="D45" s="21" t="str">
        <x:v>くされトマトン</x:v>
      </x:c>
      <x:c r="E45" s="19" t="str">
        <x:v>Rotten Tomaton</x:v>
      </x:c>
      <x:c r="F45" s="20" t="str"/>
      <x:c r="G45" s="20" t="str"/>
      <x:c r="H45" s="23" t="str">
        <x:v>35 50 55 55 46 4F 01 36 50 4E 42 55 50 4F</x:v>
      </x:c>
    </x:row>
    <x:row r="46">
      <x:c r="A46" s="22" t="str">
        <x:v>byte</x:v>
      </x:c>
      <x:c r="B46" s="22" t="str">
        <x:v>44</x:v>
      </x:c>
      <x:c r="C46" s="22" t="str">
        <x:v>entity/name</x:v>
      </x:c>
      <x:c r="D46" s="21" t="str">
        <x:v>ピーハンマ</x:v>
      </x:c>
      <x:c r="E46" s="19" t="str">
        <x:v>P-Hammer</x:v>
      </x:c>
      <x:c r="F46" s="20" t="str"/>
      <x:c r="G46" s="20" t="str"/>
      <x:c r="H46" s="23" t="str">
        <x:v>0E 1C 2D 42 4E 4E 46 53</x:v>
      </x:c>
    </x:row>
    <x:row r="47">
      <x:c r="A47" s="22" t="str">
        <x:v>byte</x:v>
      </x:c>
      <x:c r="B47" s="22" t="str">
        <x:v>45</x:v>
      </x:c>
      <x:c r="C47" s="22" t="str">
        <x:v>entity/name</x:v>
      </x:c>
      <x:c r="D47" s="21" t="str">
        <x:v>きょだいミミー</x:v>
      </x:c>
      <x:c r="E47" s="19" t="str">
        <x:v>Giant Mimi</x:v>
      </x:c>
      <x:c r="F47" s="20" t="str"/>
      <x:c r="G47" s="20" t="str"/>
      <x:c r="H47" s="23" t="str">
        <x:v>2C 4A 42 4F 55 01 31 4A 4E 4A</x:v>
      </x:c>
    </x:row>
    <x:row r="48">
      <x:c r="A48" s="22" t="str">
        <x:v>byte</x:v>
      </x:c>
      <x:c r="B48" s="22" t="str">
        <x:v>46</x:v>
      </x:c>
      <x:c r="C48" s="22" t="str">
        <x:v>entity/name</x:v>
      </x:c>
      <x:c r="D48" s="21" t="str">
        <x:v>どくもんじろう</x:v>
      </x:c>
      <x:c r="E48" s="19" t="str">
        <x:v>Poison Monjiro</x:v>
      </x:c>
      <x:c r="F48" s="20" t="str"/>
      <x:c r="G48" s="20" t="str"/>
      <x:c r="H48" s="23" t="str">
        <x:v>0E 50 4A 54 50 4F 01 31 50 4F 4B 4A 53 50</x:v>
      </x:c>
    </x:row>
    <x:row r="49">
      <x:c r="A49" s="22" t="str">
        <x:v>byte</x:v>
      </x:c>
      <x:c r="B49" s="22" t="str">
        <x:v>47</x:v>
      </x:c>
      <x:c r="C49" s="22" t="str">
        <x:v>entity/name</x:v>
      </x:c>
      <x:c r="D49" s="21" t="str">
        <x:v>ミドラ</x:v>
      </x:c>
      <x:c r="E49" s="19" t="str">
        <x:v>Midora</x:v>
      </x:c>
      <x:c r="F49" s="20" t="str"/>
      <x:c r="G49" s="20" t="str"/>
      <x:c r="H49" s="23" t="str">
        <x:v>31 4A 45 50 53 42</x:v>
      </x:c>
    </x:row>
    <x:row r="50">
      <x:c r="A50" s="22" t="str">
        <x:v>byte</x:v>
      </x:c>
      <x:c r="B50" s="22" t="str">
        <x:v>48</x:v>
      </x:c>
      <x:c r="C50" s="22" t="str">
        <x:v>entity/name</x:v>
      </x:c>
      <x:c r="D50" s="21" t="str">
        <x:v>モクン</x:v>
      </x:c>
      <x:c r="E50" s="19" t="str">
        <x:v>Mokun</x:v>
      </x:c>
      <x:c r="F50" s="20" t="str"/>
      <x:c r="G50" s="20" t="str"/>
      <x:c r="H50" s="23" t="str">
        <x:v>31 50 4C 56 4F</x:v>
      </x:c>
    </x:row>
    <x:row r="51">
      <x:c r="A51" s="22" t="str">
        <x:v>byte</x:v>
      </x:c>
      <x:c r="B51" s="22" t="str">
        <x:v>49</x:v>
      </x:c>
      <x:c r="C51" s="22" t="str">
        <x:v>entity/name</x:v>
      </x:c>
      <x:c r="D51" s="21" t="str">
        <x:v>ボワドローン</x:v>
      </x:c>
      <x:c r="E51" s="19" t="str">
        <x:v>Bowa Drone</x:v>
      </x:c>
      <x:c r="F51" s="20" t="str"/>
      <x:c r="G51" s="20" t="str"/>
      <x:c r="H51" s="23" t="str">
        <x:v>27 50 58 42 01 29 53 50 4F 46</x:v>
      </x:c>
    </x:row>
    <x:row r="52">
      <x:c r="A52" s="22" t="str">
        <x:v>byte</x:v>
      </x:c>
      <x:c r="B52" s="22" t="str">
        <x:v>50</x:v>
      </x:c>
      <x:c r="C52" s="22" t="str">
        <x:v>entity/name</x:v>
      </x:c>
      <x:c r="D52" s="21" t="str">
        <x:v>あくまパピー</x:v>
      </x:c>
      <x:c r="E52" s="19" t="str">
        <x:v>Devil Puppy</x:v>
      </x:c>
      <x:c r="F52" s="20" t="str"/>
      <x:c r="G52" s="20" t="str"/>
      <x:c r="H52" s="23" t="str">
        <x:v>29 46 57 4A 4D 01 0E 56 51 51 5A</x:v>
      </x:c>
    </x:row>
    <x:row r="53">
      <x:c r="A53" s="22" t="str">
        <x:v>byte</x:v>
      </x:c>
      <x:c r="B53" s="22" t="str">
        <x:v>51</x:v>
      </x:c>
      <x:c r="C53" s="22" t="str">
        <x:v>entity/name</x:v>
      </x:c>
      <x:c r="D53" s="21" t="str">
        <x:v>かいふくくん</x:v>
      </x:c>
      <x:c r="E53" s="19" t="str">
        <x:v>Heal-kun</x:v>
      </x:c>
      <x:c r="F53" s="20" t="str"/>
      <x:c r="G53" s="20" t="str"/>
      <x:c r="H53" s="23" t="str">
        <x:v>2D 46 42 4D 1C 4C 56 4F</x:v>
      </x:c>
    </x:row>
    <x:row r="54">
      <x:c r="A54" s="22" t="str">
        <x:v>byte</x:v>
      </x:c>
      <x:c r="B54" s="22" t="str">
        <x:v>52</x:v>
      </x:c>
      <x:c r="C54" s="22" t="str">
        <x:v>entity/name</x:v>
      </x:c>
      <x:c r="D54" s="21" t="str">
        <x:v>いかれブーメラン</x:v>
      </x:c>
      <x:c r="E54" s="19" t="str">
        <x:v>Crazy Boomerang</x:v>
      </x:c>
      <x:c r="F54" s="20" t="str"/>
      <x:c r="G54" s="20" t="str"/>
      <x:c r="H54" s="23" t="str">
        <x:v>28 53 42 5B 5A 01 27 50 50 4E 46 53 42 4F 48</x:v>
      </x:c>
    </x:row>
    <x:row r="55">
      <x:c r="A55" s="22" t="str">
        <x:v>byte</x:v>
      </x:c>
      <x:c r="B55" s="22" t="str">
        <x:v>53</x:v>
      </x:c>
      <x:c r="C55" s="22" t="str">
        <x:v>entity/name</x:v>
      </x:c>
      <x:c r="D55" s="21" t="str">
        <x:v>リーハウンゼン</x:v>
      </x:c>
      <x:c r="E55" s="19" t="str">
        <x:v>Leehausen</x:v>
      </x:c>
      <x:c r="F55" s="20" t="str"/>
      <x:c r="G55" s="20" t="str"/>
      <x:c r="H55" s="23" t="str">
        <x:v>0C 46 46 49 42 56 54 46 4F</x:v>
      </x:c>
    </x:row>
    <x:row r="56">
      <x:c r="A56" s="22" t="str">
        <x:v>byte</x:v>
      </x:c>
      <x:c r="B56" s="22" t="str">
        <x:v>54</x:v>
      </x:c>
      <x:c r="C56" s="22" t="str">
        <x:v>entity/name</x:v>
      </x:c>
      <x:c r="D56" s="21" t="str">
        <x:v>すいまミドラ</x:v>
      </x:c>
      <x:c r="E56" s="19" t="str">
        <x:v>Drowsy Midora</x:v>
      </x:c>
      <x:c r="F56" s="20" t="str"/>
      <x:c r="G56" s="20" t="str"/>
      <x:c r="H56" s="23" t="str">
        <x:v>29 53 50 58 54 5A 01 31 4A 45 50 53 42</x:v>
      </x:c>
    </x:row>
    <x:row r="57">
      <x:c r="A57" s="22" t="str">
        <x:v>byte</x:v>
      </x:c>
      <x:c r="B57" s="22" t="str">
        <x:v>55</x:v>
      </x:c>
      <x:c r="C57" s="22" t="str">
        <x:v>entity/name</x:v>
      </x:c>
      <x:c r="D57" s="21" t="str">
        <x:v>きょうふせんし</x:v>
      </x:c>
      <x:c r="E57" s="19" t="str">
        <x:v>Terror Warrior</x:v>
      </x:c>
      <x:c r="F57" s="20" t="str"/>
      <x:c r="G57" s="20" t="str"/>
      <x:c r="H57" s="23" t="str">
        <x:v>36 46 53 53 50 53 01 39 42 53 53 4A 50 53</x:v>
      </x:c>
    </x:row>
    <x:row r="58">
      <x:c r="A58" s="22" t="str">
        <x:v>byte</x:v>
      </x:c>
      <x:c r="B58" s="22" t="str">
        <x:v>56</x:v>
      </x:c>
      <x:c r="C58" s="22" t="str">
        <x:v>entity/name</x:v>
      </x:c>
      <x:c r="D58" s="21" t="str">
        <x:v>はらだし</x:v>
      </x:c>
      <x:c r="E58" s="19" t="str">
        <x:v>Belly-Out</x:v>
      </x:c>
      <x:c r="F58" s="20" t="str"/>
      <x:c r="G58" s="20" t="str"/>
      <x:c r="H58" s="23" t="str">
        <x:v>27 46 4D 4D 5A 1C 33 56 55</x:v>
      </x:c>
    </x:row>
    <x:row r="59">
      <x:c r="A59" s="22" t="str">
        <x:v>byte</x:v>
      </x:c>
      <x:c r="B59" s="22" t="str">
        <x:v>57</x:v>
      </x:c>
      <x:c r="C59" s="22" t="str">
        <x:v>entity/name</x:v>
      </x:c>
      <x:c r="D59" s="21" t="str">
        <x:v>じごくおじさん</x:v>
      </x:c>
      <x:c r="E59" s="19" t="str">
        <x:v>Hell Uncle</x:v>
      </x:c>
      <x:c r="F59" s="20" t="str"/>
      <x:c r="G59" s="20" t="str"/>
      <x:c r="H59" s="23" t="str">
        <x:v>2D 46 4D 4D 01 37 4F 44 4D 46</x:v>
      </x:c>
    </x:row>
    <x:row r="60">
      <x:c r="A60" s="22" t="str">
        <x:v>byte</x:v>
      </x:c>
      <x:c r="B60" s="22" t="str">
        <x:v>58</x:v>
      </x:c>
      <x:c r="C60" s="22" t="str">
        <x:v>entity/name</x:v>
      </x:c>
      <x:c r="D60" s="21" t="str">
        <x:v>しろいミイラ</x:v>
      </x:c>
      <x:c r="E60" s="19" t="str">
        <x:v>White Mummy</x:v>
      </x:c>
      <x:c r="F60" s="20" t="str"/>
      <x:c r="G60" s="20" t="str"/>
      <x:c r="H60" s="23" t="str">
        <x:v>39 49 4A 55 46 01 31 56 4E 4E 5A</x:v>
      </x:c>
    </x:row>
    <x:row r="61">
      <x:c r="A61" s="22" t="str">
        <x:v>byte</x:v>
      </x:c>
      <x:c r="B61" s="22" t="str">
        <x:v>59</x:v>
      </x:c>
      <x:c r="C61" s="22" t="str">
        <x:v>entity/name</x:v>
      </x:c>
      <x:c r="D61" s="21" t="str">
        <x:v>ゴールドトマト</x:v>
      </x:c>
      <x:c r="E61" s="19" t="str">
        <x:v>Gold Tomaton</x:v>
      </x:c>
      <x:c r="F61" s="20" t="str"/>
      <x:c r="G61" s="20" t="str"/>
      <x:c r="H61" s="23" t="str">
        <x:v>2C 50 4D 45 01 36 50 4E 42 55 50 4F</x:v>
      </x:c>
    </x:row>
    <x:row r="62">
      <x:c r="A62" s="22" t="str">
        <x:v>byte</x:v>
      </x:c>
      <x:c r="B62" s="22" t="str">
        <x:v>60</x:v>
      </x:c>
      <x:c r="C62" s="22" t="str">
        <x:v>entity/name</x:v>
      </x:c>
      <x:c r="D62" s="21" t="str">
        <x:v>かんでんくん</x:v>
      </x:c>
      <x:c r="E62" s="19" t="str">
        <x:v>Shock-kun</x:v>
      </x:c>
      <x:c r="F62" s="20" t="str"/>
      <x:c r="G62" s="20" t="str"/>
      <x:c r="H62" s="23" t="str">
        <x:v>0D 49 50 44 4C 1C 4C 56 4F</x:v>
      </x:c>
    </x:row>
    <x:row r="63">
      <x:c r="A63" s="22" t="str">
        <x:v>byte</x:v>
      </x:c>
      <x:c r="B63" s="22" t="str">
        <x:v>61</x:v>
      </x:c>
      <x:c r="C63" s="22" t="str">
        <x:v>entity/name</x:v>
      </x:c>
      <x:c r="D63" s="21" t="str">
        <x:v>ピラルク</x:v>
      </x:c>
      <x:c r="E63" s="19" t="str">
        <x:v>Pirarucu</x:v>
      </x:c>
      <x:c r="F63" s="20" t="str"/>
      <x:c r="G63" s="20" t="str"/>
      <x:c r="H63" s="23" t="str">
        <x:v>0E 4A 53 42 53 56 44 56</x:v>
      </x:c>
    </x:row>
    <x:row r="64">
      <x:c r="A64" s="22" t="str">
        <x:v>byte</x:v>
      </x:c>
      <x:c r="B64" s="22" t="str">
        <x:v>62</x:v>
      </x:c>
      <x:c r="C64" s="22" t="str">
        <x:v>entity/name</x:v>
      </x:c>
      <x:c r="D64" s="21" t="str">
        <x:v>キングマンタ</x:v>
      </x:c>
      <x:c r="E64" s="19" t="str">
        <x:v>King Manta</x:v>
      </x:c>
      <x:c r="F64" s="20" t="str"/>
      <x:c r="G64" s="20" t="str"/>
      <x:c r="H64" s="23" t="str">
        <x:v>30 4A 4F 48 01 31 42 4F 55 42</x:v>
      </x:c>
    </x:row>
    <x:row r="65">
      <x:c r="A65" s="22" t="str">
        <x:v>byte</x:v>
      </x:c>
      <x:c r="B65" s="22" t="str">
        <x:v>63</x:v>
      </x:c>
      <x:c r="C65" s="22" t="str">
        <x:v>entity/name</x:v>
      </x:c>
      <x:c r="D65" s="21" t="str">
        <x:v>たこばんにん</x:v>
      </x:c>
      <x:c r="E65" s="19" t="str">
        <x:v>Octo Guard</x:v>
      </x:c>
      <x:c r="F65" s="20" t="str"/>
      <x:c r="G65" s="20" t="str"/>
      <x:c r="H65" s="23" t="str">
        <x:v>33 44 55 50 01 2C 56 42 53 45</x:v>
      </x:c>
    </x:row>
    <x:row r="66">
      <x:c r="A66" s="22" t="str">
        <x:v>byte</x:v>
      </x:c>
      <x:c r="B66" s="22" t="str">
        <x:v>64</x:v>
      </x:c>
      <x:c r="C66" s="22" t="str">
        <x:v>entity/name</x:v>
      </x:c>
      <x:c r="D66" s="21" t="str">
        <x:v>あやつりボーイ</x:v>
      </x:c>
      <x:c r="E66" s="19" t="str">
        <x:v>Puppet Boy</x:v>
      </x:c>
      <x:c r="F66" s="20" t="str"/>
      <x:c r="G66" s="20" t="str"/>
      <x:c r="H66" s="23" t="str">
        <x:v>0E 56 51 51 46 55 01 27 50 5A</x:v>
      </x:c>
    </x:row>
    <x:row r="67">
      <x:c r="A67" s="22" t="str">
        <x:v>byte</x:v>
      </x:c>
      <x:c r="B67" s="22" t="str">
        <x:v>65</x:v>
      </x:c>
      <x:c r="C67" s="22" t="str">
        <x:v>entity/name</x:v>
      </x:c>
      <x:c r="D67" s="21" t="str">
        <x:v>ナメテルトボン</x:v>
      </x:c>
      <x:c r="E67" s="19" t="str">
        <x:v>Nameteru Tobon</x:v>
      </x:c>
      <x:c r="F67" s="20" t="str"/>
      <x:c r="G67" s="20" t="str"/>
      <x:c r="H67" s="23" t="str">
        <x:v>32 42 4E 46 55 46 53 56 01 36 50 43 50 4F</x:v>
      </x:c>
    </x:row>
    <x:row r="68">
      <x:c r="A68" s="22" t="str">
        <x:v>byte</x:v>
      </x:c>
      <x:c r="B68" s="22" t="str">
        <x:v>66</x:v>
      </x:c>
      <x:c r="C68" s="22" t="str">
        <x:v>entity/name</x:v>
      </x:c>
      <x:c r="D68" s="21" t="str">
        <x:v>しゅらさま</x:v>
      </x:c>
      <x:c r="E68" s="19" t="str">
        <x:v>Lord Shura</x:v>
      </x:c>
      <x:c r="F68" s="20" t="str"/>
      <x:c r="G68" s="20" t="str"/>
      <x:c r="H68" s="23" t="str">
        <x:v>0C 50 53 45 01 0D 49 56 53 42</x:v>
      </x:c>
    </x:row>
    <x:row r="69">
      <x:c r="A69" s="22" t="str">
        <x:v>byte</x:v>
      </x:c>
      <x:c r="B69" s="22" t="str">
        <x:v>67</x:v>
      </x:c>
      <x:c r="C69" s="22" t="str">
        <x:v>entity/name</x:v>
      </x:c>
      <x:c r="D69" s="21" t="str">
        <x:v>ミャミャン</x:v>
      </x:c>
      <x:c r="E69" s="19" t="str">
        <x:v>Myamyan</x:v>
      </x:c>
      <x:c r="F69" s="20" t="str"/>
      <x:c r="G69" s="20" t="str"/>
      <x:c r="H69" s="23" t="str">
        <x:v>31 5A 42 4E 5A 42 4F</x:v>
      </x:c>
    </x:row>
    <x:row r="70">
      <x:c r="A70" s="22" t="str">
        <x:v>byte</x:v>
      </x:c>
      <x:c r="B70" s="22" t="str">
        <x:v>68</x:v>
      </x:c>
      <x:c r="C70" s="22" t="str">
        <x:v>entity/name</x:v>
      </x:c>
      <x:c r="D70" s="21" t="str">
        <x:v>だいかいふくくん</x:v>
      </x:c>
      <x:c r="E70" s="19" t="str">
        <x:v>Mega Heal-kun</x:v>
      </x:c>
      <x:c r="F70" s="20" t="str"/>
      <x:c r="G70" s="20" t="str"/>
      <x:c r="H70" s="23" t="str">
        <x:v>31 46 48 42 01 2D 46 42 4D 1C 4C 56 4F</x:v>
      </x:c>
    </x:row>
    <x:row r="71">
      <x:c r="A71" s="22" t="str">
        <x:v>byte</x:v>
      </x:c>
      <x:c r="B71" s="22" t="str">
        <x:v>69</x:v>
      </x:c>
      <x:c r="C71" s="22" t="str">
        <x:v>entity/name</x:v>
      </x:c>
      <x:c r="D71" s="21" t="str">
        <x:v>クリオイ</x:v>
      </x:c>
      <x:c r="E71" s="19" t="str">
        <x:v>Kurioi</x:v>
      </x:c>
      <x:c r="F71" s="20" t="str"/>
      <x:c r="G71" s="20" t="str"/>
      <x:c r="H71" s="23" t="str">
        <x:v>30 56 53 4A 50 4A</x:v>
      </x:c>
    </x:row>
    <x:row r="72">
      <x:c r="A72" s="22" t="str">
        <x:v>byte</x:v>
      </x:c>
      <x:c r="B72" s="22" t="str">
        <x:v>70</x:v>
      </x:c>
      <x:c r="C72" s="22" t="str">
        <x:v>entity/name</x:v>
      </x:c>
      <x:c r="D72" s="21" t="str">
        <x:v>ジャンボトマト</x:v>
      </x:c>
      <x:c r="E72" s="19" t="str">
        <x:v>Jumbo Tomaton</x:v>
      </x:c>
      <x:c r="F72" s="20" t="str"/>
      <x:c r="G72" s="20" t="str"/>
      <x:c r="H72" s="23" t="str">
        <x:v>2F 56 4E 43 50 01 36 50 4E 42 55 50 4F</x:v>
      </x:c>
    </x:row>
    <x:row r="73">
      <x:c r="A73" s="22" t="str">
        <x:v>byte</x:v>
      </x:c>
      <x:c r="B73" s="22" t="str">
        <x:v>71</x:v>
      </x:c>
      <x:c r="C73" s="22" t="str">
        <x:v>entity/name</x:v>
      </x:c>
      <x:c r="D73" s="21" t="str">
        <x:v>でんきブーメラン</x:v>
      </x:c>
      <x:c r="E73" s="19" t="str">
        <x:v>Electric Boomerang</x:v>
      </x:c>
      <x:c r="F73" s="20" t="str"/>
      <x:c r="G73" s="20" t="str"/>
      <x:c r="H73" s="23" t="str">
        <x:v>2A 4D 46 44 55 53 4A 44 01 27 50 50 4E 46 53 42 4F 48</x:v>
      </x:c>
    </x:row>
    <x:row r="74">
      <x:c r="A74" s="22" t="str">
        <x:v>byte</x:v>
      </x:c>
      <x:c r="B74" s="22" t="str">
        <x:v>72</x:v>
      </x:c>
      <x:c r="C74" s="22" t="str">
        <x:v>entity/name</x:v>
      </x:c>
      <x:c r="D74" s="21" t="str">
        <x:v>モルグのひと</x:v>
      </x:c>
      <x:c r="E74" s="19" t="str">
        <x:v>Morgue Man</x:v>
      </x:c>
      <x:c r="F74" s="20" t="str"/>
      <x:c r="G74" s="20" t="str"/>
      <x:c r="H74" s="23" t="str">
        <x:v>31 50 53 48 56 46 01 31 42 4F</x:v>
      </x:c>
    </x:row>
    <x:row r="75">
      <x:c r="A75" s="22" t="str">
        <x:v>byte</x:v>
      </x:c>
      <x:c r="B75" s="22" t="str">
        <x:v>73</x:v>
      </x:c>
      <x:c r="C75" s="22" t="str">
        <x:v>entity/name</x:v>
      </x:c>
      <x:c r="D75" s="21" t="str">
        <x:v>イッキュウ</x:v>
      </x:c>
      <x:c r="E75" s="19" t="str">
        <x:v>Ikkyu</x:v>
      </x:c>
      <x:c r="F75" s="20" t="str"/>
      <x:c r="G75" s="20" t="str"/>
      <x:c r="H75" s="23" t="str">
        <x:v>2E 4C 4C 5A 56</x:v>
      </x:c>
    </x:row>
    <x:row r="76">
      <x:c r="A76" s="22" t="str">
        <x:v>byte</x:v>
      </x:c>
      <x:c r="B76" s="22" t="str">
        <x:v>74</x:v>
      </x:c>
      <x:c r="C76" s="22" t="str">
        <x:v>entity/name</x:v>
      </x:c>
      <x:c r="D76" s="21" t="str">
        <x:v>ドンカチー</x:v>
      </x:c>
      <x:c r="E76" s="19" t="str">
        <x:v>Donkachi</x:v>
      </x:c>
      <x:c r="F76" s="20" t="str"/>
      <x:c r="G76" s="20" t="str"/>
      <x:c r="H76" s="23" t="str">
        <x:v>29 50 4F 4C 42 44 49 4A</x:v>
      </x:c>
    </x:row>
    <x:row r="77">
      <x:c r="A77" s="22" t="str">
        <x:v>byte</x:v>
      </x:c>
      <x:c r="B77" s="22" t="str">
        <x:v>75</x:v>
      </x:c>
      <x:c r="C77" s="22" t="str">
        <x:v>entity/name</x:v>
      </x:c>
      <x:c r="D77" s="21" t="str">
        <x:v>バネデトム</x:v>
      </x:c>
      <x:c r="E77" s="19" t="str">
        <x:v>Banedetom</x:v>
      </x:c>
      <x:c r="F77" s="20" t="str"/>
      <x:c r="G77" s="20" t="str"/>
      <x:c r="H77" s="23" t="str">
        <x:v>27 42 4F 46 45 46 55 50 4E</x:v>
      </x:c>
    </x:row>
    <x:row r="78">
      <x:c r="A78" s="22" t="str">
        <x:v>byte</x:v>
      </x:c>
      <x:c r="B78" s="22" t="str">
        <x:v>76</x:v>
      </x:c>
      <x:c r="C78" s="22" t="str">
        <x:v>entity/name</x:v>
      </x:c>
      <x:c r="D78" s="21" t="str">
        <x:v>でんねつぐも</x:v>
      </x:c>
      <x:c r="E78" s="19" t="str">
        <x:v>Heat Spider</x:v>
      </x:c>
      <x:c r="F78" s="20" t="str"/>
      <x:c r="G78" s="20" t="str"/>
      <x:c r="H78" s="23" t="str">
        <x:v>2D 46 42 55 01 0D 51 4A 45 46 53</x:v>
      </x:c>
    </x:row>
    <x:row r="79">
      <x:c r="A79" s="22" t="str">
        <x:v>byte</x:v>
      </x:c>
      <x:c r="B79" s="22" t="str">
        <x:v>77</x:v>
      </x:c>
      <x:c r="C79" s="22" t="str">
        <x:v>entity/name</x:v>
      </x:c>
      <x:c r="D79" s="21" t="str">
        <x:v>びっくりばこ</x:v>
      </x:c>
      <x:c r="E79" s="19" t="str">
        <x:v>Mimic</x:v>
      </x:c>
      <x:c r="F79" s="20" t="str"/>
      <x:c r="G79" s="20" t="str"/>
      <x:c r="H79" s="23" t="str">
        <x:v>31 4A 4E 4A 44</x:v>
      </x:c>
    </x:row>
    <x:row r="80">
      <x:c r="A80" s="22" t="str">
        <x:v>byte</x:v>
      </x:c>
      <x:c r="B80" s="22" t="str">
        <x:v>78</x:v>
      </x:c>
      <x:c r="C80" s="22" t="str">
        <x:v>entity/name</x:v>
      </x:c>
      <x:c r="D80" s="21" t="str">
        <x:v>ファイア</x:v>
      </x:c>
      <x:c r="E80" s="19" t="str">
        <x:v>Fire</x:v>
      </x:c>
      <x:c r="F80" s="20" t="str"/>
      <x:c r="G80" s="20" t="str"/>
      <x:c r="H80" s="23" t="str">
        <x:v>2B 4A 53 46</x:v>
      </x:c>
    </x:row>
    <x:row r="81">
      <x:c r="A81" s="22" t="str">
        <x:v>byte</x:v>
      </x:c>
      <x:c r="B81" s="22" t="str">
        <x:v>79</x:v>
      </x:c>
      <x:c r="C81" s="22" t="str">
        <x:v>entity/name</x:v>
      </x:c>
      <x:c r="D81" s="21" t="str">
        <x:v>ひだるまじじい</x:v>
      </x:c>
      <x:c r="E81" s="19" t="str">
        <x:v>Burning Geezer</x:v>
      </x:c>
      <x:c r="F81" s="20" t="str"/>
      <x:c r="G81" s="20" t="str"/>
      <x:c r="H81" s="23" t="str">
        <x:v>27 56 53 4F 4A 4F 48 01 2C 46 46 5B 46 53</x:v>
      </x:c>
    </x:row>
    <x:row r="82">
      <x:c r="A82" s="22" t="str">
        <x:v>byte</x:v>
      </x:c>
      <x:c r="B82" s="22" t="str">
        <x:v>80</x:v>
      </x:c>
      <x:c r="C82" s="22" t="str">
        <x:v>entity/name</x:v>
      </x:c>
      <x:c r="D82" s="21" t="str">
        <x:v>かなしいひとだま</x:v>
      </x:c>
      <x:c r="E82" s="19" t="str">
        <x:v>Sad Will-o-Wisp</x:v>
      </x:c>
      <x:c r="F82" s="20" t="str"/>
      <x:c r="G82" s="20" t="str"/>
      <x:c r="H82" s="23" t="str">
        <x:v>0D 42 45 01 39 4A 4D 4D 1C 50 1C 39 4A 54 51</x:v>
      </x:c>
    </x:row>
    <x:row r="83">
      <x:c r="A83" s="22" t="str">
        <x:v>byte</x:v>
      </x:c>
      <x:c r="B83" s="22" t="str">
        <x:v>81</x:v>
      </x:c>
      <x:c r="C83" s="22" t="str">
        <x:v>entity/name</x:v>
      </x:c>
      <x:c r="D83" s="21" t="str">
        <x:v>ほっきょくぐも</x:v>
      </x:c>
      <x:c r="E83" s="19" t="str">
        <x:v>Arctic Spider</x:v>
      </x:c>
      <x:c r="F83" s="20" t="str"/>
      <x:c r="G83" s="20" t="str"/>
      <x:c r="H83" s="23" t="str">
        <x:v>26 53 44 55 4A 44 01 0D 51 4A 45 46 53</x:v>
      </x:c>
    </x:row>
    <x:row r="84">
      <x:c r="A84" s="22" t="str">
        <x:v>byte</x:v>
      </x:c>
      <x:c r="B84" s="22" t="str">
        <x:v>82</x:v>
      </x:c>
      <x:c r="C84" s="22" t="str">
        <x:v>entity/name</x:v>
      </x:c>
      <x:c r="D84" s="21" t="str">
        <x:v>コールデス</x:v>
      </x:c>
      <x:c r="E84" s="19" t="str">
        <x:v>Coldeath</x:v>
      </x:c>
      <x:c r="F84" s="20" t="str"/>
      <x:c r="G84" s="20" t="str"/>
      <x:c r="H84" s="23" t="str">
        <x:v>28 50 4D 45 46 42 55 49</x:v>
      </x:c>
    </x:row>
    <x:row r="85">
      <x:c r="A85" s="22" t="str">
        <x:v>byte</x:v>
      </x:c>
      <x:c r="B85" s="22" t="str">
        <x:v>83</x:v>
      </x:c>
      <x:c r="C85" s="22" t="str">
        <x:v>entity/name</x:v>
      </x:c>
      <x:c r="D85" s="21" t="str">
        <x:v>スナイパー</x:v>
      </x:c>
      <x:c r="E85" s="19" t="str">
        <x:v>Sniper</x:v>
      </x:c>
      <x:c r="F85" s="20" t="str"/>
      <x:c r="G85" s="20" t="str"/>
      <x:c r="H85" s="23" t="str">
        <x:v>0D 4F 4A 51 46 53</x:v>
      </x:c>
    </x:row>
    <x:row r="86">
      <x:c r="A86" s="22" t="str">
        <x:v>byte</x:v>
      </x:c>
      <x:c r="B86" s="22" t="str">
        <x:v>84</x:v>
      </x:c>
      <x:c r="C86" s="22" t="str">
        <x:v>entity/name</x:v>
      </x:c>
      <x:c r="D86" s="21" t="str">
        <x:v>アカイナズマ</x:v>
      </x:c>
      <x:c r="E86" s="19" t="str">
        <x:v>Red Lightning</x:v>
      </x:c>
      <x:c r="F86" s="20" t="str"/>
      <x:c r="G86" s="20" t="str"/>
      <x:c r="H86" s="23" t="str">
        <x:v>35 46 45 01 0C 4A 48 49 55 4F 4A 4F 48</x:v>
      </x:c>
    </x:row>
    <x:row r="87">
      <x:c r="A87" s="22" t="str">
        <x:v>byte</x:v>
      </x:c>
      <x:c r="B87" s="22" t="str">
        <x:v>85</x:v>
      </x:c>
      <x:c r="C87" s="22" t="str">
        <x:v>entity/name</x:v>
      </x:c>
      <x:c r="D87" s="21" t="str">
        <x:v>テンタクルス</x:v>
      </x:c>
      <x:c r="E87" s="19" t="str">
        <x:v>Tentacles</x:v>
      </x:c>
      <x:c r="F87" s="20" t="str"/>
      <x:c r="G87" s="20" t="str"/>
      <x:c r="H87" s="23" t="str">
        <x:v>36 46 4F 55 42 44 4D 46 54</x:v>
      </x:c>
    </x:row>
    <x:row r="88">
      <x:c r="A88" s="22" t="str">
        <x:v>byte</x:v>
      </x:c>
      <x:c r="B88" s="22" t="str">
        <x:v>86</x:v>
      </x:c>
      <x:c r="C88" s="22" t="str">
        <x:v>entity/name</x:v>
      </x:c>
      <x:c r="D88" s="21" t="str">
        <x:v>アイスマジシャン</x:v>
      </x:c>
      <x:c r="E88" s="19" t="str">
        <x:v>Ice Magician</x:v>
      </x:c>
      <x:c r="F88" s="20" t="str"/>
      <x:c r="G88" s="20" t="str"/>
      <x:c r="H88" s="23" t="str">
        <x:v>2E 44 46 01 31 42 48 4A 44 4A 42 4F</x:v>
      </x:c>
    </x:row>
    <x:row r="89">
      <x:c r="A89" s="22" t="str">
        <x:v>byte</x:v>
      </x:c>
      <x:c r="B89" s="22" t="str">
        <x:v>87</x:v>
      </x:c>
      <x:c r="C89" s="22" t="str">
        <x:v>entity/name</x:v>
      </x:c>
      <x:c r="D89" s="21" t="str">
        <x:v>ボディ</x:v>
      </x:c>
      <x:c r="E89" s="19" t="str">
        <x:v>Body</x:v>
      </x:c>
      <x:c r="F89" s="20" t="str"/>
      <x:c r="G89" s="20" t="str"/>
      <x:c r="H89" s="23" t="str">
        <x:v>27 50 45 5A</x:v>
      </x:c>
    </x:row>
    <x:row r="90">
      <x:c r="A90" s="22" t="str">
        <x:v>byte</x:v>
      </x:c>
      <x:c r="B90" s="22" t="str">
        <x:v>88</x:v>
      </x:c>
      <x:c r="C90" s="22" t="str">
        <x:v>entity/name</x:v>
      </x:c>
      <x:c r="D90" s="21" t="str">
        <x:v>アイスマッシュ</x:v>
      </x:c>
      <x:c r="E90" s="19" t="str">
        <x:v>Ice Mash</x:v>
      </x:c>
      <x:c r="F90" s="20" t="str"/>
      <x:c r="G90" s="20" t="str"/>
      <x:c r="H90" s="23" t="str">
        <x:v>2E 44 46 01 31 42 54 49</x:v>
      </x:c>
    </x:row>
    <x:row r="91">
      <x:c r="A91" s="22" t="str">
        <x:v>byte</x:v>
      </x:c>
      <x:c r="B91" s="22" t="str">
        <x:v>89</x:v>
      </x:c>
      <x:c r="C91" s="22" t="str">
        <x:v>entity/name</x:v>
      </x:c>
      <x:c r="D91" s="21" t="str">
        <x:v>サンズ</x:v>
      </x:c>
      <x:c r="E91" s="19" t="str">
        <x:v>Sands</x:v>
      </x:c>
      <x:c r="F91" s="20" t="str"/>
      <x:c r="G91" s="20" t="str"/>
      <x:c r="H91" s="23" t="str">
        <x:v>0D 42 4F 45 54</x:v>
      </x:c>
    </x:row>
    <x:row r="92">
      <x:c r="A92" s="22" t="str">
        <x:v>byte</x:v>
      </x:c>
      <x:c r="B92" s="22" t="str">
        <x:v>90</x:v>
      </x:c>
      <x:c r="C92" s="22" t="str">
        <x:v>entity/name</x:v>
      </x:c>
      <x:c r="D92" s="21" t="str">
        <x:v>ベビーバロン</x:v>
      </x:c>
      <x:c r="E92" s="19" t="str">
        <x:v>Baby Baron</x:v>
      </x:c>
      <x:c r="F92" s="20" t="str"/>
      <x:c r="G92" s="20" t="str"/>
      <x:c r="H92" s="23" t="str">
        <x:v>27 42 43 5A 01 27 42 53 50 4F</x:v>
      </x:c>
    </x:row>
    <x:row r="93">
      <x:c r="A93" s="22" t="str">
        <x:v>byte</x:v>
      </x:c>
      <x:c r="B93" s="22" t="str">
        <x:v>91</x:v>
      </x:c>
      <x:c r="C93" s="22" t="str">
        <x:v>entity/name</x:v>
      </x:c>
      <x:c r="D93" s="21" t="str">
        <x:v>むきむきおとこ</x:v>
      </x:c>
      <x:c r="E93" s="19" t="str">
        <x:v>Muscle Man</x:v>
      </x:c>
      <x:c r="F93" s="20" t="str"/>
      <x:c r="G93" s="20" t="str"/>
      <x:c r="H93" s="23" t="str">
        <x:v>31 56 54 44 4D 46 01 31 42 4F</x:v>
      </x:c>
    </x:row>
    <x:row r="94">
      <x:c r="A94" s="22" t="str">
        <x:v>byte</x:v>
      </x:c>
      <x:c r="B94" s="22" t="str">
        <x:v>92</x:v>
      </x:c>
      <x:c r="C94" s="22" t="str">
        <x:v>entity/name</x:v>
      </x:c>
      <x:c r="D94" s="21" t="str">
        <x:v>マジックキャット</x:v>
      </x:c>
      <x:c r="E94" s="19" t="str">
        <x:v>Magic Cat</x:v>
      </x:c>
      <x:c r="F94" s="20" t="str"/>
      <x:c r="G94" s="20" t="str"/>
      <x:c r="H94" s="23" t="str">
        <x:v>31 42 48 4A 44 01 28 42 55</x:v>
      </x:c>
    </x:row>
    <x:row r="95">
      <x:c r="A95" s="22" t="str">
        <x:v>byte</x:v>
      </x:c>
      <x:c r="B95" s="22" t="str">
        <x:v>93</x:v>
      </x:c>
      <x:c r="C95" s="22" t="str">
        <x:v>entity/name</x:v>
      </x:c>
      <x:c r="D95" s="21" t="str">
        <x:v>マジカール</x:v>
      </x:c>
      <x:c r="E95" s="19" t="str">
        <x:v>Magikarl</x:v>
      </x:c>
      <x:c r="F95" s="20" t="str"/>
      <x:c r="G95" s="20" t="str"/>
      <x:c r="H95" s="23" t="str">
        <x:v>31 42 48 4A 4C 42 53 4D</x:v>
      </x:c>
    </x:row>
    <x:row r="96">
      <x:c r="A96" s="22" t="str">
        <x:v>byte</x:v>
      </x:c>
      <x:c r="B96" s="22" t="str">
        <x:v>94</x:v>
      </x:c>
      <x:c r="C96" s="22" t="str">
        <x:v>entity/name</x:v>
      </x:c>
      <x:c r="D96" s="21" t="str">
        <x:v>スゴイカイフク</x:v>
      </x:c>
      <x:c r="E96" s="19" t="str">
        <x:v>Super Heal</x:v>
      </x:c>
      <x:c r="F96" s="20" t="str"/>
      <x:c r="G96" s="20" t="str"/>
      <x:c r="H96" s="23" t="str">
        <x:v>0D 56 51 46 53 01 2D 46 42 4D</x:v>
      </x:c>
    </x:row>
    <x:row r="97">
      <x:c r="A97" s="22" t="str">
        <x:v>byte</x:v>
      </x:c>
      <x:c r="B97" s="22" t="str">
        <x:v>95</x:v>
      </x:c>
      <x:c r="C97" s="22" t="str">
        <x:v>entity/name</x:v>
      </x:c>
      <x:c r="D97" s="21" t="str">
        <x:v>パワーミドラ</x:v>
      </x:c>
      <x:c r="E97" s="19" t="str">
        <x:v>Power Midora</x:v>
      </x:c>
      <x:c r="F97" s="20" t="str"/>
      <x:c r="G97" s="20" t="str"/>
      <x:c r="H97" s="23" t="str">
        <x:v>0E 50 58 46 53 01 31 4A 45 50 53 42</x:v>
      </x:c>
    </x:row>
    <x:row r="98">
      <x:c r="A98" s="22" t="str">
        <x:v>byte</x:v>
      </x:c>
      <x:c r="B98" s="22" t="str">
        <x:v>96</x:v>
      </x:c>
      <x:c r="C98" s="22" t="str">
        <x:v>entity/name</x:v>
      </x:c>
      <x:c r="D98" s="21" t="str">
        <x:v>どくゲロマスタ</x:v>
      </x:c>
      <x:c r="E98" s="19" t="str">
        <x:v>Poison Vomit Master</x:v>
      </x:c>
      <x:c r="F98" s="20" t="str"/>
      <x:c r="G98" s="20" t="str"/>
      <x:c r="H98" s="23" t="str">
        <x:v>0E 50 4A 54 50 4F 01 38 50 4E 4A 55 01 31 42 54 55 46 53</x:v>
      </x:c>
    </x:row>
    <x:row r="99">
      <x:c r="A99" s="22" t="str">
        <x:v>byte</x:v>
      </x:c>
      <x:c r="B99" s="22" t="str">
        <x:v>97</x:v>
      </x:c>
      <x:c r="C99" s="22" t="str">
        <x:v>entity/name</x:v>
      </x:c>
      <x:c r="D99" s="21" t="str">
        <x:v>ロボソルジャー</x:v>
      </x:c>
      <x:c r="E99" s="19" t="str">
        <x:v>Robo Soldier</x:v>
      </x:c>
      <x:c r="F99" s="20" t="str"/>
      <x:c r="G99" s="20" t="str"/>
      <x:c r="H99" s="23" t="str">
        <x:v>35 50 43 50 01 0D 50 4D 45 4A 46 53</x:v>
      </x:c>
    </x:row>
    <x:row r="100">
      <x:c r="A100" s="22" t="str">
        <x:v>byte</x:v>
      </x:c>
      <x:c r="B100" s="22" t="str">
        <x:v>98</x:v>
      </x:c>
      <x:c r="C100" s="22" t="str">
        <x:v>entity/name</x:v>
      </x:c>
      <x:c r="D100" s="21" t="str">
        <x:v>デビルズナイト</x:v>
      </x:c>
      <x:c r="E100" s="19" t="str">
        <x:v>Devil's Knight</x:v>
      </x:c>
      <x:c r="F100" s="20" t="str"/>
      <x:c r="G100" s="20" t="str"/>
      <x:c r="H100" s="23" t="str">
        <x:v>29 46 57 4A 4D 16 54 01 30 4F 4A 48 49 55</x:v>
      </x:c>
    </x:row>
    <x:row r="101">
      <x:c r="A101" s="22" t="str">
        <x:v>byte</x:v>
      </x:c>
      <x:c r="B101" s="22" t="str">
        <x:v>99</x:v>
      </x:c>
      <x:c r="C101" s="22" t="str">
        <x:v>entity/name</x:v>
      </x:c>
      <x:c r="D101" s="21" t="str">
        <x:v>レイハリーマン</x:v>
      </x:c>
      <x:c r="E101" s="19" t="str">
        <x:v>Reihariman</x:v>
      </x:c>
      <x:c r="F101" s="20" t="str"/>
      <x:c r="G101" s="20" t="str"/>
      <x:c r="H101" s="23" t="str">
        <x:v>35 46 4A 49 42 53 4A 4E 42 4F</x:v>
      </x:c>
    </x:row>
    <x:row r="102">
      <x:c r="A102" s="22" t="str">
        <x:v>byte</x:v>
      </x:c>
      <x:c r="B102" s="22" t="str">
        <x:v>100</x:v>
      </x:c>
      <x:c r="C102" s="22" t="str">
        <x:v>entity/name</x:v>
      </x:c>
      <x:c r="D102" s="21" t="str">
        <x:v>ブラックドラゴン</x:v>
      </x:c>
      <x:c r="E102" s="19" t="str">
        <x:v>Black Dragon</x:v>
      </x:c>
      <x:c r="F102" s="20" t="str"/>
      <x:c r="G102" s="20" t="str"/>
      <x:c r="H102" s="23" t="str">
        <x:v>27 4D 42 44 4C 01 29 53 42 48 50 4F</x:v>
      </x:c>
    </x:row>
    <x:row r="103">
      <x:c r="A103" s="22" t="str">
        <x:v>byte</x:v>
      </x:c>
      <x:c r="B103" s="22" t="str">
        <x:v>101</x:v>
      </x:c>
      <x:c r="C103" s="22" t="str">
        <x:v>entity/name</x:v>
      </x:c>
      <x:c r="D103" s="21" t="str">
        <x:v>ダイナマッド</x:v>
      </x:c>
      <x:c r="E103" s="19" t="str">
        <x:v>Dynamud</x:v>
      </x:c>
      <x:c r="F103" s="20" t="str"/>
      <x:c r="G103" s="20" t="str"/>
      <x:c r="H103" s="23" t="str">
        <x:v>29 5A 4F 42 4E 56 45</x:v>
      </x:c>
    </x:row>
    <x:row r="104">
      <x:c r="A104" s="22" t="str">
        <x:v>byte</x:v>
      </x:c>
      <x:c r="B104" s="22" t="str">
        <x:v>102</x:v>
      </x:c>
      <x:c r="C104" s="22" t="str">
        <x:v>entity/name</x:v>
      </x:c>
      <x:c r="D104" s="21" t="str">
        <x:v>しのはこ</x:v>
      </x:c>
      <x:c r="E104" s="19" t="str">
        <x:v>Death Box</x:v>
      </x:c>
      <x:c r="F104" s="20" t="str"/>
      <x:c r="G104" s="20" t="str"/>
      <x:c r="H104" s="23" t="str">
        <x:v>29 46 42 55 49 01 27 50 59</x:v>
      </x:c>
    </x:row>
    <x:row r="105">
      <x:c r="A105" s="22" t="str">
        <x:v>byte</x:v>
      </x:c>
      <x:c r="B105" s="22" t="str">
        <x:v>103</x:v>
      </x:c>
      <x:c r="C105" s="22" t="str">
        <x:v>entity/name</x:v>
      </x:c>
      <x:c r="D105" s="21" t="str">
        <x:v>よみのばんにん</x:v>
      </x:c>
      <x:c r="E105" s="19" t="str">
        <x:v>Underworld Guard</x:v>
      </x:c>
      <x:c r="F105" s="20" t="str"/>
      <x:c r="G105" s="20" t="str"/>
      <x:c r="H105" s="23" t="str">
        <x:v>37 4F 45 46 53 58 50 53 4D 45 01 2C 56 42 53 45</x:v>
      </x:c>
    </x:row>
    <x:row r="106">
      <x:c r="A106" s="22" t="str">
        <x:v>byte</x:v>
      </x:c>
      <x:c r="B106" s="22" t="str">
        <x:v>104</x:v>
      </x:c>
      <x:c r="C106" s="22" t="str">
        <x:v>entity/name</x:v>
      </x:c>
      <x:c r="D106" s="21" t="str">
        <x:v>ニンジャナイト</x:v>
      </x:c>
      <x:c r="E106" s="19" t="str">
        <x:v>Ninja Knight</x:v>
      </x:c>
      <x:c r="F106" s="20" t="str"/>
      <x:c r="G106" s="20" t="str"/>
      <x:c r="H106" s="23" t="str">
        <x:v>32 4A 4F 4B 42 01 30 4F 4A 48 49 55</x:v>
      </x:c>
    </x:row>
    <x:row r="107">
      <x:c r="A107" s="22" t="str">
        <x:v>byte</x:v>
      </x:c>
      <x:c r="B107" s="22" t="str">
        <x:v>105</x:v>
      </x:c>
      <x:c r="C107" s="22" t="str">
        <x:v>entity/name</x:v>
      </x:c>
      <x:c r="D107" s="21" t="str">
        <x:v>ベビーデビル</x:v>
      </x:c>
      <x:c r="E107" s="19" t="str">
        <x:v>Baby Devil</x:v>
      </x:c>
      <x:c r="F107" s="20" t="str"/>
      <x:c r="G107" s="20" t="str"/>
      <x:c r="H107" s="23" t="str">
        <x:v>27 42 43 5A 01 29 46 57 4A 4D</x:v>
      </x:c>
    </x:row>
    <x:row r="108">
      <x:c r="A108" s="22" t="str">
        <x:v>byte</x:v>
      </x:c>
      <x:c r="B108" s="22" t="str">
        <x:v>106</x:v>
      </x:c>
      <x:c r="C108" s="22" t="str">
        <x:v>entity/name</x:v>
      </x:c>
      <x:c r="D108" s="21" t="str">
        <x:v>ブラディナイト</x:v>
      </x:c>
      <x:c r="E108" s="19" t="str">
        <x:v>Bloody Knight</x:v>
      </x:c>
      <x:c r="F108" s="20" t="str"/>
      <x:c r="G108" s="20" t="str"/>
      <x:c r="H108" s="23" t="str">
        <x:v>27 4D 50 50 45 5A 01 30 4F 4A 48 49 55</x:v>
      </x:c>
    </x:row>
    <x:row r="109">
      <x:c r="A109" s="22" t="str">
        <x:v>byte</x:v>
      </x:c>
      <x:c r="B109" s="22" t="str">
        <x:v>107</x:v>
      </x:c>
      <x:c r="C109" s="22" t="str">
        <x:v>entity/name</x:v>
      </x:c>
      <x:c r="D109" s="21" t="str">
        <x:v>くされダイヤ</x:v>
      </x:c>
      <x:c r="E109" s="19" t="str">
        <x:v>Rotten Diamond</x:v>
      </x:c>
      <x:c r="F109" s="20" t="str"/>
      <x:c r="G109" s="20" t="str"/>
      <x:c r="H109" s="23" t="str">
        <x:v>35 50 55 55 46 4F 01 29 4A 42 4E 50 4F 45</x:v>
      </x:c>
    </x:row>
    <x:row r="110">
      <x:c r="A110" s="22" t="str">
        <x:v>byte</x:v>
      </x:c>
      <x:c r="B110" s="22" t="str">
        <x:v>108</x:v>
      </x:c>
      <x:c r="C110" s="22" t="str">
        <x:v>entity/name</x:v>
      </x:c>
      <x:c r="D110" s="21" t="str">
        <x:v>スカール</x:v>
      </x:c>
      <x:c r="E110" s="19" t="str">
        <x:v>Skull</x:v>
      </x:c>
      <x:c r="F110" s="20" t="str"/>
      <x:c r="G110" s="20" t="str"/>
      <x:c r="H110" s="23" t="str">
        <x:v>0D 4C 56 4D 4D</x:v>
      </x:c>
    </x:row>
    <x:row r="111">
      <x:c r="A111" s="22" t="str">
        <x:v>byte</x:v>
      </x:c>
      <x:c r="B111" s="22" t="str">
        <x:v>109</x:v>
      </x:c>
      <x:c r="C111" s="22" t="str">
        <x:v>entity/name</x:v>
      </x:c>
      <x:c r="D111" s="21" t="str">
        <x:v>ちをすうやいば</x:v>
      </x:c>
      <x:c r="E111" s="19" t="str">
        <x:v>Bloodsucking Blade</x:v>
      </x:c>
      <x:c r="F111" s="20" t="str"/>
      <x:c r="G111" s="20" t="str"/>
      <x:c r="H111" s="23" t="str">
        <x:v>27 4D 50 50 45 54 56 44 4C 4A 4F 48 01 27 4D 42 45 46</x:v>
      </x:c>
    </x:row>
    <x:row r="112">
      <x:c r="A112" s="22" t="str">
        <x:v>byte</x:v>
      </x:c>
      <x:c r="B112" s="22" t="str">
        <x:v>110</x:v>
      </x:c>
      <x:c r="C112" s="22" t="str">
        <x:v>entity/name</x:v>
      </x:c>
      <x:c r="D112" s="21" t="str">
        <x:v>ふっかつマイト</x:v>
      </x:c>
      <x:c r="E112" s="19" t="str">
        <x:v>Revival Might</x:v>
      </x:c>
      <x:c r="F112" s="20" t="str"/>
      <x:c r="G112" s="20" t="str"/>
      <x:c r="H112" s="23" t="str">
        <x:v>35 46 57 4A 57 42 4D 01 31 4A 48 49 55</x:v>
      </x:c>
    </x:row>
    <x:row r="113">
      <x:c r="A113" s="22" t="str">
        <x:v>byte</x:v>
      </x:c>
      <x:c r="B113" s="22" t="str">
        <x:v>111</x:v>
      </x:c>
      <x:c r="C113" s="22" t="str">
        <x:v>entity/name</x:v>
      </x:c>
      <x:c r="D113" s="21" t="str">
        <x:v>かいふくでかトマト</x:v>
      </x:c>
      <x:c r="E113" s="19" t="str">
        <x:v>Healing Jumbo Tomaton</x:v>
      </x:c>
      <x:c r="F113" s="20" t="str"/>
      <x:c r="G113" s="20" t="str"/>
      <x:c r="H113" s="23" t="str">
        <x:v>2D 46 42 4D 4A 4F 48 01 2F 56 4E 43 50 01 36 50 4E 42 55 50 4F</x:v>
      </x:c>
    </x:row>
    <x:row r="114">
      <x:c r="A114" s="22" t="str">
        <x:v>byte</x:v>
      </x:c>
      <x:c r="B114" s="22" t="str">
        <x:v>112</x:v>
      </x:c>
      <x:c r="C114" s="22" t="str">
        <x:v>entity/name</x:v>
      </x:c>
      <x:c r="D114" s="21" t="str">
        <x:v>マジックアーム</x:v>
      </x:c>
      <x:c r="E114" s="19" t="str">
        <x:v>Magic Arm</x:v>
      </x:c>
      <x:c r="F114" s="20" t="str"/>
      <x:c r="G114" s="20" t="str"/>
      <x:c r="H114" s="23" t="str">
        <x:v>31 42 48 4A 44 01 26 53 4E</x:v>
      </x:c>
    </x:row>
    <x:row r="115">
      <x:c r="A115" s="22" t="str">
        <x:v>byte</x:v>
      </x:c>
      <x:c r="B115" s="22" t="str">
        <x:v>113</x:v>
      </x:c>
      <x:c r="C115" s="22" t="str">
        <x:v>entity/name</x:v>
      </x:c>
      <x:c r="D115" s="21" t="str">
        <x:v>まにんぎょう</x:v>
      </x:c>
      <x:c r="E115" s="19" t="str">
        <x:v>Demon Doll</x:v>
      </x:c>
      <x:c r="F115" s="20" t="str"/>
      <x:c r="G115" s="20" t="str"/>
      <x:c r="H115" s="23" t="str">
        <x:v>29 46 4E 50 4F 01 29 50 4D 4D</x:v>
      </x:c>
    </x:row>
    <x:row r="116">
      <x:c r="A116" s="22" t="str">
        <x:v>byte</x:v>
      </x:c>
      <x:c r="B116" s="22" t="str">
        <x:v>114</x:v>
      </x:c>
      <x:c r="C116" s="22" t="str">
        <x:v>entity/name</x:v>
      </x:c>
      <x:c r="D116" s="21" t="str">
        <x:v>チェンジ</x:v>
      </x:c>
      <x:c r="E116" s="19" t="str">
        <x:v>Change</x:v>
      </x:c>
      <x:c r="F116" s="20" t="str"/>
      <x:c r="G116" s="20" t="str"/>
      <x:c r="H116" s="23" t="str">
        <x:v>28 49 42 4F 48 46</x:v>
      </x:c>
    </x:row>
    <x:row r="117">
      <x:c r="A117" s="22" t="str">
        <x:v>byte</x:v>
      </x:c>
      <x:c r="B117" s="22" t="str">
        <x:v>115</x:v>
      </x:c>
      <x:c r="C117" s="22" t="str">
        <x:v>entity/name</x:v>
      </x:c>
      <x:c r="D117" s="21" t="str">
        <x:v>おしごとあくま</x:v>
      </x:c>
      <x:c r="E117" s="19" t="str">
        <x:v>Work Devil</x:v>
      </x:c>
      <x:c r="F117" s="20" t="str"/>
      <x:c r="G117" s="20" t="str"/>
      <x:c r="H117" s="23" t="str">
        <x:v>39 50 53 4C 01 29 46 57 4A 4D</x:v>
      </x:c>
    </x:row>
    <x:row r="118">
      <x:c r="A118" s="22" t="str">
        <x:v>byte</x:v>
      </x:c>
      <x:c r="B118" s="22" t="str">
        <x:v>116</x:v>
      </x:c>
      <x:c r="C118" s="22" t="str">
        <x:v>entity/name</x:v>
      </x:c>
      <x:c r="D118" s="21" t="str">
        <x:v>きりさきジャック</x:v>
      </x:c>
      <x:c r="E118" s="19" t="str">
        <x:v>Ripper Jack</x:v>
      </x:c>
      <x:c r="F118" s="20" t="str"/>
      <x:c r="G118" s="20" t="str"/>
      <x:c r="H118" s="23" t="str">
        <x:v>35 4A 51 51 46 53 01 2F 42 44 4C</x:v>
      </x:c>
    </x:row>
    <x:row r="119">
      <x:c r="A119" s="22" t="str">
        <x:v>byte</x:v>
      </x:c>
      <x:c r="B119" s="22" t="str">
        <x:v>117</x:v>
      </x:c>
      <x:c r="C119" s="22" t="str">
        <x:v>entity/name</x:v>
      </x:c>
      <x:c r="D119" s="21" t="str">
        <x:v>かたいおとこ</x:v>
      </x:c>
      <x:c r="E119" s="19" t="str">
        <x:v>Tough Guy</x:v>
      </x:c>
      <x:c r="F119" s="20" t="str"/>
      <x:c r="G119" s="20" t="str"/>
      <x:c r="H119" s="23" t="str">
        <x:v>36 50 56 48 49 01 2C 56 5A</x:v>
      </x:c>
    </x:row>
    <x:row r="120">
      <x:c r="A120" s="22" t="str">
        <x:v>byte</x:v>
      </x:c>
      <x:c r="B120" s="22" t="str">
        <x:v>118</x:v>
      </x:c>
      <x:c r="C120" s="22" t="str">
        <x:v>entity/name</x:v>
      </x:c>
      <x:c r="D120" s="21" t="str">
        <x:v>パラノフリー</x:v>
      </x:c>
      <x:c r="E120" s="19" t="str">
        <x:v>Paranofree</x:v>
      </x:c>
      <x:c r="F120" s="20" t="str"/>
      <x:c r="G120" s="20" t="str"/>
      <x:c r="H120" s="23" t="str">
        <x:v>0E 42 53 42 4F 50 47 53 46 46</x:v>
      </x:c>
    </x:row>
    <x:row r="121">
      <x:c r="A121" s="22" t="str">
        <x:v>byte</x:v>
      </x:c>
      <x:c r="B121" s="22" t="str">
        <x:v>119</x:v>
      </x:c>
      <x:c r="C121" s="22" t="str">
        <x:v>entity/name</x:v>
      </x:c>
      <x:c r="D121" s="21" t="str">
        <x:v>ウイングドラゴン</x:v>
      </x:c>
      <x:c r="E121" s="19" t="str">
        <x:v>Wing Dragon</x:v>
      </x:c>
      <x:c r="F121" s="20" t="str"/>
      <x:c r="G121" s="20" t="str"/>
      <x:c r="H121" s="23" t="str">
        <x:v>39 4A 4F 48 01 29 53 42 48 50 4F</x:v>
      </x:c>
    </x:row>
    <x:row r="122">
      <x:c r="A122" s="22" t="str">
        <x:v>byte</x:v>
      </x:c>
      <x:c r="B122" s="22" t="str">
        <x:v>120</x:v>
      </x:c>
      <x:c r="C122" s="22" t="str">
        <x:v>entity/name</x:v>
      </x:c>
      <x:c r="D122" s="21" t="str">
        <x:v>あやしいはにわ</x:v>
      </x:c>
      <x:c r="E122" s="19" t="str">
        <x:v>Suspicious Haniwa</x:v>
      </x:c>
      <x:c r="F122" s="20" t="str"/>
      <x:c r="G122" s="20" t="str"/>
      <x:c r="H122" s="23" t="str">
        <x:v>0D 56 54 51 4A 44 4A 50 56 54 01 2D 42 4F 4A 58 42</x:v>
      </x:c>
    </x:row>
    <x:row r="123">
      <x:c r="A123" s="22" t="str">
        <x:v>byte</x:v>
      </x:c>
      <x:c r="B123" s="22" t="str">
        <x:v>121</x:v>
      </x:c>
      <x:c r="C123" s="22" t="str">
        <x:v>entity/name</x:v>
      </x:c>
      <x:c r="D123" s="21" t="str">
        <x:v>ナラスーベニール</x:v>
      </x:c>
      <x:c r="E123" s="19" t="str">
        <x:v>Nara Souvenir</x:v>
      </x:c>
      <x:c r="F123" s="20" t="str"/>
      <x:c r="G123" s="20" t="str"/>
      <x:c r="H123" s="23" t="str">
        <x:v>32 42 53 42 01 0D 50 56 57 46 4F 4A 53</x:v>
      </x:c>
    </x:row>
    <x:row r="124">
      <x:c r="A124" s="22" t="str">
        <x:v>byte</x:v>
      </x:c>
      <x:c r="B124" s="22" t="str">
        <x:v>122</x:v>
      </x:c>
      <x:c r="C124" s="22" t="str">
        <x:v>entity/name</x:v>
      </x:c>
      <x:c r="D124" s="21" t="str">
        <x:v>ハニワスター</x:v>
      </x:c>
      <x:c r="E124" s="19" t="str">
        <x:v>Haniwa Star</x:v>
      </x:c>
      <x:c r="F124" s="20" t="str"/>
      <x:c r="G124" s="20" t="str"/>
      <x:c r="H124" s="23" t="str">
        <x:v>2D 42 4F 4A 58 42 01 0D 55 42 53</x:v>
      </x:c>
    </x:row>
    <x:row r="125">
      <x:c r="A125" s="22" t="str">
        <x:v>byte</x:v>
      </x:c>
      <x:c r="B125" s="22" t="str">
        <x:v>123</x:v>
      </x:c>
      <x:c r="C125" s="22" t="str">
        <x:v>entity/name</x:v>
      </x:c>
      <x:c r="D125" s="21" t="str">
        <x:v>とけい</x:v>
      </x:c>
      <x:c r="E125" s="19" t="str">
        <x:v>Clock</x:v>
      </x:c>
      <x:c r="F125" s="20" t="str"/>
      <x:c r="G125" s="20" t="str"/>
      <x:c r="H125" s="23" t="str">
        <x:v>28 4D 50 44 4C</x:v>
      </x:c>
    </x:row>
    <x:row r="126">
      <x:c r="A126" s="22" t="str">
        <x:v>byte</x:v>
      </x:c>
      <x:c r="B126" s="22" t="str">
        <x:v>124</x:v>
      </x:c>
      <x:c r="C126" s="22" t="str">
        <x:v>entity/name</x:v>
      </x:c>
      <x:c r="D126" s="21" t="str">
        <x:v>しょくだい</x:v>
      </x:c>
      <x:c r="E126" s="19" t="str">
        <x:v>Candlestick</x:v>
      </x:c>
      <x:c r="F126" s="20" t="str"/>
      <x:c r="G126" s="20" t="str"/>
      <x:c r="H126" s="23" t="str">
        <x:v>28 42 4F 45 4D 46 54 55 4A 44 4C</x:v>
      </x:c>
    </x:row>
    <x:row r="127">
      <x:c r="A127" s="22" t="str">
        <x:v>byte</x:v>
      </x:c>
      <x:c r="B127" s="22" t="str">
        <x:v>125</x:v>
      </x:c>
      <x:c r="C127" s="22" t="str">
        <x:v>entity/name</x:v>
      </x:c>
      <x:c r="D127" s="21" t="str">
        <x:v>ベビーバロン</x:v>
      </x:c>
      <x:c r="E127" s="19" t="str">
        <x:v>Baby Baron</x:v>
      </x:c>
      <x:c r="F127" s="20" t="str"/>
      <x:c r="G127" s="20" t="str"/>
      <x:c r="H127" s="23" t="str">
        <x:v>27 42 43 5A 01 27 42 53 50 4F</x:v>
      </x:c>
    </x:row>
    <x:row r="128">
      <x:c r="A128" s="22" t="str">
        <x:v>byte</x:v>
      </x:c>
      <x:c r="B128" s="22" t="str">
        <x:v>126</x:v>
      </x:c>
      <x:c r="C128" s="22" t="str">
        <x:v>entity/name</x:v>
      </x:c>
      <x:c r="D128" s="21" t="str">
        <x:v>げんしドジー</x:v>
      </x:c>
      <x:c r="E128" s="19" t="str">
        <x:v>Primitive Dozy</x:v>
      </x:c>
      <x:c r="F128" s="20" t="str"/>
      <x:c r="G128" s="20" t="str"/>
      <x:c r="H128" s="23" t="str">
        <x:v>0E 53 4A 4E 4A 55 4A 57 46 01 29 50 5B 5A</x:v>
      </x:c>
    </x:row>
    <x:row r="129">
      <x:c r="A129" s="22" t="str">
        <x:v>byte</x:v>
      </x:c>
      <x:c r="B129" s="22" t="str">
        <x:v>127</x:v>
      </x:c>
      <x:c r="C129" s="22" t="str">
        <x:v>entity/name</x:v>
      </x:c>
      <x:c r="D129" s="21" t="str">
        <x:v>ゲスタフ</x:v>
      </x:c>
      <x:c r="E129" s="19" t="str">
        <x:v>Gustav</x:v>
      </x:c>
      <x:c r="F129" s="20" t="str"/>
      <x:c r="G129" s="20" t="str"/>
      <x:c r="H129" s="23" t="str">
        <x:v>2C 56 54 55 42 57</x:v>
      </x:c>
    </x:row>
    <x:row r="130">
      <x:c r="A130" s="22" t="str">
        <x:v>byte</x:v>
      </x:c>
      <x:c r="B130" s="22" t="str">
        <x:v>128</x:v>
      </x:c>
      <x:c r="C130" s="22" t="str">
        <x:v>entity/name</x:v>
      </x:c>
      <x:c r="D130" s="21" t="str">
        <x:v>ゲドー</x:v>
      </x:c>
      <x:c r="E130" s="19" t="str">
        <x:v>Gedo</x:v>
      </x:c>
      <x:c r="F130" s="20" t="str"/>
      <x:c r="G130" s="20" t="str"/>
      <x:c r="H130" s="23" t="str">
        <x:v>2C 46 45 50</x:v>
      </x:c>
    </x:row>
    <x:row r="131">
      <x:c r="A131" s="22" t="str">
        <x:v>byte</x:v>
      </x:c>
      <x:c r="B131" s="22" t="str">
        <x:v>129</x:v>
      </x:c>
      <x:c r="C131" s="22" t="str">
        <x:v>entity/name</x:v>
      </x:c>
      <x:c r="D131" s="21" t="str">
        <x:v>デモリン</x:v>
      </x:c>
      <x:c r="E131" s="19" t="str">
        <x:v>Demorin</x:v>
      </x:c>
      <x:c r="F131" s="20" t="str"/>
      <x:c r="G131" s="20" t="str"/>
      <x:c r="H131" s="23" t="str">
        <x:v>29 46 4E 50 53 4A 4F</x:v>
      </x:c>
    </x:row>
    <x:row r="132">
      <x:c r="A132" s="22" t="str">
        <x:v>byte</x:v>
      </x:c>
      <x:c r="B132" s="22" t="str">
        <x:v>130</x:v>
      </x:c>
      <x:c r="C132" s="22" t="str">
        <x:v>entity/name</x:v>
      </x:c>
      <x:c r="D132" s="21" t="str">
        <x:v>ミニー</x:v>
      </x:c>
      <x:c r="E132" s="19" t="str">
        <x:v>Minnie</x:v>
      </x:c>
      <x:c r="F132" s="20" t="str"/>
      <x:c r="G132" s="20" t="str"/>
      <x:c r="H132" s="23" t="str">
        <x:v>31 4A 4F 4F 4A 46</x:v>
      </x:c>
    </x:row>
    <x:row r="133">
      <x:c r="A133" s="22" t="str">
        <x:v>byte</x:v>
      </x:c>
      <x:c r="B133" s="22" t="str">
        <x:v>131</x:v>
      </x:c>
      <x:c r="C133" s="22" t="str">
        <x:v>entity/name</x:v>
      </x:c>
      <x:c r="D133" s="21" t="str">
        <x:v>ゆきぼう</x:v>
      </x:c>
      <x:c r="E133" s="19" t="str">
        <x:v>Yukibo</x:v>
      </x:c>
      <x:c r="F133" s="20" t="str"/>
      <x:c r="G133" s="20" t="str"/>
      <x:c r="H133" s="23" t="str">
        <x:v>0F 56 4C 4A 43 50</x:v>
      </x:c>
    </x:row>
    <x:row r="134">
      <x:c r="A134" s="22" t="str">
        <x:v>byte</x:v>
      </x:c>
      <x:c r="B134" s="22" t="str">
        <x:v>132</x:v>
      </x:c>
      <x:c r="C134" s="22" t="str">
        <x:v>entity/name</x:v>
      </x:c>
      <x:c r="D134" s="21" t="str">
        <x:v>ジェイビーペット</x:v>
      </x:c>
      <x:c r="E134" s="19" t="str">
        <x:v>J.B.'s Pet</x:v>
      </x:c>
      <x:c r="F134" s="20" t="str"/>
      <x:c r="G134" s="20" t="str"/>
      <x:c r="H134" s="23" t="str">
        <x:v>2F 1D 27 1D 16 54 01 0E 46 55</x:v>
      </x:c>
    </x:row>
    <x:row r="135">
      <x:c r="A135" s="22" t="str">
        <x:v>byte</x:v>
      </x:c>
      <x:c r="B135" s="22" t="str">
        <x:v>133</x:v>
      </x:c>
      <x:c r="C135" s="22" t="str">
        <x:v>entity/name</x:v>
      </x:c>
      <x:c r="D135" s="21" t="str">
        <x:v>にせレディ</x:v>
      </x:c>
      <x:c r="E135" s="19" t="str">
        <x:v>Fake Lady</x:v>
      </x:c>
      <x:c r="F135" s="20" t="str"/>
      <x:c r="G135" s="20" t="str"/>
      <x:c r="H135" s="23" t="str">
        <x:v>2B 42 4C 46 01 0C 42 45 5A</x:v>
      </x:c>
    </x:row>
    <x:row r="136">
      <x:c r="A136" s="22" t="str">
        <x:v>byte</x:v>
      </x:c>
      <x:c r="B136" s="22" t="str">
        <x:v>134</x:v>
      </x:c>
      <x:c r="C136" s="22" t="str">
        <x:v>entity/name</x:v>
      </x:c>
      <x:c r="D136" s="21" t="str">
        <x:v>にせコックス</x:v>
      </x:c>
      <x:c r="E136" s="19" t="str">
        <x:v>Fake Cox</x:v>
      </x:c>
      <x:c r="F136" s="20" t="str"/>
      <x:c r="G136" s="20" t="str"/>
      <x:c r="H136" s="23" t="str">
        <x:v>2B 42 4C 46 01 28 50 59</x:v>
      </x:c>
    </x:row>
    <x:row r="137">
      <x:c r="A137" s="22" t="str">
        <x:v>byte</x:v>
      </x:c>
      <x:c r="B137" s="22" t="str">
        <x:v>135</x:v>
      </x:c>
      <x:c r="C137" s="22" t="str">
        <x:v>entity/name</x:v>
      </x:c>
      <x:c r="D137" s="21" t="str">
        <x:v>にせヨシオ</x:v>
      </x:c>
      <x:c r="E137" s="19" t="str">
        <x:v>Fake Yoshio</x:v>
      </x:c>
      <x:c r="F137" s="20" t="str"/>
      <x:c r="G137" s="20" t="str"/>
      <x:c r="H137" s="23" t="str">
        <x:v>2B 42 4C 46 01 0F 50 54 49 4A 50</x:v>
      </x:c>
    </x:row>
    <x:row r="138">
      <x:c r="A138" s="22" t="str">
        <x:v>byte</x:v>
      </x:c>
      <x:c r="B138" s="22" t="str">
        <x:v>136</x:v>
      </x:c>
      <x:c r="C138" s="22" t="str">
        <x:v>entity/name</x:v>
      </x:c>
      <x:c r="D138" s="21" t="str">
        <x:v>ジェイビー</x:v>
      </x:c>
      <x:c r="E138" s="19" t="str">
        <x:v>J.B.</x:v>
      </x:c>
      <x:c r="F138" s="20" t="str"/>
      <x:c r="G138" s="20" t="str"/>
      <x:c r="H138" s="23" t="str">
        <x:v>2F 1D 27 1D</x:v>
      </x:c>
    </x:row>
    <x:row r="139">
      <x:c r="A139" s="22" t="str">
        <x:v>byte</x:v>
      </x:c>
      <x:c r="B139" s="22" t="str">
        <x:v>137</x:v>
      </x:c>
      <x:c r="C139" s="22" t="str">
        <x:v>entity/name</x:v>
      </x:c>
      <x:c r="D139" s="21" t="str">
        <x:v>ジャビー</x:v>
      </x:c>
      <x:c r="E139" s="19" t="str">
        <x:v>Jabby</x:v>
      </x:c>
      <x:c r="F139" s="20" t="str"/>
      <x:c r="G139" s="20" t="str"/>
      <x:c r="H139" s="23" t="str">
        <x:v>2F 42 43 43 5A</x:v>
      </x:c>
    </x:row>
    <x:row r="140">
      <x:c r="A140" s="22" t="str">
        <x:v>byte</x:v>
      </x:c>
      <x:c r="B140" s="22" t="str">
        <x:v>138</x:v>
      </x:c>
      <x:c r="C140" s="22" t="str">
        <x:v>entity/name</x:v>
      </x:c>
      <x:c r="D140" s="21" t="str">
        <x:v>すいどうだこ</x:v>
      </x:c>
      <x:c r="E140" s="19" t="str">
        <x:v>Sewer Octopus</x:v>
      </x:c>
      <x:c r="F140" s="20" t="str"/>
      <x:c r="G140" s="20" t="str"/>
      <x:c r="H140" s="23" t="str">
        <x:v>0D 46 58 46 53 01 33 44 55 50 51 56 54</x:v>
      </x:c>
    </x:row>
    <x:row r="141">
      <x:c r="A141" s="22" t="str">
        <x:v>byte</x:v>
      </x:c>
      <x:c r="B141" s="22" t="str">
        <x:v>139</x:v>
      </x:c>
      <x:c r="C141" s="22" t="str">
        <x:v>entity/name</x:v>
      </x:c>
      <x:c r="D141" s="21" t="str">
        <x:v>キングバロン</x:v>
      </x:c>
      <x:c r="E141" s="19" t="str">
        <x:v>King Baron</x:v>
      </x:c>
      <x:c r="F141" s="20" t="str"/>
      <x:c r="G141" s="20" t="str"/>
      <x:c r="H141" s="23" t="str">
        <x:v>30 4A 4F 48 01 27 42 53 50 4F</x:v>
      </x:c>
    </x:row>
    <x:row r="142">
      <x:c r="A142" s="22" t="str">
        <x:v>byte</x:v>
      </x:c>
      <x:c r="B142" s="22" t="str">
        <x:v>140</x:v>
      </x:c>
      <x:c r="C142" s="22" t="str">
        <x:v>entity/name</x:v>
      </x:c>
      <x:c r="D142" s="21" t="str">
        <x:v>むきむきヘッド</x:v>
      </x:c>
      <x:c r="E142" s="19" t="str">
        <x:v>Muscle Head</x:v>
      </x:c>
      <x:c r="F142" s="20" t="str"/>
      <x:c r="G142" s="20" t="str"/>
      <x:c r="H142" s="23" t="str">
        <x:v>31 56 54 44 4D 46 01 2D 46 42 45</x:v>
      </x:c>
    </x:row>
    <x:row r="143">
      <x:c r="A143" s="22" t="str">
        <x:v>byte</x:v>
      </x:c>
      <x:c r="B143" s="22" t="str">
        <x:v>141</x:v>
      </x:c>
      <x:c r="C143" s="22" t="str">
        <x:v>entity/name</x:v>
      </x:c>
      <x:c r="D143" s="21" t="str">
        <x:v>ドラゴンヘッド</x:v>
      </x:c>
      <x:c r="E143" s="19" t="str">
        <x:v>Dragon Head</x:v>
      </x:c>
      <x:c r="F143" s="20" t="str"/>
      <x:c r="G143" s="20" t="str"/>
      <x:c r="H143" s="23" t="str">
        <x:v>29 53 42 48 50 4F 01 2D 46 42 45</x:v>
      </x:c>
    </x:row>
    <x:row r="144">
      <x:c r="A144" s="22" t="str">
        <x:v>byte</x:v>
      </x:c>
      <x:c r="B144" s="22" t="str">
        <x:v>142</x:v>
      </x:c>
      <x:c r="C144" s="22" t="str">
        <x:v>entity/name</x:v>
      </x:c>
      <x:c r="D144" s="21" t="str">
        <x:v>はなちょうちん</x:v>
      </x:c>
      <x:c r="E144" s="19" t="str">
        <x:v>Nose Bubble</x:v>
      </x:c>
      <x:c r="F144" s="20" t="str"/>
      <x:c r="G144" s="20" t="str"/>
      <x:c r="H144" s="23" t="str">
        <x:v>32 50 54 46 01 27 56 43 43 4D 46</x:v>
      </x:c>
    </x:row>
    <x:row r="145">
      <x:c r="A145" s="22" t="str">
        <x:v>byte</x:v>
      </x:c>
      <x:c r="B145" s="22" t="str">
        <x:v>143</x:v>
      </x:c>
      <x:c r="C145" s="22" t="str">
        <x:v>entity/name</x:v>
      </x:c>
      <x:c r="D145" s="21" t="str"/>
      <x:c r="E145" s="19" t="str"/>
      <x:c r="F145" s="20" t="str"/>
      <x:c r="G145" s="20" t="str"/>
      <x:c r="H145" s="23" t="str"/>
    </x:row>
    <x:row r="146">
      <x:c r="A146" s="22" t="str">
        <x:v>byte</x:v>
      </x:c>
      <x:c r="B146" s="22" t="str">
        <x:v>144</x:v>
      </x:c>
      <x:c r="C146" s="22" t="str">
        <x:v>entity/name</x:v>
      </x:c>
      <x:c r="D146" s="21" t="str">
        <x:v>あ</x:v>
      </x:c>
      <x:c r="E146" s="19" t="str">
        <x:v>A</x:v>
      </x:c>
      <x:c r="F146" s="20" t="str"/>
      <x:c r="G146" s="20" t="str"/>
      <x:c r="H146" s="23" t="str">
        <x:v>26</x:v>
      </x:c>
    </x:row>
    <x:row r="147">
      <x:c r="A147" s="22" t="str">
        <x:v>byte</x:v>
      </x:c>
      <x:c r="B147" s="22" t="str">
        <x:v>145</x:v>
      </x:c>
      <x:c r="C147" s="22" t="str">
        <x:v>entity/name</x:v>
      </x:c>
      <x:c r="D147" s="21" t="str">
        <x:v>い</x:v>
      </x:c>
      <x:c r="E147" s="19" t="str">
        <x:v>I</x:v>
      </x:c>
      <x:c r="F147" s="20" t="str"/>
      <x:c r="G147" s="20" t="str"/>
      <x:c r="H147" s="23" t="str">
        <x:v>2E</x:v>
      </x:c>
    </x:row>
    <x:row r="148">
      <x:c r="A148" s="22" t="str">
        <x:v>byte</x:v>
      </x:c>
      <x:c r="B148" s="22" t="str">
        <x:v>146</x:v>
      </x:c>
      <x:c r="C148" s="22" t="str">
        <x:v>entity/name</x:v>
      </x:c>
      <x:c r="D148" s="21" t="str">
        <x:v>う</x:v>
      </x:c>
      <x:c r="E148" s="19" t="str">
        <x:v>U</x:v>
      </x:c>
      <x:c r="F148" s="20" t="str"/>
      <x:c r="G148" s="20" t="str"/>
      <x:c r="H148" s="23" t="str">
        <x:v>37</x:v>
      </x:c>
    </x:row>
    <x:row r="149">
      <x:c r="A149" s="22" t="str">
        <x:v>byte</x:v>
      </x:c>
      <x:c r="B149" s="22" t="str">
        <x:v>147</x:v>
      </x:c>
      <x:c r="C149" s="22" t="str">
        <x:v>entity/name</x:v>
      </x:c>
      <x:c r="D149" s="21" t="str">
        <x:v>ロッククラッシュ</x:v>
      </x:c>
      <x:c r="E149" s="19" t="str">
        <x:v>Rock Crush</x:v>
      </x:c>
      <x:c r="F149" s="20" t="str"/>
      <x:c r="G149" s="20" t="str"/>
      <x:c r="H149" s="23" t="str">
        <x:v>35 50 44 4C 01 28 53 56 54 49</x:v>
      </x:c>
    </x:row>
    <x:row r="150">
      <x:c r="A150" s="22" t="str">
        <x:v>byte</x:v>
      </x:c>
      <x:c r="B150" s="22" t="str">
        <x:v>148</x:v>
      </x:c>
      <x:c r="C150" s="22" t="str">
        <x:v>entity/name</x:v>
      </x:c>
      <x:c r="D150" s="21" t="str">
        <x:v>スティンガー</x:v>
      </x:c>
      <x:c r="E150" s="19" t="str">
        <x:v>Stinger</x:v>
      </x:c>
      <x:c r="F150" s="20" t="str"/>
      <x:c r="G150" s="20" t="str"/>
      <x:c r="H150" s="23" t="str">
        <x:v>0D 55 4A 4F 48 46 53</x:v>
      </x:c>
    </x:row>
    <x:row r="151">
      <x:c r="A151" s="22" t="str">
        <x:v>byte</x:v>
      </x:c>
      <x:c r="B151" s="22" t="str">
        <x:v>149</x:v>
      </x:c>
      <x:c r="C151" s="22" t="str">
        <x:v>entity/name</x:v>
      </x:c>
      <x:c r="D151" s="21" t="str">
        <x:v>スピンヒールキック</x:v>
      </x:c>
      <x:c r="E151" s="19" t="str">
        <x:v>Spin Heel Kick</x:v>
      </x:c>
      <x:c r="F151" s="20" t="str"/>
      <x:c r="G151" s="20" t="str"/>
      <x:c r="H151" s="23" t="str">
        <x:v>0D 51 4A 4F 01 2D 46 46 4D 01 30 4A 44 4C</x:v>
      </x:c>
    </x:row>
    <x:row r="152">
      <x:c r="A152" s="22" t="str">
        <x:v>byte</x:v>
      </x:c>
      <x:c r="B152" s="22" t="str">
        <x:v>150</x:v>
      </x:c>
      <x:c r="C152" s="22" t="str">
        <x:v>entity/name</x:v>
      </x:c>
      <x:c r="D152" s="21" t="str">
        <x:v>シャドウファング</x:v>
      </x:c>
      <x:c r="E152" s="19" t="str">
        <x:v>Shadow Fang</x:v>
      </x:c>
      <x:c r="F152" s="20" t="str"/>
      <x:c r="G152" s="20" t="str"/>
      <x:c r="H152" s="23" t="str">
        <x:v>0D 49 42 45 50 58 01 2B 42 4F 48</x:v>
      </x:c>
    </x:row>
    <x:row r="153">
      <x:c r="A153" s="22" t="str">
        <x:v>byte</x:v>
      </x:c>
      <x:c r="B153" s="22" t="str">
        <x:v>151</x:v>
      </x:c>
      <x:c r="C153" s="22" t="str">
        <x:v>entity/name</x:v>
      </x:c>
      <x:c r="D153" s="21" t="str">
        <x:v>サマーソルト</x:v>
      </x:c>
      <x:c r="E153" s="19" t="str">
        <x:v>Somersault</x:v>
      </x:c>
      <x:c r="F153" s="20" t="str"/>
      <x:c r="G153" s="20" t="str"/>
      <x:c r="H153" s="23" t="str">
        <x:v>0D 50 4E 46 53 54 42 56 4D 55</x:v>
      </x:c>
    </x:row>
    <x:row r="154">
      <x:c r="A154" s="22" t="str">
        <x:v>byte</x:v>
      </x:c>
      <x:c r="B154" s="22" t="str">
        <x:v>152</x:v>
      </x:c>
      <x:c r="C154" s="22" t="str">
        <x:v>entity/name</x:v>
      </x:c>
      <x:c r="D154" s="21" t="str">
        <x:v>ラットトラップ</x:v>
      </x:c>
      <x:c r="E154" s="19" t="str">
        <x:v>Rat Trap</x:v>
      </x:c>
      <x:c r="F154" s="20" t="str"/>
      <x:c r="G154" s="20" t="str"/>
      <x:c r="H154" s="23" t="str">
        <x:v>35 42 55 01 36 53 42 51</x:v>
      </x:c>
    </x:row>
    <x:row r="155">
      <x:c r="A155" s="22" t="str">
        <x:v>byte</x:v>
      </x:c>
      <x:c r="B155" s="22" t="str">
        <x:v>153</x:v>
      </x:c>
      <x:c r="C155" s="22" t="str">
        <x:v>entity/name</x:v>
      </x:c>
      <x:c r="D155" s="21" t="str">
        <x:v>レディスペシャル</x:v>
      </x:c>
      <x:c r="E155" s="19" t="str">
        <x:v>Lady Special</x:v>
      </x:c>
      <x:c r="F155" s="20" t="str"/>
      <x:c r="G155" s="20" t="str"/>
      <x:c r="H155" s="23" t="str">
        <x:v>0C 42 45 5A 01 0D 51 46 44 4A 42 4D</x:v>
      </x:c>
    </x:row>
    <x:row r="156">
      <x:c r="A156" s="22" t="str">
        <x:v>byte</x:v>
      </x:c>
      <x:c r="B156" s="22" t="str">
        <x:v>154</x:v>
      </x:c>
      <x:c r="C156" s="22" t="str">
        <x:v>entity/name</x:v>
      </x:c>
      <x:c r="D156" s="21" t="str">
        <x:v>ブランディッシュ</x:v>
      </x:c>
      <x:c r="E156" s="19" t="str">
        <x:v>Brandish</x:v>
      </x:c>
      <x:c r="F156" s="20" t="str"/>
      <x:c r="G156" s="20" t="str"/>
      <x:c r="H156" s="23" t="str">
        <x:v>27 53 42 4F 45 4A 54 49</x:v>
      </x:c>
    </x:row>
    <x:row r="157">
      <x:c r="A157" s="22" t="str">
        <x:v>byte</x:v>
      </x:c>
      <x:c r="B157" s="22" t="str">
        <x:v>155</x:v>
      </x:c>
      <x:c r="C157" s="22" t="str">
        <x:v>entity/name</x:v>
      </x:c>
      <x:c r="D157" s="21" t="str">
        <x:v>レディたち</x:v>
      </x:c>
      <x:c r="E157" s="19" t="str">
        <x:v>Lady's Party</x:v>
      </x:c>
      <x:c r="F157" s="20" t="str"/>
      <x:c r="G157" s="20" t="str"/>
      <x:c r="H157" s="23" t="str">
        <x:v>0C 42 45 5A 16 54 01 0E 42 53 55 5A</x:v>
      </x:c>
    </x:row>
    <x:row r="158">
      <x:c r="A158" s="22" t="str">
        <x:v>byte</x:v>
      </x:c>
      <x:c r="B158" s="22" t="str">
        <x:v>156</x:v>
      </x:c>
      <x:c r="C158" s="22" t="str">
        <x:v>entity/name</x:v>
      </x:c>
      <x:c r="D158" s="21" t="str"/>
      <x:c r="E158" s="19" t="str"/>
      <x:c r="F158" s="20" t="str"/>
      <x:c r="G158" s="20" t="str"/>
      <x:c r="H158" s="23" t="str"/>
    </x:row>
    <x:row r="159">
      <x:c r="A159" s="22" t="str">
        <x:v>byte</x:v>
      </x:c>
      <x:c r="B159" s="22" t="str">
        <x:v>157</x:v>
      </x:c>
      <x:c r="C159" s="22" t="str">
        <x:v>entity/name</x:v>
      </x:c>
      <x:c r="D159" s="21" t="str">
        <x:v>ボワ</x:v>
      </x:c>
      <x:c r="E159" s="19" t="str">
        <x:v>Bowa</x:v>
      </x:c>
      <x:c r="F159" s="20" t="str"/>
      <x:c r="G159" s="20" t="str"/>
      <x:c r="H159" s="23" t="str">
        <x:v>27 50 58 42</x:v>
      </x:c>
    </x:row>
    <x:row r="160">
      <x:c r="A160" s="22" t="str">
        <x:v>byte</x:v>
      </x:c>
      <x:c r="B160" s="22" t="str">
        <x:v>158</x:v>
      </x:c>
      <x:c r="C160" s="22" t="str">
        <x:v>entity/name</x:v>
      </x:c>
      <x:c r="D160" s="21" t="str">
        <x:v>ボワワ</x:v>
      </x:c>
      <x:c r="E160" s="19" t="str">
        <x:v>Bowawa</x:v>
      </x:c>
      <x:c r="F160" s="20" t="str"/>
      <x:c r="G160" s="20" t="str"/>
      <x:c r="H160" s="23" t="str">
        <x:v>27 50 58 42 58 42</x:v>
      </x:c>
    </x:row>
    <x:row r="161">
      <x:c r="A161" s="22" t="str">
        <x:v>byte</x:v>
      </x:c>
      <x:c r="B161" s="22" t="str">
        <x:v>159</x:v>
      </x:c>
      <x:c r="C161" s="22" t="str">
        <x:v>entity/name</x:v>
      </x:c>
      <x:c r="D161" s="21" t="str">
        <x:v>ズガ</x:v>
      </x:c>
      <x:c r="E161" s="19" t="str">
        <x:v>Zuga</x:v>
      </x:c>
      <x:c r="F161" s="20" t="str"/>
      <x:c r="G161" s="20" t="str"/>
      <x:c r="H161" s="23" t="str">
        <x:v>3B 56 48 42</x:v>
      </x:c>
    </x:row>
    <x:row r="162">
      <x:c r="A162" s="22" t="str">
        <x:v>byte</x:v>
      </x:c>
      <x:c r="B162" s="22" t="str">
        <x:v>160</x:v>
      </x:c>
      <x:c r="C162" s="22" t="str">
        <x:v>entity/name</x:v>
      </x:c>
      <x:c r="D162" s="21" t="str">
        <x:v>ズガガン</x:v>
      </x:c>
      <x:c r="E162" s="19" t="str">
        <x:v>Zugagan</x:v>
      </x:c>
      <x:c r="F162" s="20" t="str"/>
      <x:c r="G162" s="20" t="str"/>
      <x:c r="H162" s="23" t="str">
        <x:v>3B 56 48 42 48 42 4F</x:v>
      </x:c>
    </x:row>
    <x:row r="163">
      <x:c r="A163" s="22" t="str">
        <x:v>byte</x:v>
      </x:c>
      <x:c r="B163" s="22" t="str">
        <x:v>161</x:v>
      </x:c>
      <x:c r="C163" s="22" t="str">
        <x:v>entity/name</x:v>
      </x:c>
      <x:c r="D163" s="21" t="str">
        <x:v>ビカ</x:v>
      </x:c>
      <x:c r="E163" s="19" t="str">
        <x:v>Bika</x:v>
      </x:c>
      <x:c r="F163" s="20" t="str"/>
      <x:c r="G163" s="20" t="str"/>
      <x:c r="H163" s="23" t="str">
        <x:v>27 4A 4C 42</x:v>
      </x:c>
    </x:row>
    <x:row r="164">
      <x:c r="A164" s="22" t="str">
        <x:v>byte</x:v>
      </x:c>
      <x:c r="B164" s="22" t="str">
        <x:v>162</x:v>
      </x:c>
      <x:c r="C164" s="22" t="str">
        <x:v>entity/name</x:v>
      </x:c>
      <x:c r="D164" s="21" t="str">
        <x:v>ビカデカー</x:v>
      </x:c>
      <x:c r="E164" s="19" t="str">
        <x:v>Bikadeka</x:v>
      </x:c>
      <x:c r="F164" s="20" t="str"/>
      <x:c r="G164" s="20" t="str"/>
      <x:c r="H164" s="23" t="str">
        <x:v>27 4A 4C 42 45 46 4C 42</x:v>
      </x:c>
    </x:row>
    <x:row r="165">
      <x:c r="A165" s="22" t="str">
        <x:v>byte</x:v>
      </x:c>
      <x:c r="B165" s="22" t="str">
        <x:v>163</x:v>
      </x:c>
      <x:c r="C165" s="22" t="str">
        <x:v>entity/name</x:v>
      </x:c>
      <x:c r="D165" s="21" t="str">
        <x:v>コルド</x:v>
      </x:c>
      <x:c r="E165" s="19" t="str">
        <x:v>Kordo</x:v>
      </x:c>
      <x:c r="F165" s="20" t="str"/>
      <x:c r="G165" s="20" t="str"/>
      <x:c r="H165" s="23" t="str">
        <x:v>30 50 53 45 50</x:v>
      </x:c>
    </x:row>
    <x:row r="166">
      <x:c r="A166" s="22" t="str">
        <x:v>byte</x:v>
      </x:c>
      <x:c r="B166" s="22" t="str">
        <x:v>164</x:v>
      </x:c>
      <x:c r="C166" s="22" t="str">
        <x:v>entity/name</x:v>
      </x:c>
      <x:c r="D166" s="21" t="str">
        <x:v>ソーコルド</x:v>
      </x:c>
      <x:c r="E166" s="19" t="str">
        <x:v>So Kordo</x:v>
      </x:c>
      <x:c r="F166" s="20" t="str"/>
      <x:c r="G166" s="20" t="str"/>
      <x:c r="H166" s="23" t="str">
        <x:v>0D 50 01 30 50 53 45 50</x:v>
      </x:c>
    </x:row>
    <x:row r="167">
      <x:c r="A167" s="22" t="str">
        <x:v>byte</x:v>
      </x:c>
      <x:c r="B167" s="22" t="str">
        <x:v>165</x:v>
      </x:c>
      <x:c r="C167" s="22" t="str">
        <x:v>entity/name</x:v>
      </x:c>
      <x:c r="D167" s="21" t="str">
        <x:v>アイシー</x:v>
      </x:c>
      <x:c r="E167" s="19" t="str">
        <x:v>Icy</x:v>
      </x:c>
      <x:c r="F167" s="20" t="str"/>
      <x:c r="G167" s="20" t="str"/>
      <x:c r="H167" s="23" t="str">
        <x:v>2E 44 5A</x:v>
      </x:c>
    </x:row>
    <x:row r="168">
      <x:c r="A168" s="22" t="str">
        <x:v>byte</x:v>
      </x:c>
      <x:c r="B168" s="22" t="str">
        <x:v>166</x:v>
      </x:c>
      <x:c r="C168" s="22" t="str">
        <x:v>entity/name</x:v>
      </x:c>
      <x:c r="D168" s="21" t="str">
        <x:v>シニ</x:v>
      </x:c>
      <x:c r="E168" s="19" t="str">
        <x:v>Shini</x:v>
      </x:c>
      <x:c r="F168" s="20" t="str"/>
      <x:c r="G168" s="20" t="str"/>
      <x:c r="H168" s="23" t="str">
        <x:v>0D 49 4A 4F 4A</x:v>
      </x:c>
    </x:row>
    <x:row r="169">
      <x:c r="A169" s="22" t="str">
        <x:v>byte</x:v>
      </x:c>
      <x:c r="B169" s="22" t="str">
        <x:v>167</x:v>
      </x:c>
      <x:c r="C169" s="22" t="str">
        <x:v>entity/name</x:v>
      </x:c>
      <x:c r="D169" s="21" t="str">
        <x:v>シネネ</x:v>
      </x:c>
      <x:c r="E169" s="19" t="str">
        <x:v>Shinene</x:v>
      </x:c>
      <x:c r="F169" s="20" t="str"/>
      <x:c r="G169" s="20" t="str"/>
      <x:c r="H169" s="23" t="str">
        <x:v>0D 49 4A 4F 46 4F 46</x:v>
      </x:c>
    </x:row>
    <x:row r="170">
      <x:c r="A170" s="22" t="str">
        <x:v>byte</x:v>
      </x:c>
      <x:c r="B170" s="22" t="str">
        <x:v>168</x:v>
      </x:c>
      <x:c r="C170" s="22" t="str">
        <x:v>entity/name</x:v>
      </x:c>
      <x:c r="D170" s="21" t="str">
        <x:v>ダウン</x:v>
      </x:c>
      <x:c r="E170" s="19" t="str">
        <x:v>Down</x:v>
      </x:c>
      <x:c r="F170" s="20" t="str"/>
      <x:c r="G170" s="20" t="str"/>
      <x:c r="H170" s="23" t="str">
        <x:v>29 50 58 4F</x:v>
      </x:c>
    </x:row>
    <x:row r="171">
      <x:c r="A171" s="22" t="str">
        <x:v>byte</x:v>
      </x:c>
      <x:c r="B171" s="22" t="str">
        <x:v>169</x:v>
      </x:c>
      <x:c r="C171" s="22" t="str">
        <x:v>entity/name</x:v>
      </x:c>
      <x:c r="D171" s="21" t="str">
        <x:v>ソダウン</x:v>
      </x:c>
      <x:c r="E171" s="19" t="str">
        <x:v>So Down</x:v>
      </x:c>
      <x:c r="F171" s="20" t="str"/>
      <x:c r="G171" s="20" t="str"/>
      <x:c r="H171" s="23" t="str">
        <x:v>0D 50 01 29 50 58 4F</x:v>
      </x:c>
    </x:row>
    <x:row r="172">
      <x:c r="A172" s="22" t="str">
        <x:v>byte</x:v>
      </x:c>
      <x:c r="B172" s="22" t="str">
        <x:v>170</x:v>
      </x:c>
      <x:c r="C172" s="22" t="str">
        <x:v>entity/name</x:v>
      </x:c>
      <x:c r="D172" s="21" t="str">
        <x:v>ダマリーン</x:v>
      </x:c>
      <x:c r="E172" s="19" t="str">
        <x:v>Damarin</x:v>
      </x:c>
      <x:c r="F172" s="20" t="str"/>
      <x:c r="G172" s="20" t="str"/>
      <x:c r="H172" s="23" t="str">
        <x:v>29 42 4E 42 53 4A 4F</x:v>
      </x:c>
    </x:row>
    <x:row r="173">
      <x:c r="A173" s="22" t="str">
        <x:v>byte</x:v>
      </x:c>
      <x:c r="B173" s="22" t="str">
        <x:v>171</x:v>
      </x:c>
      <x:c r="C173" s="22" t="str">
        <x:v>entity/name</x:v>
      </x:c>
      <x:c r="D173" s="21" t="str">
        <x:v>チュー</x:v>
      </x:c>
      <x:c r="E173" s="19" t="str">
        <x:v>Chu</x:v>
      </x:c>
      <x:c r="F173" s="20" t="str"/>
      <x:c r="G173" s="20" t="str"/>
      <x:c r="H173" s="23" t="str">
        <x:v>28 49 56</x:v>
      </x:c>
    </x:row>
    <x:row r="174">
      <x:c r="A174" s="22" t="str">
        <x:v>byte</x:v>
      </x:c>
      <x:c r="B174" s="22" t="str">
        <x:v>172</x:v>
      </x:c>
      <x:c r="C174" s="22" t="str">
        <x:v>entity/name</x:v>
      </x:c>
      <x:c r="D174" s="21" t="str">
        <x:v>ダブラップ</x:v>
      </x:c>
      <x:c r="E174" s="19" t="str">
        <x:v>Double Up</x:v>
      </x:c>
      <x:c r="F174" s="20" t="str"/>
      <x:c r="G174" s="20" t="str"/>
      <x:c r="H174" s="23" t="str">
        <x:v>29 50 56 43 4D 46 01 37 51</x:v>
      </x:c>
    </x:row>
    <x:row r="175">
      <x:c r="A175" s="22" t="str">
        <x:v>byte</x:v>
      </x:c>
      <x:c r="B175" s="22" t="str">
        <x:v>173</x:v>
      </x:c>
      <x:c r="C175" s="22" t="str">
        <x:v>entity/name</x:v>
      </x:c>
      <x:c r="D175" s="21" t="str"/>
      <x:c r="E175" s="19" t="str"/>
      <x:c r="F175" s="20" t="str"/>
      <x:c r="G175" s="20" t="str"/>
      <x:c r="H175" s="23" t="str"/>
    </x:row>
    <x:row r="176">
      <x:c r="A176" s="22" t="str">
        <x:v>byte</x:v>
      </x:c>
      <x:c r="B176" s="22" t="str">
        <x:v>174</x:v>
      </x:c>
      <x:c r="C176" s="22" t="str">
        <x:v>entity/name</x:v>
      </x:c>
      <x:c r="D176" s="21" t="str">
        <x:v>アップ</x:v>
      </x:c>
      <x:c r="E176" s="19" t="str">
        <x:v>Up</x:v>
      </x:c>
      <x:c r="F176" s="20" t="str"/>
      <x:c r="G176" s="20" t="str"/>
      <x:c r="H176" s="23" t="str">
        <x:v>37 51</x:v>
      </x:c>
    </x:row>
    <x:row r="177">
      <x:c r="A177" s="22" t="str">
        <x:v>byte</x:v>
      </x:c>
      <x:c r="B177" s="22" t="str">
        <x:v>175</x:v>
      </x:c>
      <x:c r="C177" s="22" t="str">
        <x:v>entity/name</x:v>
      </x:c>
      <x:c r="D177" s="21" t="str">
        <x:v>ソアップ</x:v>
      </x:c>
      <x:c r="E177" s="19" t="str">
        <x:v>So Up</x:v>
      </x:c>
      <x:c r="F177" s="20" t="str"/>
      <x:c r="G177" s="20" t="str"/>
      <x:c r="H177" s="23" t="str">
        <x:v>0D 50 01 37 51</x:v>
      </x:c>
    </x:row>
    <x:row r="178">
      <x:c r="A178" s="22" t="str">
        <x:v>byte</x:v>
      </x:c>
      <x:c r="B178" s="22" t="str">
        <x:v>176</x:v>
      </x:c>
      <x:c r="C178" s="22" t="str">
        <x:v>entity/name</x:v>
      </x:c>
      <x:c r="D178" s="21" t="str">
        <x:v>マボロシ</x:v>
      </x:c>
      <x:c r="E178" s="19" t="str">
        <x:v>Maboroshi</x:v>
      </x:c>
      <x:c r="F178" s="20" t="str"/>
      <x:c r="G178" s="20" t="str"/>
      <x:c r="H178" s="23" t="str">
        <x:v>31 42 43 50 53 50 54 49 4A</x:v>
      </x:c>
    </x:row>
    <x:row r="179">
      <x:c r="A179" s="22" t="str">
        <x:v>byte</x:v>
      </x:c>
      <x:c r="B179" s="22" t="str">
        <x:v>177</x:v>
      </x:c>
      <x:c r="C179" s="22" t="str">
        <x:v>entity/name</x:v>
      </x:c>
      <x:c r="D179" s="21" t="str">
        <x:v>チャジ</x:v>
      </x:c>
      <x:c r="E179" s="19" t="str">
        <x:v>Chaji</x:v>
      </x:c>
      <x:c r="F179" s="20" t="str"/>
      <x:c r="G179" s="20" t="str"/>
      <x:c r="H179" s="23" t="str">
        <x:v>28 49 42 4B 4A</x:v>
      </x:c>
    </x:row>
    <x:row r="180">
      <x:c r="A180" s="22" t="str">
        <x:v>byte</x:v>
      </x:c>
      <x:c r="B180" s="22" t="str">
        <x:v>178</x:v>
      </x:c>
      <x:c r="C180" s="22" t="str">
        <x:v>entity/name</x:v>
      </x:c>
      <x:c r="D180" s="21" t="str">
        <x:v>チャージ</x:v>
      </x:c>
      <x:c r="E180" s="19" t="str">
        <x:v>Charge</x:v>
      </x:c>
      <x:c r="F180" s="20" t="str"/>
      <x:c r="G180" s="20" t="str"/>
      <x:c r="H180" s="23" t="str">
        <x:v>28 49 42 53 48 46</x:v>
      </x:c>
    </x:row>
    <x:row r="181">
      <x:c r="A181" s="22" t="str">
        <x:v>byte</x:v>
      </x:c>
      <x:c r="B181" s="22" t="str">
        <x:v>179</x:v>
      </x:c>
      <x:c r="C181" s="22" t="str">
        <x:v>entity/name</x:v>
      </x:c>
      <x:c r="D181" s="21" t="str">
        <x:v>フルチャ</x:v>
      </x:c>
      <x:c r="E181" s="19" t="str">
        <x:v>Full Charge</x:v>
      </x:c>
      <x:c r="F181" s="20" t="str"/>
      <x:c r="G181" s="20" t="str"/>
      <x:c r="H181" s="23" t="str">
        <x:v>2B 56 4D 4D 01 28 49 42 53 48 46</x:v>
      </x:c>
    </x:row>
    <x:row r="182">
      <x:c r="A182" s="22" t="str">
        <x:v>byte</x:v>
      </x:c>
      <x:c r="B182" s="22" t="str">
        <x:v>180</x:v>
      </x:c>
      <x:c r="C182" s="22" t="str">
        <x:v>entity/name</x:v>
      </x:c>
      <x:c r="D182" s="21" t="str">
        <x:v>ミナチャジ</x:v>
      </x:c>
      <x:c r="E182" s="19" t="str">
        <x:v>All Charge</x:v>
      </x:c>
      <x:c r="F182" s="20" t="str"/>
      <x:c r="G182" s="20" t="str"/>
      <x:c r="H182" s="23" t="str">
        <x:v>26 4D 4D 01 28 49 42 53 48 46</x:v>
      </x:c>
    </x:row>
    <x:row r="183">
      <x:c r="A183" s="22" t="str">
        <x:v>byte</x:v>
      </x:c>
      <x:c r="B183" s="22" t="str">
        <x:v>181</x:v>
      </x:c>
      <x:c r="C183" s="22" t="str">
        <x:v>entity/name</x:v>
      </x:c>
      <x:c r="D183" s="21" t="str">
        <x:v>ミナマンタン</x:v>
      </x:c>
      <x:c r="E183" s="19" t="str">
        <x:v>Full Restore</x:v>
      </x:c>
      <x:c r="F183" s="20" t="str"/>
      <x:c r="G183" s="20" t="str"/>
      <x:c r="H183" s="23" t="str">
        <x:v>2B 56 4D 4D 01 35 46 54 55 50 53 46</x:v>
      </x:c>
    </x:row>
    <x:row r="184">
      <x:c r="A184" s="22" t="str">
        <x:v>byte</x:v>
      </x:c>
      <x:c r="B184" s="22" t="str">
        <x:v>182</x:v>
      </x:c>
      <x:c r="C184" s="22" t="str">
        <x:v>entity/name</x:v>
      </x:c>
      <x:c r="D184" s="21" t="str">
        <x:v>チャネル</x:v>
      </x:c>
      <x:c r="E184" s="19" t="str">
        <x:v>Channel</x:v>
      </x:c>
      <x:c r="F184" s="20" t="str"/>
      <x:c r="G184" s="20" t="str"/>
      <x:c r="H184" s="23" t="str">
        <x:v>28 49 42 4F 4F 46 4D</x:v>
      </x:c>
    </x:row>
    <x:row r="185">
      <x:c r="A185" s="22" t="str">
        <x:v>byte</x:v>
      </x:c>
      <x:c r="B185" s="22" t="str">
        <x:v>183</x:v>
      </x:c>
      <x:c r="C185" s="22" t="str">
        <x:v>entity/name</x:v>
      </x:c>
      <x:c r="D185" s="21" t="str">
        <x:v>リンネル</x:v>
      </x:c>
      <x:c r="E185" s="19" t="str">
        <x:v>Rinnel</x:v>
      </x:c>
      <x:c r="F185" s="20" t="str"/>
      <x:c r="G185" s="20" t="str"/>
      <x:c r="H185" s="23" t="str">
        <x:v>35 4A 4F 4F 46 4D</x:v>
      </x:c>
    </x:row>
    <x:row r="186">
      <x:c r="A186" s="22" t="str">
        <x:v>byte</x:v>
      </x:c>
      <x:c r="B186" s="22" t="str">
        <x:v>184</x:v>
      </x:c>
      <x:c r="C186" s="22" t="str">
        <x:v>entity/name</x:v>
      </x:c>
      <x:c r="D186" s="21" t="str">
        <x:v>チュウワ</x:v>
      </x:c>
      <x:c r="E186" s="19" t="str">
        <x:v>Chuwa</x:v>
      </x:c>
      <x:c r="F186" s="20" t="str"/>
      <x:c r="G186" s="20" t="str"/>
      <x:c r="H186" s="23" t="str">
        <x:v>28 49 56 58 42</x:v>
      </x:c>
    </x:row>
    <x:row r="187">
      <x:c r="A187" s="22" t="str">
        <x:v>byte</x:v>
      </x:c>
      <x:c r="B187" s="22" t="str">
        <x:v>185</x:v>
      </x:c>
      <x:c r="C187" s="22" t="str">
        <x:v>entity/name</x:v>
      </x:c>
      <x:c r="D187" s="21" t="str">
        <x:v>ザップ</x:v>
      </x:c>
      <x:c r="E187" s="19" t="str">
        <x:v>Zap</x:v>
      </x:c>
      <x:c r="F187" s="20" t="str"/>
      <x:c r="G187" s="20" t="str"/>
      <x:c r="H187" s="23" t="str">
        <x:v>3B 42 51</x:v>
      </x:c>
    </x:row>
    <x:row r="188">
      <x:c r="A188" s="22" t="str">
        <x:v>byte</x:v>
      </x:c>
      <x:c r="B188" s="22" t="str">
        <x:v>186</x:v>
      </x:c>
      <x:c r="C188" s="22" t="str">
        <x:v>entity/name</x:v>
      </x:c>
      <x:c r="D188" s="21" t="str">
        <x:v>テンソー</x:v>
      </x:c>
      <x:c r="E188" s="19" t="str">
        <x:v>Tenso</x:v>
      </x:c>
      <x:c r="F188" s="20" t="str"/>
      <x:c r="G188" s="20" t="str"/>
      <x:c r="H188" s="23" t="str">
        <x:v>36 46 4F 54 50</x:v>
      </x:c>
    </x:row>
    <x:row r="189">
      <x:c r="A189" s="22" t="str">
        <x:v>byte</x:v>
      </x:c>
      <x:c r="B189" s="22" t="str">
        <x:v>187</x:v>
      </x:c>
      <x:c r="C189" s="22" t="str">
        <x:v>entity/name</x:v>
      </x:c>
      <x:c r="D189" s="21" t="str">
        <x:v>ザコナイ</x:v>
      </x:c>
      <x:c r="E189" s="19" t="str">
        <x:v>Zakonai</x:v>
      </x:c>
      <x:c r="F189" s="20" t="str"/>
      <x:c r="G189" s="20" t="str"/>
      <x:c r="H189" s="23" t="str">
        <x:v>3B 42 4C 50 4F 42 4A</x:v>
      </x:c>
    </x:row>
    <x:row r="190">
      <x:c r="A190" s="22" t="str">
        <x:v>byte</x:v>
      </x:c>
      <x:c r="B190" s="22" t="str">
        <x:v>188</x:v>
      </x:c>
      <x:c r="C190" s="22" t="str">
        <x:v>entity/name</x:v>
      </x:c>
      <x:c r="D190" s="21" t="str">
        <x:v>ゴムグツ</x:v>
      </x:c>
      <x:c r="E190" s="19" t="str">
        <x:v>Rubber Boots</x:v>
      </x:c>
      <x:c r="F190" s="20" t="str"/>
      <x:c r="G190" s="20" t="str"/>
      <x:c r="H190" s="23" t="str">
        <x:v>35 56 43 43 46 53 01 27 50 50 55 54</x:v>
      </x:c>
    </x:row>
    <x:row r="191">
      <x:c r="A191" s="22" t="str">
        <x:v>byte</x:v>
      </x:c>
      <x:c r="B191" s="22" t="str">
        <x:v>189</x:v>
      </x:c>
      <x:c r="C191" s="22" t="str">
        <x:v>entity/name</x:v>
      </x:c>
      <x:c r="D191" s="21" t="str">
        <x:v>ネムネム</x:v>
      </x:c>
      <x:c r="E191" s="19" t="str">
        <x:v>Sleepy</x:v>
      </x:c>
      <x:c r="F191" s="20" t="str"/>
      <x:c r="G191" s="20" t="str"/>
      <x:c r="H191" s="23" t="str">
        <x:v>0D 4D 46 46 51 5A</x:v>
      </x:c>
    </x:row>
    <x:row r="192">
      <x:c r="A192" s="22" t="str">
        <x:v>byte</x:v>
      </x:c>
      <x:c r="B192" s="22" t="str">
        <x:v>190</x:v>
      </x:c>
      <x:c r="C192" s="22" t="str">
        <x:v>entity/name</x:v>
      </x:c>
      <x:c r="D192" s="21" t="str">
        <x:v>ネムグーグ</x:v>
      </x:c>
      <x:c r="E192" s="19" t="str">
        <x:v>Deep Sleep</x:v>
      </x:c>
      <x:c r="F192" s="20" t="str"/>
      <x:c r="G192" s="20" t="str"/>
      <x:c r="H192" s="23" t="str">
        <x:v>29 46 46 51 01 0D 4D 46 46 51</x:v>
      </x:c>
    </x:row>
    <x:row r="193">
      <x:c r="A193" s="22" t="str">
        <x:v>byte</x:v>
      </x:c>
      <x:c r="B193" s="22" t="str">
        <x:v>191</x:v>
      </x:c>
      <x:c r="C193" s="22" t="str">
        <x:v>entity/name</x:v>
      </x:c>
      <x:c r="D193" s="21" t="str">
        <x:v>ジバック</x:v>
      </x:c>
      <x:c r="E193" s="19" t="str">
        <x:v>Jibaku</x:v>
      </x:c>
      <x:c r="F193" s="20" t="str"/>
      <x:c r="G193" s="20" t="str"/>
      <x:c r="H193" s="23" t="str">
        <x:v>2F 4A 43 42 4C 56</x:v>
      </x:c>
    </x:row>
    <x:row r="194">
      <x:c r="A194" s="22" t="str">
        <x:v>byte</x:v>
      </x:c>
      <x:c r="B194" s="22" t="str">
        <x:v>192</x:v>
      </x:c>
      <x:c r="C194" s="22" t="str">
        <x:v>entity/name</x:v>
      </x:c>
      <x:c r="D194" s="21" t="str">
        <x:v>バクジバ</x:v>
      </x:c>
      <x:c r="E194" s="19" t="str">
        <x:v>Bakujiba</x:v>
      </x:c>
      <x:c r="F194" s="20" t="str"/>
      <x:c r="G194" s="20" t="str"/>
      <x:c r="H194" s="23" t="str">
        <x:v>27 42 4C 56 4B 4A 43 42</x:v>
      </x:c>
    </x:row>
    <x:row r="195">
      <x:c r="A195" s="22" t="str">
        <x:v>byte</x:v>
      </x:c>
      <x:c r="B195" s="22" t="str">
        <x:v>193</x:v>
      </x:c>
      <x:c r="C195" s="22" t="str">
        <x:v>entity/name</x:v>
      </x:c>
      <x:c r="D195" s="21" t="str">
        <x:v>ボワ</x:v>
      </x:c>
      <x:c r="E195" s="19" t="str">
        <x:v>Bowa</x:v>
      </x:c>
      <x:c r="F195" s="20" t="str"/>
      <x:c r="G195" s="20" t="str"/>
      <x:c r="H195" s="23" t="str">
        <x:v>27 50 58 42</x:v>
      </x:c>
    </x:row>
    <x:row r="196">
      <x:c r="A196" s="22" t="str">
        <x:v>byte</x:v>
      </x:c>
      <x:c r="B196" s="22" t="str">
        <x:v>194</x:v>
      </x:c>
      <x:c r="C196" s="22" t="str">
        <x:v>entity/name</x:v>
      </x:c>
      <x:c r="D196" s="21" t="str">
        <x:v>ボワワ</x:v>
      </x:c>
      <x:c r="E196" s="19" t="str">
        <x:v>Bowawa</x:v>
      </x:c>
      <x:c r="F196" s="20" t="str"/>
      <x:c r="G196" s="20" t="str"/>
      <x:c r="H196" s="23" t="str">
        <x:v>27 50 58 42 58 42</x:v>
      </x:c>
    </x:row>
    <x:row r="197">
      <x:c r="A197" s="22" t="str">
        <x:v>byte</x:v>
      </x:c>
      <x:c r="B197" s="22" t="str">
        <x:v>195</x:v>
      </x:c>
      <x:c r="C197" s="22" t="str">
        <x:v>entity/name</x:v>
      </x:c>
      <x:c r="D197" s="21" t="str">
        <x:v>ズガ</x:v>
      </x:c>
      <x:c r="E197" s="19" t="str">
        <x:v>Zuga</x:v>
      </x:c>
      <x:c r="F197" s="20" t="str"/>
      <x:c r="G197" s="20" t="str"/>
      <x:c r="H197" s="23" t="str">
        <x:v>3B 56 48 42</x:v>
      </x:c>
    </x:row>
    <x:row r="198">
      <x:c r="A198" s="22" t="str">
        <x:v>byte</x:v>
      </x:c>
      <x:c r="B198" s="22" t="str">
        <x:v>196</x:v>
      </x:c>
      <x:c r="C198" s="22" t="str">
        <x:v>entity/name</x:v>
      </x:c>
      <x:c r="D198" s="21" t="str">
        <x:v>ズガガン</x:v>
      </x:c>
      <x:c r="E198" s="19" t="str">
        <x:v>Zugagan</x:v>
      </x:c>
      <x:c r="F198" s="20" t="str"/>
      <x:c r="G198" s="20" t="str"/>
      <x:c r="H198" s="23" t="str">
        <x:v>3B 56 48 42 48 42 4F</x:v>
      </x:c>
    </x:row>
    <x:row r="199">
      <x:c r="A199" s="22" t="str">
        <x:v>byte</x:v>
      </x:c>
      <x:c r="B199" s="22" t="str">
        <x:v>197</x:v>
      </x:c>
      <x:c r="C199" s="22" t="str">
        <x:v>entity/name</x:v>
      </x:c>
      <x:c r="D199" s="21" t="str">
        <x:v>アイシー</x:v>
      </x:c>
      <x:c r="E199" s="19" t="str">
        <x:v>Icy</x:v>
      </x:c>
      <x:c r="F199" s="20" t="str"/>
      <x:c r="G199" s="20" t="str"/>
      <x:c r="H199" s="23" t="str">
        <x:v>2E 44 5A</x:v>
      </x:c>
    </x:row>
    <x:row r="200">
      <x:c r="A200" s="22" t="str">
        <x:v>byte</x:v>
      </x:c>
      <x:c r="B200" s="22" t="str">
        <x:v>198</x:v>
      </x:c>
      <x:c r="C200" s="22" t="str">
        <x:v>entity/name</x:v>
      </x:c>
      <x:c r="D200" s="21" t="str">
        <x:v>ビカデカー</x:v>
      </x:c>
      <x:c r="E200" s="19" t="str">
        <x:v>Bikadeka</x:v>
      </x:c>
      <x:c r="F200" s="20" t="str"/>
      <x:c r="G200" s="20" t="str"/>
      <x:c r="H200" s="23" t="str">
        <x:v>27 4A 4C 42 45 46 4C 42</x:v>
      </x:c>
    </x:row>
    <x:row r="201">
      <x:c r="A201" s="22" t="str">
        <x:v>byte</x:v>
      </x:c>
      <x:c r="B201" s="22" t="str">
        <x:v>199</x:v>
      </x:c>
      <x:c r="C201" s="22" t="str">
        <x:v>entity/name</x:v>
      </x:c>
      <x:c r="D201" s="21" t="str"/>
      <x:c r="E201" s="19" t="str"/>
      <x:c r="F201" s="20" t="str"/>
      <x:c r="G201" s="20" t="str"/>
      <x:c r="H201" s="23" t="str"/>
    </x:row>
    <x:row r="202">
      <x:c r="A202" s="22" t="str">
        <x:v>byte</x:v>
      </x:c>
      <x:c r="B202" s="22" t="str">
        <x:v>200</x:v>
      </x:c>
      <x:c r="C202" s="22" t="str">
        <x:v>entity/name</x:v>
      </x:c>
      <x:c r="D202" s="21" t="str"/>
      <x:c r="E202" s="19" t="str"/>
      <x:c r="F202" s="20" t="str"/>
      <x:c r="G202" s="20" t="str"/>
      <x:c r="H202" s="23" t="str"/>
    </x:row>
    <x:row r="203">
      <x:c r="A203" s="22" t="str">
        <x:v>byte</x:v>
      </x:c>
      <x:c r="B203" s="22" t="str">
        <x:v>201</x:v>
      </x:c>
      <x:c r="C203" s="22" t="str">
        <x:v>entity/name</x:v>
      </x:c>
      <x:c r="D203" s="21" t="str"/>
      <x:c r="E203" s="19" t="str"/>
      <x:c r="F203" s="20" t="str"/>
      <x:c r="G203" s="20" t="str"/>
      <x:c r="H203" s="23" t="str"/>
    </x:row>
    <x:row r="204">
      <x:c r="A204" s="22" t="str">
        <x:v>byte</x:v>
      </x:c>
      <x:c r="B204" s="22" t="str">
        <x:v>202</x:v>
      </x:c>
      <x:c r="C204" s="22" t="str">
        <x:v>entity/name</x:v>
      </x:c>
      <x:c r="D204" s="21" t="str"/>
      <x:c r="E204" s="19" t="str"/>
      <x:c r="F204" s="20" t="str"/>
      <x:c r="G204" s="20" t="str"/>
      <x:c r="H204" s="23" t="str"/>
    </x:row>
    <x:row r="205">
      <x:c r="A205" s="22" t="str">
        <x:v>byte</x:v>
      </x:c>
      <x:c r="B205" s="22" t="str">
        <x:v>203</x:v>
      </x:c>
      <x:c r="C205" s="22" t="str">
        <x:v>entity/name</x:v>
      </x:c>
      <x:c r="D205" s="21" t="str"/>
      <x:c r="E205" s="19" t="str"/>
      <x:c r="F205" s="20" t="str"/>
      <x:c r="G205" s="20" t="str"/>
      <x:c r="H205" s="23" t="str"/>
    </x:row>
    <x:row r="206">
      <x:c r="A206" s="22" t="str">
        <x:v>byte</x:v>
      </x:c>
      <x:c r="B206" s="22" t="str">
        <x:v>204</x:v>
      </x:c>
      <x:c r="C206" s="22" t="str">
        <x:v>entity/name</x:v>
      </x:c>
      <x:c r="D206" s="21" t="str"/>
      <x:c r="E206" s="19" t="str"/>
      <x:c r="F206" s="20" t="str"/>
      <x:c r="G206" s="20" t="str"/>
      <x:c r="H206" s="23" t="str"/>
    </x:row>
    <x:row r="207">
      <x:c r="A207" s="22" t="str">
        <x:v>byte</x:v>
      </x:c>
      <x:c r="B207" s="22" t="str">
        <x:v>205</x:v>
      </x:c>
      <x:c r="C207" s="22" t="str">
        <x:v>entity/name</x:v>
      </x:c>
      <x:c r="D207" s="21" t="str"/>
      <x:c r="E207" s="19" t="str"/>
      <x:c r="F207" s="20" t="str"/>
      <x:c r="G207" s="20" t="str"/>
      <x:c r="H207" s="23" t="str"/>
    </x:row>
    <x:row r="208">
      <x:c r="A208" s="22" t="str">
        <x:v>byte</x:v>
      </x:c>
      <x:c r="B208" s="22" t="str">
        <x:v>206</x:v>
      </x:c>
      <x:c r="C208" s="22" t="str">
        <x:v>entity/name</x:v>
      </x:c>
      <x:c r="D208" s="21" t="str"/>
      <x:c r="E208" s="19" t="str"/>
      <x:c r="F208" s="20" t="str"/>
      <x:c r="G208" s="20" t="str"/>
      <x:c r="H208" s="23" t="str"/>
    </x:row>
    <x:row r="209">
      <x:c r="A209" s="22" t="str">
        <x:v>byte</x:v>
      </x:c>
      <x:c r="B209" s="22" t="str">
        <x:v>207</x:v>
      </x:c>
      <x:c r="C209" s="22" t="str">
        <x:v>entity/name</x:v>
      </x:c>
      <x:c r="D209" s="21" t="str"/>
      <x:c r="E209" s="19" t="str"/>
      <x:c r="F209" s="20" t="str"/>
      <x:c r="G209" s="20" t="str"/>
      <x:c r="H209" s="23" t="str"/>
    </x:row>
    <x:row r="210">
      <x:c r="A210" s="22" t="str">
        <x:v>byte</x:v>
      </x:c>
      <x:c r="B210" s="22" t="str">
        <x:v>208</x:v>
      </x:c>
      <x:c r="C210" s="22" t="str">
        <x:v>entity/name</x:v>
      </x:c>
      <x:c r="D210" s="21" t="str"/>
      <x:c r="E210" s="19" t="str"/>
      <x:c r="F210" s="20" t="str"/>
      <x:c r="G210" s="20" t="str"/>
      <x:c r="H210" s="23" t="str"/>
    </x:row>
    <x:row r="211">
      <x:c r="A211" s="22" t="str">
        <x:v>byte</x:v>
      </x:c>
      <x:c r="B211" s="22" t="str">
        <x:v>209</x:v>
      </x:c>
      <x:c r="C211" s="22" t="str">
        <x:v>entity/name</x:v>
      </x:c>
      <x:c r="D211" s="21" t="str"/>
      <x:c r="E211" s="19" t="str"/>
      <x:c r="F211" s="20" t="str"/>
      <x:c r="G211" s="20" t="str"/>
      <x:c r="H211" s="23" t="str"/>
    </x:row>
    <x:row r="212">
      <x:c r="A212" s="22" t="str">
        <x:v>byte</x:v>
      </x:c>
      <x:c r="B212" s="22" t="str">
        <x:v>210</x:v>
      </x:c>
      <x:c r="C212" s="22" t="str">
        <x:v>entity/name</x:v>
      </x:c>
      <x:c r="D212" s="21" t="str"/>
      <x:c r="E212" s="19" t="str"/>
      <x:c r="F212" s="20" t="str"/>
      <x:c r="G212" s="20" t="str"/>
      <x:c r="H212" s="23" t="str"/>
    </x:row>
    <x:row r="213">
      <x:c r="A213" s="22" t="str">
        <x:v>byte</x:v>
      </x:c>
      <x:c r="B213" s="22" t="str">
        <x:v>211</x:v>
      </x:c>
      <x:c r="C213" s="22" t="str">
        <x:v>entity/name</x:v>
      </x:c>
      <x:c r="D213" s="21" t="str"/>
      <x:c r="E213" s="19" t="str"/>
      <x:c r="F213" s="20" t="str"/>
      <x:c r="G213" s="20" t="str"/>
      <x:c r="H213" s="23" t="str"/>
    </x:row>
    <x:row r="214">
      <x:c r="A214" s="22" t="str">
        <x:v>byte</x:v>
      </x:c>
      <x:c r="B214" s="22" t="str">
        <x:v>212</x:v>
      </x:c>
      <x:c r="C214" s="22" t="str">
        <x:v>entity/name</x:v>
      </x:c>
      <x:c r="D214" s="21" t="str">
        <x:v>ズガ</x:v>
      </x:c>
      <x:c r="E214" s="19" t="str">
        <x:v>Zuga</x:v>
      </x:c>
      <x:c r="F214" s="20" t="str"/>
      <x:c r="G214" s="20" t="str"/>
      <x:c r="H214" s="23" t="str">
        <x:v>3B 56 48 42</x:v>
      </x:c>
    </x:row>
    <x:row r="215">
      <x:c r="A215" s="22" t="str">
        <x:v>byte</x:v>
      </x:c>
      <x:c r="B215" s="22" t="str">
        <x:v>213</x:v>
      </x:c>
      <x:c r="C215" s="22" t="str">
        <x:v>entity/name</x:v>
      </x:c>
      <x:c r="D215" s="21" t="str">
        <x:v>ズガガン</x:v>
      </x:c>
      <x:c r="E215" s="19" t="str">
        <x:v>Zugagan</x:v>
      </x:c>
      <x:c r="F215" s="20" t="str"/>
      <x:c r="G215" s="20" t="str"/>
      <x:c r="H215" s="23" t="str">
        <x:v>3B 56 48 42 48 42 4F</x:v>
      </x:c>
    </x:row>
    <x:row r="216">
      <x:c r="A216" s="22" t="str">
        <x:v>byte</x:v>
      </x:c>
      <x:c r="B216" s="22" t="str">
        <x:v>214</x:v>
      </x:c>
      <x:c r="C216" s="22" t="str">
        <x:v>entity/name</x:v>
      </x:c>
      <x:c r="D216" s="21" t="str"/>
      <x:c r="E216" s="19" t="str"/>
      <x:c r="F216" s="20" t="str"/>
      <x:c r="G216" s="20" t="str"/>
      <x:c r="H216" s="23" t="str"/>
    </x:row>
    <x:row r="217">
      <x:c r="A217" s="22" t="str">
        <x:v>byte</x:v>
      </x:c>
      <x:c r="B217" s="22" t="str">
        <x:v>215</x:v>
      </x:c>
      <x:c r="C217" s="22" t="str">
        <x:v>entity/name</x:v>
      </x:c>
      <x:c r="D217" s="21" t="str"/>
      <x:c r="E217" s="19" t="str"/>
      <x:c r="F217" s="20" t="str"/>
      <x:c r="G217" s="20" t="str"/>
      <x:c r="H217" s="23" t="str"/>
    </x:row>
    <x:row r="218">
      <x:c r="A218" s="22" t="str">
        <x:v>byte</x:v>
      </x:c>
      <x:c r="B218" s="22" t="str">
        <x:v>216</x:v>
      </x:c>
      <x:c r="C218" s="22" t="str">
        <x:v>entity/name</x:v>
      </x:c>
      <x:c r="D218" s="21" t="str"/>
      <x:c r="E218" s="19" t="str"/>
      <x:c r="F218" s="20" t="str"/>
      <x:c r="G218" s="20" t="str"/>
      <x:c r="H218" s="23" t="str"/>
    </x:row>
    <x:row r="219">
      <x:c r="A219" s="22" t="str">
        <x:v>byte</x:v>
      </x:c>
      <x:c r="B219" s="22" t="str">
        <x:v>217</x:v>
      </x:c>
      <x:c r="C219" s="22" t="str">
        <x:v>entity/name</x:v>
      </x:c>
      <x:c r="D219" s="21" t="str"/>
      <x:c r="E219" s="19" t="str"/>
      <x:c r="F219" s="20" t="str"/>
      <x:c r="G219" s="20" t="str"/>
      <x:c r="H219" s="23" t="str"/>
    </x:row>
    <x:row r="220">
      <x:c r="A220" s="22" t="str">
        <x:v>byte</x:v>
      </x:c>
      <x:c r="B220" s="22" t="str">
        <x:v>218</x:v>
      </x:c>
      <x:c r="C220" s="22" t="str">
        <x:v>entity/name</x:v>
      </x:c>
      <x:c r="D220" s="21" t="str"/>
      <x:c r="E220" s="19" t="str"/>
      <x:c r="F220" s="20" t="str"/>
      <x:c r="G220" s="20" t="str"/>
      <x:c r="H220" s="23" t="str"/>
    </x:row>
    <x:row r="221">
      <x:c r="A221" s="22" t="str">
        <x:v>byte</x:v>
      </x:c>
      <x:c r="B221" s="22" t="str">
        <x:v>219</x:v>
      </x:c>
      <x:c r="C221" s="22" t="str">
        <x:v>entity/name</x:v>
      </x:c>
      <x:c r="D221" s="21" t="str">
        <x:v>チェンジ</x:v>
      </x:c>
      <x:c r="E221" s="19" t="str">
        <x:v>Change</x:v>
      </x:c>
      <x:c r="F221" s="20" t="str"/>
      <x:c r="G221" s="20" t="str"/>
      <x:c r="H221" s="23" t="str">
        <x:v>28 49 42 4F 48 46</x:v>
      </x:c>
    </x:row>
    <x:row r="222">
      <x:c r="A222" s="22" t="str">
        <x:v>byte</x:v>
      </x:c>
      <x:c r="B222" s="22" t="str">
        <x:v>220</x:v>
      </x:c>
      <x:c r="C222" s="22" t="str">
        <x:v>entity/name</x:v>
      </x:c>
      <x:c r="D222" s="21" t="str"/>
      <x:c r="E222" s="19" t="str"/>
      <x:c r="F222" s="20" t="str"/>
      <x:c r="G222" s="20" t="str"/>
      <x:c r="H222" s="23" t="str"/>
    </x:row>
    <x:row r="223">
      <x:c r="A223" s="22" t="str">
        <x:v>byte</x:v>
      </x:c>
      <x:c r="B223" s="22" t="str">
        <x:v>221</x:v>
      </x:c>
      <x:c r="C223" s="22" t="str">
        <x:v>entity/name</x:v>
      </x:c>
      <x:c r="D223" s="21" t="str"/>
      <x:c r="E223" s="19" t="str"/>
      <x:c r="F223" s="20" t="str"/>
      <x:c r="G223" s="20" t="str"/>
      <x:c r="H223" s="23" t="str"/>
    </x:row>
    <x:row r="224">
      <x:c r="A224" s="22" t="str">
        <x:v>byte</x:v>
      </x:c>
      <x:c r="B224" s="22" t="str">
        <x:v>222</x:v>
      </x:c>
      <x:c r="C224" s="22" t="str">
        <x:v>entity/name</x:v>
      </x:c>
      <x:c r="D224" s="21" t="str"/>
      <x:c r="E224" s="19" t="str"/>
      <x:c r="F224" s="20" t="str"/>
      <x:c r="G224" s="20" t="str"/>
      <x:c r="H224" s="23" t="str"/>
    </x:row>
    <x:row r="225">
      <x:c r="A225" s="22" t="str">
        <x:v>byte</x:v>
      </x:c>
      <x:c r="B225" s="22" t="str">
        <x:v>223</x:v>
      </x:c>
      <x:c r="C225" s="22" t="str">
        <x:v>entity/name</x:v>
      </x:c>
      <x:c r="D225" s="21" t="str"/>
      <x:c r="E225" s="19" t="str"/>
      <x:c r="F225" s="20" t="str"/>
      <x:c r="G225" s="20" t="str"/>
      <x:c r="H225" s="23" t="str"/>
    </x:row>
    <x:row r="226">
      <x:c r="A226" s="22" t="str">
        <x:v>byte</x:v>
      </x:c>
      <x:c r="B226" s="22" t="str">
        <x:v>224</x:v>
      </x:c>
      <x:c r="C226" s="22" t="str">
        <x:v>entity/name</x:v>
      </x:c>
      <x:c r="D226" s="21" t="str"/>
      <x:c r="E226" s="19" t="str"/>
      <x:c r="F226" s="20" t="str"/>
      <x:c r="G226" s="20" t="str"/>
      <x:c r="H226" s="23" t="str"/>
    </x:row>
    <x:row r="227">
      <x:c r="A227" s="22" t="str">
        <x:v>byte</x:v>
      </x:c>
      <x:c r="B227" s="22" t="str">
        <x:v>225</x:v>
      </x:c>
      <x:c r="C227" s="22" t="str">
        <x:v>entity/name</x:v>
      </x:c>
      <x:c r="D227" s="21" t="str"/>
      <x:c r="E227" s="19" t="str"/>
      <x:c r="F227" s="20" t="str"/>
      <x:c r="G227" s="20" t="str"/>
      <x:c r="H227" s="23" t="str"/>
    </x:row>
    <x:row r="228">
      <x:c r="A228" s="22" t="str">
        <x:v>byte</x:v>
      </x:c>
      <x:c r="B228" s="22" t="str">
        <x:v>226</x:v>
      </x:c>
      <x:c r="C228" s="22" t="str">
        <x:v>item/name</x:v>
      </x:c>
      <x:c r="D228" s="21" t="str">
        <x:v>スコップ</x:v>
      </x:c>
      <x:c r="E228" s="19" t="str">
        <x:v>Shovel</x:v>
      </x:c>
      <x:c r="F228" s="20" t="str"/>
      <x:c r="G228" s="20" t="str"/>
      <x:c r="H228" s="23" t="str">
        <x:v>0D 49 50 57 46 4D</x:v>
      </x:c>
    </x:row>
    <x:row r="229">
      <x:c r="A229" s="22" t="str">
        <x:v>byte</x:v>
      </x:c>
      <x:c r="B229" s="22" t="str">
        <x:v>227</x:v>
      </x:c>
      <x:c r="C229" s="22" t="str">
        <x:v>item/name</x:v>
      </x:c>
      <x:c r="D229" s="21" t="str">
        <x:v>こんぼう</x:v>
      </x:c>
      <x:c r="E229" s="19" t="str">
        <x:v>Club</x:v>
      </x:c>
      <x:c r="F229" s="20" t="str"/>
      <x:c r="G229" s="20" t="str"/>
      <x:c r="H229" s="23" t="str">
        <x:v>28 4D 56 43</x:v>
      </x:c>
    </x:row>
    <x:row r="230">
      <x:c r="A230" s="22" t="str">
        <x:v>byte</x:v>
      </x:c>
      <x:c r="B230" s="22" t="str">
        <x:v>228</x:v>
      </x:c>
      <x:c r="C230" s="22" t="str">
        <x:v>item/name</x:v>
      </x:c>
      <x:c r="D230" s="21" t="str">
        <x:v>キチンナイフ</x:v>
      </x:c>
      <x:c r="E230" s="19" t="str">
        <x:v>Kitchen Knife</x:v>
      </x:c>
      <x:c r="F230" s="20" t="str"/>
      <x:c r="G230" s="20" t="str"/>
      <x:c r="H230" s="23" t="str">
        <x:v>30 4A 55 44 49 46 4F 01 30 4F 4A 47 46</x:v>
      </x:c>
    </x:row>
    <x:row r="231">
      <x:c r="A231" s="22" t="str">
        <x:v>byte</x:v>
      </x:c>
      <x:c r="B231" s="22" t="str">
        <x:v>229</x:v>
      </x:c>
      <x:c r="C231" s="22" t="str">
        <x:v>item/name</x:v>
      </x:c>
      <x:c r="D231" s="21" t="str">
        <x:v>ごしんぼう</x:v>
      </x:c>
      <x:c r="E231" s="19" t="str">
        <x:v>Guard Staff</x:v>
      </x:c>
      <x:c r="F231" s="20" t="str"/>
      <x:c r="G231" s="20" t="str"/>
      <x:c r="H231" s="23" t="str">
        <x:v>2C 56 42 53 45 01 0D 55 42 47 47</x:v>
      </x:c>
    </x:row>
    <x:row r="232">
      <x:c r="A232" s="22" t="str">
        <x:v>byte</x:v>
      </x:c>
      <x:c r="B232" s="22" t="str">
        <x:v>230</x:v>
      </x:c>
      <x:c r="C232" s="22" t="str">
        <x:v>item/name</x:v>
      </x:c>
      <x:c r="D232" s="21" t="str">
        <x:v>ヘビーナイフ</x:v>
      </x:c>
      <x:c r="E232" s="19" t="str">
        <x:v>Heavy Knife</x:v>
      </x:c>
      <x:c r="F232" s="20" t="str"/>
      <x:c r="G232" s="20" t="str"/>
      <x:c r="H232" s="23" t="str">
        <x:v>2D 46 42 57 5A 01 30 4F 4A 47 46</x:v>
      </x:c>
    </x:row>
    <x:row r="233">
      <x:c r="A233" s="22" t="str">
        <x:v>byte</x:v>
      </x:c>
      <x:c r="B233" s="22" t="str">
        <x:v>231</x:v>
      </x:c>
      <x:c r="C233" s="22" t="str">
        <x:v>item/name</x:v>
      </x:c>
      <x:c r="D233" s="21" t="str">
        <x:v>コブラスコップ</x:v>
      </x:c>
      <x:c r="E233" s="19" t="str">
        <x:v>Cobra Shovel</x:v>
      </x:c>
      <x:c r="F233" s="20" t="str"/>
      <x:c r="G233" s="20" t="str"/>
      <x:c r="H233" s="23" t="str">
        <x:v>28 50 43 53 42 01 0D 49 50 57 46 4D</x:v>
      </x:c>
    </x:row>
    <x:row r="234">
      <x:c r="A234" s="22" t="str">
        <x:v>byte</x:v>
      </x:c>
      <x:c r="B234" s="22" t="str">
        <x:v>232</x:v>
      </x:c>
      <x:c r="C234" s="22" t="str">
        <x:v>item/name</x:v>
      </x:c>
      <x:c r="D234" s="21" t="str">
        <x:v>ニードル</x:v>
      </x:c>
      <x:c r="E234" s="19" t="str">
        <x:v>Needle</x:v>
      </x:c>
      <x:c r="F234" s="20" t="str"/>
      <x:c r="G234" s="20" t="str"/>
      <x:c r="H234" s="23" t="str">
        <x:v>32 46 46 45 4D 46</x:v>
      </x:c>
    </x:row>
    <x:row r="235">
      <x:c r="A235" s="22" t="str">
        <x:v>byte</x:v>
      </x:c>
      <x:c r="B235" s="22" t="str">
        <x:v>233</x:v>
      </x:c>
      <x:c r="C235" s="22" t="str">
        <x:v>item/name</x:v>
      </x:c>
      <x:c r="D235" s="21" t="str">
        <x:v>ボワスコップ</x:v>
      </x:c>
      <x:c r="E235" s="19" t="str">
        <x:v>Bowa Shovel</x:v>
      </x:c>
      <x:c r="F235" s="20" t="str"/>
      <x:c r="G235" s="20" t="str"/>
      <x:c r="H235" s="23" t="str">
        <x:v>27 50 58 42 01 0D 49 50 57 46 4D</x:v>
      </x:c>
    </x:row>
    <x:row r="236">
      <x:c r="A236" s="22" t="str">
        <x:v>byte</x:v>
      </x:c>
      <x:c r="B236" s="22" t="str">
        <x:v>234</x:v>
      </x:c>
      <x:c r="C236" s="22" t="str">
        <x:v>item/name</x:v>
      </x:c>
      <x:c r="D236" s="21" t="str">
        <x:v>シャネブーツ</x:v>
      </x:c>
      <x:c r="E236" s="19" t="str">
        <x:v>Shane Boots</x:v>
      </x:c>
      <x:c r="F236" s="20" t="str"/>
      <x:c r="G236" s="20" t="str"/>
      <x:c r="H236" s="23" t="str">
        <x:v>0D 49 42 4F 46 01 27 50 50 55 54</x:v>
      </x:c>
    </x:row>
    <x:row r="237">
      <x:c r="A237" s="22" t="str">
        <x:v>byte</x:v>
      </x:c>
      <x:c r="B237" s="22" t="str">
        <x:v>235</x:v>
      </x:c>
      <x:c r="C237" s="22" t="str">
        <x:v>item/name</x:v>
      </x:c>
      <x:c r="D237" s="21" t="str">
        <x:v>おうのナイフ</x:v>
      </x:c>
      <x:c r="E237" s="19" t="str">
        <x:v>King's Knife</x:v>
      </x:c>
      <x:c r="F237" s="20" t="str"/>
      <x:c r="G237" s="20" t="str"/>
      <x:c r="H237" s="23" t="str">
        <x:v>30 4A 4F 48 16 54 01 30 4F 4A 47 46</x:v>
      </x:c>
    </x:row>
    <x:row r="238">
      <x:c r="A238" s="22" t="str">
        <x:v>byte</x:v>
      </x:c>
      <x:c r="B238" s="22" t="str">
        <x:v>236</x:v>
      </x:c>
      <x:c r="C238" s="22" t="str">
        <x:v>item/name</x:v>
      </x:c>
      <x:c r="D238" s="21" t="str">
        <x:v>パワードロッド</x:v>
      </x:c>
      <x:c r="E238" s="19" t="str">
        <x:v>Power Rod</x:v>
      </x:c>
      <x:c r="F238" s="20" t="str"/>
      <x:c r="G238" s="20" t="str"/>
      <x:c r="H238" s="23" t="str">
        <x:v>0E 50 58 46 53 01 35 50 45</x:v>
      </x:c>
    </x:row>
    <x:row r="239">
      <x:c r="A239" s="22" t="str">
        <x:v>byte</x:v>
      </x:c>
      <x:c r="B239" s="22" t="str">
        <x:v>237</x:v>
      </x:c>
      <x:c r="C239" s="22" t="str">
        <x:v>item/name</x:v>
      </x:c>
      <x:c r="D239" s="21" t="str">
        <x:v>あかいハイヒール</x:v>
      </x:c>
      <x:c r="E239" s="19" t="str">
        <x:v>Red High Heels</x:v>
      </x:c>
      <x:c r="F239" s="20" t="str"/>
      <x:c r="G239" s="20" t="str"/>
      <x:c r="H239" s="23" t="str">
        <x:v>35 46 45 01 2D 4A 48 49 01 2D 46 46 4D 54</x:v>
      </x:c>
    </x:row>
    <x:row r="240">
      <x:c r="A240" s="22" t="str">
        <x:v>byte</x:v>
      </x:c>
      <x:c r="B240" s="22" t="str">
        <x:v>238</x:v>
      </x:c>
      <x:c r="C240" s="22" t="str">
        <x:v>item/name</x:v>
      </x:c>
      <x:c r="D240" s="21" t="str">
        <x:v>ふういんスコップ</x:v>
      </x:c>
      <x:c r="E240" s="19" t="str">
        <x:v>Seal Shovel</x:v>
      </x:c>
      <x:c r="F240" s="20" t="str"/>
      <x:c r="G240" s="20" t="str"/>
      <x:c r="H240" s="23" t="str">
        <x:v>0D 46 42 4D 01 0D 49 50 57 46 4D</x:v>
      </x:c>
    </x:row>
    <x:row r="241">
      <x:c r="A241" s="22" t="str">
        <x:v>byte</x:v>
      </x:c>
      <x:c r="B241" s="22" t="str">
        <x:v>239</x:v>
      </x:c>
      <x:c r="C241" s="22" t="str">
        <x:v>item/name</x:v>
      </x:c>
      <x:c r="D241" s="21" t="str">
        <x:v>ガラスのくつ</x:v>
      </x:c>
      <x:c r="E241" s="19" t="str">
        <x:v>Glass Slippers</x:v>
      </x:c>
      <x:c r="F241" s="20" t="str"/>
      <x:c r="G241" s="20" t="str"/>
      <x:c r="H241" s="23" t="str">
        <x:v>2C 4D 42 54 54 01 0D 4D 4A 51 51 46 53 54</x:v>
      </x:c>
    </x:row>
    <x:row r="242">
      <x:c r="A242" s="22" t="str">
        <x:v>byte</x:v>
      </x:c>
      <x:c r="B242" s="22" t="str">
        <x:v>240</x:v>
      </x:c>
      <x:c r="C242" s="22" t="str">
        <x:v>item/name</x:v>
      </x:c>
      <x:c r="D242" s="21" t="str">
        <x:v>ツークラッチ</x:v>
      </x:c>
      <x:c r="E242" s="19" t="str">
        <x:v>Two-Clutch</x:v>
      </x:c>
      <x:c r="F242" s="20" t="str"/>
      <x:c r="G242" s="20" t="str"/>
      <x:c r="H242" s="23" t="str">
        <x:v>36 58 50 1C 28 4D 56 55 44 49</x:v>
      </x:c>
    </x:row>
    <x:row r="243">
      <x:c r="A243" s="22" t="str">
        <x:v>byte</x:v>
      </x:c>
      <x:c r="B243" s="22" t="str">
        <x:v>241</x:v>
      </x:c>
      <x:c r="C243" s="22" t="str">
        <x:v>item/name</x:v>
      </x:c>
      <x:c r="D243" s="21" t="str">
        <x:v>ホーリーナイフ</x:v>
      </x:c>
      <x:c r="E243" s="19" t="str">
        <x:v>Holy Knife</x:v>
      </x:c>
      <x:c r="F243" s="20" t="str"/>
      <x:c r="G243" s="20" t="str"/>
      <x:c r="H243" s="23" t="str">
        <x:v>2D 50 4D 5A 01 30 4F 4A 47 46</x:v>
      </x:c>
    </x:row>
    <x:row r="244">
      <x:c r="A244" s="22" t="str">
        <x:v>byte</x:v>
      </x:c>
      <x:c r="B244" s="22" t="str">
        <x:v>242</x:v>
      </x:c>
      <x:c r="C244" s="22" t="str">
        <x:v>item/name</x:v>
      </x:c>
      <x:c r="D244" s="21" t="str">
        <x:v>アンデッドナイフ</x:v>
      </x:c>
      <x:c r="E244" s="19" t="str">
        <x:v>Undead Knife</x:v>
      </x:c>
      <x:c r="F244" s="20" t="str"/>
      <x:c r="G244" s="20" t="str"/>
      <x:c r="H244" s="23" t="str">
        <x:v>37 4F 45 46 42 45 01 30 4F 4A 47 46</x:v>
      </x:c>
    </x:row>
    <x:row r="245">
      <x:c r="A245" s="22" t="str">
        <x:v>byte</x:v>
      </x:c>
      <x:c r="B245" s="22" t="str">
        <x:v>243</x:v>
      </x:c>
      <x:c r="C245" s="22" t="str">
        <x:v>item/name</x:v>
      </x:c>
      <x:c r="D245" s="21" t="str">
        <x:v>ファイアブーツ</x:v>
      </x:c>
      <x:c r="E245" s="19" t="str">
        <x:v>Fire Boots</x:v>
      </x:c>
      <x:c r="F245" s="20" t="str"/>
      <x:c r="G245" s="20" t="str"/>
      <x:c r="H245" s="23" t="str">
        <x:v>2B 4A 53 46 01 27 50 50 55 54</x:v>
      </x:c>
    </x:row>
    <x:row r="246">
      <x:c r="A246" s="22" t="str">
        <x:v>byte</x:v>
      </x:c>
      <x:c r="B246" s="22" t="str">
        <x:v>244</x:v>
      </x:c>
      <x:c r="C246" s="22" t="str">
        <x:v>item/name</x:v>
      </x:c>
      <x:c r="D246" s="21" t="str">
        <x:v>ひのでるスコップ</x:v>
      </x:c>
      <x:c r="E246" s="19" t="str">
        <x:v>Sunrise Shovel</x:v>
      </x:c>
      <x:c r="F246" s="20" t="str"/>
      <x:c r="G246" s="20" t="str"/>
      <x:c r="H246" s="23" t="str">
        <x:v>0D 56 4F 53 4A 54 46 01 0D 49 50 57 46 4D</x:v>
      </x:c>
    </x:row>
    <x:row r="247">
      <x:c r="A247" s="22" t="str">
        <x:v>byte</x:v>
      </x:c>
      <x:c r="B247" s="22" t="str">
        <x:v>245</x:v>
      </x:c>
      <x:c r="C247" s="22" t="str">
        <x:v>item/name</x:v>
      </x:c>
      <x:c r="D247" s="21" t="str">
        <x:v>19ばん</x:v>
      </x:c>
      <x:c r="E247" s="19" t="str">
        <x:v>No. 19</x:v>
      </x:c>
      <x:c r="F247" s="20" t="str"/>
      <x:c r="G247" s="20" t="str"/>
      <x:c r="H247" s="23" t="str">
        <x:v>32 50 1D 01 03 0B</x:v>
      </x:c>
    </x:row>
    <x:row r="248">
      <x:c r="A248" s="22" t="str">
        <x:v>byte</x:v>
      </x:c>
      <x:c r="B248" s="22" t="str">
        <x:v>246</x:v>
      </x:c>
      <x:c r="C248" s="22" t="str">
        <x:v>item/name</x:v>
      </x:c>
      <x:c r="D248" s="21" t="str">
        <x:v>ゴールデンソード</x:v>
      </x:c>
      <x:c r="E248" s="19" t="str">
        <x:v>Golden Sword</x:v>
      </x:c>
      <x:c r="F248" s="20" t="str"/>
      <x:c r="G248" s="20" t="str"/>
      <x:c r="H248" s="23" t="str">
        <x:v>2C 50 4D 45 46 4F 01 0D 58 50 53 45</x:v>
      </x:c>
    </x:row>
    <x:row r="249">
      <x:c r="A249" s="22" t="str">
        <x:v>byte</x:v>
      </x:c>
      <x:c r="B249" s="22" t="str">
        <x:v>247</x:v>
      </x:c>
      <x:c r="C249" s="22" t="str">
        <x:v>item/name</x:v>
      </x:c>
      <x:c r="D249" s="21" t="str">
        <x:v>レノブーツ</x:v>
      </x:c>
      <x:c r="E249" s="19" t="str">
        <x:v>Reno Boots</x:v>
      </x:c>
      <x:c r="F249" s="20" t="str"/>
      <x:c r="G249" s="20" t="str"/>
      <x:c r="H249" s="23" t="str">
        <x:v>35 46 4F 50 01 27 50 50 55 54</x:v>
      </x:c>
    </x:row>
    <x:row r="250">
      <x:c r="A250" s="22" t="str">
        <x:v>byte</x:v>
      </x:c>
      <x:c r="B250" s="22" t="str">
        <x:v>248</x:v>
      </x:c>
      <x:c r="C250" s="22" t="str">
        <x:v>item/name</x:v>
      </x:c>
      <x:c r="D250" s="21" t="str">
        <x:v>パワーブーツ</x:v>
      </x:c>
      <x:c r="E250" s="19" t="str">
        <x:v>Power Boots</x:v>
      </x:c>
      <x:c r="F250" s="20" t="str"/>
      <x:c r="G250" s="20" t="str"/>
      <x:c r="H250" s="23" t="str">
        <x:v>0E 50 58 46 53 01 27 50 50 55 54</x:v>
      </x:c>
    </x:row>
    <x:row r="251">
      <x:c r="A251" s="22" t="str">
        <x:v>byte</x:v>
      </x:c>
      <x:c r="B251" s="22" t="str">
        <x:v>249</x:v>
      </x:c>
      <x:c r="C251" s="22" t="str">
        <x:v>item/name</x:v>
      </x:c>
      <x:c r="D251" s="21" t="str">
        <x:v>ヘルブーツ</x:v>
      </x:c>
      <x:c r="E251" s="19" t="str">
        <x:v>Hell Boots</x:v>
      </x:c>
      <x:c r="F251" s="20" t="str"/>
      <x:c r="G251" s="20" t="str"/>
      <x:c r="H251" s="23" t="str">
        <x:v>2D 46 4D 4D 01 27 50 50 55 54</x:v>
      </x:c>
    </x:row>
    <x:row r="252">
      <x:c r="A252" s="22" t="str">
        <x:v>byte</x:v>
      </x:c>
      <x:c r="B252" s="22" t="str">
        <x:v>250</x:v>
      </x:c>
      <x:c r="C252" s="22" t="str">
        <x:v>item/name</x:v>
      </x:c>
      <x:c r="D252" s="21" t="str">
        <x:v>ブーツ</x:v>
      </x:c>
      <x:c r="E252" s="19" t="str">
        <x:v>Boots</x:v>
      </x:c>
      <x:c r="F252" s="20" t="str"/>
      <x:c r="G252" s="20" t="str"/>
      <x:c r="H252" s="23" t="str">
        <x:v>27 50 50 55 54</x:v>
      </x:c>
    </x:row>
    <x:row r="253">
      <x:c r="A253" s="22" t="str">
        <x:v>byte</x:v>
      </x:c>
      <x:c r="B253" s="22" t="str">
        <x:v>251</x:v>
      </x:c>
      <x:c r="C253" s="22" t="str">
        <x:v>item/name</x:v>
      </x:c>
      <x:c r="D253" s="21" t="str">
        <x:v>ララバイブーツ</x:v>
      </x:c>
      <x:c r="E253" s="19" t="str">
        <x:v>Lullaby Boots</x:v>
      </x:c>
      <x:c r="F253" s="20" t="str"/>
      <x:c r="G253" s="20" t="str"/>
      <x:c r="H253" s="23" t="str">
        <x:v>0C 56 4D 4D 42 43 5A 01 27 50 50 55 54</x:v>
      </x:c>
    </x:row>
    <x:row r="254">
      <x:c r="A254" s="22" t="str">
        <x:v>byte</x:v>
      </x:c>
      <x:c r="B254" s="22" t="str">
        <x:v>252</x:v>
      </x:c>
      <x:c r="C254" s="22" t="str">
        <x:v>item/name</x:v>
      </x:c>
      <x:c r="D254" s="21" t="str">
        <x:v>アイスナイフ</x:v>
      </x:c>
      <x:c r="E254" s="19" t="str">
        <x:v>Ice Knife</x:v>
      </x:c>
      <x:c r="F254" s="20" t="str"/>
      <x:c r="G254" s="20" t="str"/>
      <x:c r="H254" s="23" t="str">
        <x:v>2E 44 46 01 30 4F 4A 47 46</x:v>
      </x:c>
    </x:row>
    <x:row r="255">
      <x:c r="A255" s="22" t="str">
        <x:v>byte</x:v>
      </x:c>
      <x:c r="B255" s="22" t="str">
        <x:v>253</x:v>
      </x:c>
      <x:c r="C255" s="22" t="str">
        <x:v>item/name</x:v>
      </x:c>
      <x:c r="D255" s="21" t="str">
        <x:v>ウィップ</x:v>
      </x:c>
      <x:c r="E255" s="19" t="str">
        <x:v>Whip</x:v>
      </x:c>
      <x:c r="F255" s="20" t="str"/>
      <x:c r="G255" s="20" t="str"/>
      <x:c r="H255" s="23" t="str">
        <x:v>39 49 4A 51</x:v>
      </x:c>
    </x:row>
    <x:row r="256">
      <x:c r="A256" s="22" t="str">
        <x:v>byte</x:v>
      </x:c>
      <x:c r="B256" s="22" t="str">
        <x:v>254</x:v>
      </x:c>
      <x:c r="C256" s="22" t="str">
        <x:v>item/name</x:v>
      </x:c>
      <x:c r="D256" s="21" t="str">
        <x:v>レノウィップ</x:v>
      </x:c>
      <x:c r="E256" s="19" t="str">
        <x:v>Reno Whip</x:v>
      </x:c>
      <x:c r="F256" s="20" t="str"/>
      <x:c r="G256" s="20" t="str"/>
      <x:c r="H256" s="23" t="str">
        <x:v>35 46 4F 50 01 39 49 4A 51</x:v>
      </x:c>
    </x:row>
    <x:row r="257">
      <x:c r="A257" s="22" t="str">
        <x:v>byte</x:v>
      </x:c>
      <x:c r="B257" s="22" t="str">
        <x:v>255</x:v>
      </x:c>
      <x:c r="C257" s="22" t="str">
        <x:v>item/name</x:v>
      </x:c>
      <x:c r="D257" s="21" t="str">
        <x:v>ローズウィップ</x:v>
      </x:c>
      <x:c r="E257" s="19" t="str">
        <x:v>Rose Whip</x:v>
      </x:c>
      <x:c r="F257" s="20" t="str"/>
      <x:c r="G257" s="20" t="str"/>
      <x:c r="H257" s="23" t="str">
        <x:v>35 50 54 46 01 39 49 4A 51</x:v>
      </x:c>
    </x:row>
    <x:row r="258">
      <x:c r="A258" s="22" t="str">
        <x:v>byte</x:v>
      </x:c>
      <x:c r="B258" s="22" t="str">
        <x:v>256</x:v>
      </x:c>
      <x:c r="C258" s="22" t="str">
        <x:v>item/name</x:v>
      </x:c>
      <x:c r="D258" s="21" t="str">
        <x:v>イノブのかぎ</x:v>
      </x:c>
      <x:c r="E258" s="19" t="str">
        <x:v>Inobu's Key</x:v>
      </x:c>
      <x:c r="F258" s="20" t="str"/>
      <x:c r="G258" s="20" t="str"/>
      <x:c r="H258" s="23" t="str">
        <x:v>2E 4F 50 43 56 16 54 01 30 46 5A</x:v>
      </x:c>
    </x:row>
    <x:row r="259">
      <x:c r="A259" s="22" t="str">
        <x:v>byte</x:v>
      </x:c>
      <x:c r="B259" s="22" t="str">
        <x:v>257</x:v>
      </x:c>
      <x:c r="C259" s="22" t="str">
        <x:v>item/name</x:v>
      </x:c>
      <x:c r="D259" s="21" t="str">
        <x:v>だいりせきのかぎ</x:v>
      </x:c>
      <x:c r="E259" s="19" t="str">
        <x:v>Marble Key</x:v>
      </x:c>
      <x:c r="F259" s="20" t="str"/>
      <x:c r="G259" s="20" t="str"/>
      <x:c r="H259" s="23" t="str">
        <x:v>31 42 53 43 4D 46 01 30 46 5A</x:v>
      </x:c>
    </x:row>
    <x:row r="260">
      <x:c r="A260" s="22" t="str">
        <x:v>byte</x:v>
      </x:c>
      <x:c r="B260" s="22" t="str">
        <x:v>258</x:v>
      </x:c>
      <x:c r="C260" s="22" t="str">
        <x:v>item/name</x:v>
      </x:c>
      <x:c r="D260" s="21" t="str">
        <x:v>バロンのほうき</x:v>
      </x:c>
      <x:c r="E260" s="19" t="str">
        <x:v>Baron's Broom</x:v>
      </x:c>
      <x:c r="F260" s="20" t="str"/>
      <x:c r="G260" s="20" t="str"/>
      <x:c r="H260" s="23" t="str">
        <x:v>27 42 53 50 4F 16 54 01 27 53 50 50 4E</x:v>
      </x:c>
    </x:row>
    <x:row r="261">
      <x:c r="A261" s="22" t="str">
        <x:v>byte</x:v>
      </x:c>
      <x:c r="B261" s="22" t="str">
        <x:v>259</x:v>
      </x:c>
      <x:c r="C261" s="22" t="str">
        <x:v>item/name</x:v>
      </x:c>
      <x:c r="D261" s="21" t="str">
        <x:v>バロンのえのぐ</x:v>
      </x:c>
      <x:c r="E261" s="19" t="str">
        <x:v>Baron's Paints</x:v>
      </x:c>
      <x:c r="F261" s="20" t="str"/>
      <x:c r="G261" s="20" t="str"/>
      <x:c r="H261" s="23" t="str">
        <x:v>27 42 53 50 4F 16 54 01 0E 42 4A 4F 55 54</x:v>
      </x:c>
    </x:row>
    <x:row r="262">
      <x:c r="A262" s="22" t="str">
        <x:v>byte</x:v>
      </x:c>
      <x:c r="B262" s="22" t="str">
        <x:v>260</x:v>
      </x:c>
      <x:c r="C262" s="22" t="str">
        <x:v>item/name</x:v>
      </x:c>
      <x:c r="D262" s="21" t="str">
        <x:v>とうめいなかぎ</x:v>
      </x:c>
      <x:c r="E262" s="19" t="str">
        <x:v>Invisible Key</x:v>
      </x:c>
      <x:c r="F262" s="20" t="str"/>
      <x:c r="G262" s="20" t="str"/>
      <x:c r="H262" s="23" t="str">
        <x:v>2E 4F 57 4A 54 4A 43 4D 46 01 30 46 5A</x:v>
      </x:c>
    </x:row>
    <x:row r="263">
      <x:c r="A263" s="22" t="str">
        <x:v>byte</x:v>
      </x:c>
      <x:c r="B263" s="22" t="str">
        <x:v>261</x:v>
      </x:c>
      <x:c r="C263" s="22" t="str">
        <x:v>item/name</x:v>
      </x:c>
      <x:c r="D263" s="21" t="str">
        <x:v>たんけんにっき</x:v>
      </x:c>
      <x:c r="E263" s="19" t="str">
        <x:v>Explorer's Journal</x:v>
      </x:c>
      <x:c r="F263" s="20" t="str"/>
      <x:c r="G263" s="20" t="str"/>
      <x:c r="H263" s="23" t="str">
        <x:v>2A 59 51 4D 50 53 46 53 16 54 01 2F 50 56 53 4F 42 4D</x:v>
      </x:c>
    </x:row>
    <x:row r="264">
      <x:c r="A264" s="22" t="str">
        <x:v>byte</x:v>
      </x:c>
      <x:c r="B264" s="22" t="str">
        <x:v>262</x:v>
      </x:c>
      <x:c r="C264" s="22" t="str">
        <x:v>item/name</x:v>
      </x:c>
      <x:c r="D264" s="21" t="str">
        <x:v>ガヌビスのかぎ</x:v>
      </x:c>
      <x:c r="E264" s="19" t="str">
        <x:v>Ganubis Key</x:v>
      </x:c>
      <x:c r="F264" s="20" t="str"/>
      <x:c r="G264" s="20" t="str"/>
      <x:c r="H264" s="23" t="str">
        <x:v>2C 42 4F 56 43 4A 54 01 30 46 5A</x:v>
      </x:c>
    </x:row>
    <x:row r="265">
      <x:c r="A265" s="22" t="str">
        <x:v>byte</x:v>
      </x:c>
      <x:c r="B265" s="22" t="str">
        <x:v>263</x:v>
      </x:c>
      <x:c r="C265" s="22" t="str">
        <x:v>item/name</x:v>
      </x:c>
      <x:c r="D265" s="21" t="str">
        <x:v>てつのくつ</x:v>
      </x:c>
      <x:c r="E265" s="19" t="str">
        <x:v>Iron Shoes</x:v>
      </x:c>
      <x:c r="F265" s="20" t="str"/>
      <x:c r="G265" s="20" t="str"/>
      <x:c r="H265" s="23" t="str">
        <x:v>2E 53 50 4F 01 0D 49 50 46 54</x:v>
      </x:c>
    </x:row>
    <x:row r="266">
      <x:c r="A266" s="22" t="str">
        <x:v>byte</x:v>
      </x:c>
      <x:c r="B266" s="22" t="str">
        <x:v>264</x:v>
      </x:c>
      <x:c r="C266" s="22" t="str">
        <x:v>item/name</x:v>
      </x:c>
      <x:c r="D266" s="21" t="str">
        <x:v>リルちゃん</x:v>
      </x:c>
      <x:c r="E266" s="19" t="str">
        <x:v>Lil-chan</x:v>
      </x:c>
      <x:c r="F266" s="20" t="str"/>
      <x:c r="G266" s="20" t="str"/>
      <x:c r="H266" s="23" t="str">
        <x:v>0C 4A 4D 1C 44 49 42 4F</x:v>
      </x:c>
    </x:row>
    <x:row r="267">
      <x:c r="A267" s="22" t="str">
        <x:v>byte</x:v>
      </x:c>
      <x:c r="B267" s="22" t="str">
        <x:v>265</x:v>
      </x:c>
      <x:c r="C267" s="22" t="str">
        <x:v>item/name</x:v>
      </x:c>
      <x:c r="D267" s="21" t="str">
        <x:v>ガヌビスのしるし</x:v>
      </x:c>
      <x:c r="E267" s="19" t="str">
        <x:v>Ganubis Mark</x:v>
      </x:c>
      <x:c r="F267" s="20" t="str"/>
      <x:c r="G267" s="20" t="str"/>
      <x:c r="H267" s="23" t="str">
        <x:v>2C 42 4F 56 43 4A 54 01 31 42 53 4C</x:v>
      </x:c>
    </x:row>
    <x:row r="268">
      <x:c r="A268" s="22" t="str">
        <x:v>byte</x:v>
      </x:c>
      <x:c r="B268" s="22" t="str">
        <x:v>266</x:v>
      </x:c>
      <x:c r="C268" s="22" t="str">
        <x:v>item/name</x:v>
      </x:c>
      <x:c r="D268" s="21" t="str">
        <x:v>キングにんぎょう</x:v>
      </x:c>
      <x:c r="E268" s="19" t="str">
        <x:v>King Doll</x:v>
      </x:c>
      <x:c r="F268" s="20" t="str"/>
      <x:c r="G268" s="20" t="str"/>
      <x:c r="H268" s="23" t="str">
        <x:v>30 4A 4F 48 01 29 50 4D 4D</x:v>
      </x:c>
    </x:row>
    <x:row r="269">
      <x:c r="A269" s="22" t="str">
        <x:v>byte</x:v>
      </x:c>
      <x:c r="B269" s="22" t="str">
        <x:v>267</x:v>
      </x:c>
      <x:c r="C269" s="22" t="str">
        <x:v>item/name</x:v>
      </x:c>
      <x:c r="D269" s="21" t="str">
        <x:v>ロケットぐつ</x:v>
      </x:c>
      <x:c r="E269" s="19" t="str">
        <x:v>Rocket Boots</x:v>
      </x:c>
      <x:c r="F269" s="20" t="str"/>
      <x:c r="G269" s="20" t="str"/>
      <x:c r="H269" s="23" t="str">
        <x:v>35 50 44 4C 46 55 01 27 50 50 55 54</x:v>
      </x:c>
    </x:row>
    <x:row r="270">
      <x:c r="A270" s="22" t="str">
        <x:v>byte</x:v>
      </x:c>
      <x:c r="B270" s="22" t="str">
        <x:v>268</x:v>
      </x:c>
      <x:c r="C270" s="22" t="str">
        <x:v>item/name</x:v>
      </x:c>
      <x:c r="D270" s="21" t="str">
        <x:v>おようふく</x:v>
      </x:c>
      <x:c r="E270" s="19" t="str">
        <x:v>Clothes</x:v>
      </x:c>
      <x:c r="F270" s="20" t="str"/>
      <x:c r="G270" s="20" t="str"/>
      <x:c r="H270" s="23" t="str">
        <x:v>28 4D 50 55 49 46 54</x:v>
      </x:c>
    </x:row>
    <x:row r="271">
      <x:c r="A271" s="22" t="str">
        <x:v>byte</x:v>
      </x:c>
      <x:c r="B271" s="22" t="str">
        <x:v>269</x:v>
      </x:c>
      <x:c r="C271" s="22" t="str">
        <x:v>item/name</x:v>
      </x:c>
      <x:c r="D271" s="21" t="str">
        <x:v>よそいきのふく</x:v>
      </x:c>
      <x:c r="E271" s="19" t="str">
        <x:v>Dress Clothes</x:v>
      </x:c>
      <x:c r="F271" s="20" t="str"/>
      <x:c r="G271" s="20" t="str"/>
      <x:c r="H271" s="23" t="str">
        <x:v>29 53 46 54 54 01 28 4D 50 55 49 46 54</x:v>
      </x:c>
    </x:row>
    <x:row r="272">
      <x:c r="A272" s="22" t="str">
        <x:v>byte</x:v>
      </x:c>
      <x:c r="B272" s="22" t="str">
        <x:v>270</x:v>
      </x:c>
      <x:c r="C272" s="22" t="str">
        <x:v>item/name</x:v>
      </x:c>
      <x:c r="D272" s="21" t="str">
        <x:v>けいこぎ</x:v>
      </x:c>
      <x:c r="E272" s="19" t="str">
        <x:v>Training Gi</x:v>
      </x:c>
      <x:c r="F272" s="20" t="str"/>
      <x:c r="G272" s="20" t="str"/>
      <x:c r="H272" s="23" t="str">
        <x:v>36 53 42 4A 4F 4A 4F 48 01 2C 4A</x:v>
      </x:c>
    </x:row>
    <x:row r="273">
      <x:c r="A273" s="22" t="str">
        <x:v>byte</x:v>
      </x:c>
      <x:c r="B273" s="22" t="str">
        <x:v>271</x:v>
      </x:c>
      <x:c r="C273" s="22" t="str">
        <x:v>item/name</x:v>
      </x:c>
      <x:c r="D273" s="21" t="str">
        <x:v>レザースーツ</x:v>
      </x:c>
      <x:c r="E273" s="19" t="str">
        <x:v>Leather Suit</x:v>
      </x:c>
      <x:c r="F273" s="20" t="str"/>
      <x:c r="G273" s="20" t="str"/>
      <x:c r="H273" s="23" t="str">
        <x:v>0C 46 42 55 49 46 53 01 0D 56 4A 55</x:v>
      </x:c>
    </x:row>
    <x:row r="274">
      <x:c r="A274" s="22" t="str">
        <x:v>byte</x:v>
      </x:c>
      <x:c r="B274" s="22" t="str">
        <x:v>272</x:v>
      </x:c>
      <x:c r="C274" s="22" t="str">
        <x:v>item/name</x:v>
      </x:c>
      <x:c r="D274" s="21" t="str">
        <x:v>レザードレス</x:v>
      </x:c>
      <x:c r="E274" s="19" t="str">
        <x:v>Leather Dress</x:v>
      </x:c>
      <x:c r="F274" s="20" t="str"/>
      <x:c r="G274" s="20" t="str"/>
      <x:c r="H274" s="23" t="str">
        <x:v>0C 46 42 55 49 46 53 01 29 53 46 54 54</x:v>
      </x:c>
    </x:row>
    <x:row r="275">
      <x:c r="A275" s="22" t="str">
        <x:v>byte</x:v>
      </x:c>
      <x:c r="B275" s="22" t="str">
        <x:v>273</x:v>
      </x:c>
      <x:c r="C275" s="22" t="str">
        <x:v>item/name</x:v>
      </x:c>
      <x:c r="D275" s="21" t="str">
        <x:v>チェインメイル</x:v>
      </x:c>
      <x:c r="E275" s="19" t="str">
        <x:v>Chain Mail</x:v>
      </x:c>
      <x:c r="F275" s="20" t="str"/>
      <x:c r="G275" s="20" t="str"/>
      <x:c r="H275" s="23" t="str">
        <x:v>28 49 42 4A 4F 01 31 42 4A 4D</x:v>
      </x:c>
    </x:row>
    <x:row r="276">
      <x:c r="A276" s="22" t="str">
        <x:v>byte</x:v>
      </x:c>
      <x:c r="B276" s="22" t="str">
        <x:v>274</x:v>
      </x:c>
      <x:c r="C276" s="22" t="str">
        <x:v>item/name</x:v>
      </x:c>
      <x:c r="D276" s="21" t="str">
        <x:v>ボディコート</x:v>
      </x:c>
      <x:c r="E276" s="19" t="str">
        <x:v>Body Coat</x:v>
      </x:c>
      <x:c r="F276" s="20" t="str"/>
      <x:c r="G276" s="20" t="str"/>
      <x:c r="H276" s="23" t="str">
        <x:v>27 50 45 5A 01 28 50 42 55</x:v>
      </x:c>
    </x:row>
    <x:row r="277">
      <x:c r="A277" s="22" t="str">
        <x:v>byte</x:v>
      </x:c>
      <x:c r="B277" s="22" t="str">
        <x:v>275</x:v>
      </x:c>
      <x:c r="C277" s="22" t="str">
        <x:v>item/name</x:v>
      </x:c>
      <x:c r="D277" s="21" t="str">
        <x:v>ごうきんのふく</x:v>
      </x:c>
      <x:c r="E277" s="19" t="str">
        <x:v>Alloy Suit</x:v>
      </x:c>
      <x:c r="F277" s="20" t="str"/>
      <x:c r="G277" s="20" t="str"/>
      <x:c r="H277" s="23" t="str">
        <x:v>26 4D 4D 50 5A 01 0D 56 4A 55</x:v>
      </x:c>
    </x:row>
    <x:row r="278">
      <x:c r="A278" s="22" t="str">
        <x:v>byte</x:v>
      </x:c>
      <x:c r="B278" s="22" t="str">
        <x:v>276</x:v>
      </x:c>
      <x:c r="C278" s="22" t="str">
        <x:v>item/name</x:v>
      </x:c>
      <x:c r="D278" s="21" t="str">
        <x:v>さいしんのふく</x:v>
      </x:c>
      <x:c r="E278" s="19" t="str">
        <x:v>Modern Suit</x:v>
      </x:c>
      <x:c r="F278" s="20" t="str"/>
      <x:c r="G278" s="20" t="str"/>
      <x:c r="H278" s="23" t="str">
        <x:v>31 50 45 46 53 4F 01 0D 56 4A 55</x:v>
      </x:c>
    </x:row>
    <x:row r="279">
      <x:c r="A279" s="22" t="str">
        <x:v>byte</x:v>
      </x:c>
      <x:c r="B279" s="22" t="str">
        <x:v>277</x:v>
      </x:c>
      <x:c r="C279" s="22" t="str">
        <x:v>item/name</x:v>
      </x:c>
      <x:c r="D279" s="21" t="str">
        <x:v>おうのよろい</x:v>
      </x:c>
      <x:c r="E279" s="19" t="str">
        <x:v>King's Armor</x:v>
      </x:c>
      <x:c r="F279" s="20" t="str"/>
      <x:c r="G279" s="20" t="str"/>
      <x:c r="H279" s="23" t="str">
        <x:v>30 4A 4F 48 16 54 01 26 53 4E 50 53</x:v>
      </x:c>
    </x:row>
    <x:row r="280">
      <x:c r="A280" s="22" t="str">
        <x:v>byte</x:v>
      </x:c>
      <x:c r="B280" s="22" t="str">
        <x:v>278</x:v>
      </x:c>
      <x:c r="C280" s="22" t="str">
        <x:v>item/name</x:v>
      </x:c>
      <x:c r="D280" s="21" t="str">
        <x:v>ていばんのコート</x:v>
      </x:c>
      <x:c r="E280" s="19" t="str">
        <x:v>Classic Coat</x:v>
      </x:c>
      <x:c r="F280" s="20" t="str"/>
      <x:c r="G280" s="20" t="str"/>
      <x:c r="H280" s="23" t="str">
        <x:v>28 4D 42 54 54 4A 44 01 28 50 42 55</x:v>
      </x:c>
    </x:row>
    <x:row r="281">
      <x:c r="A281" s="22" t="str">
        <x:v>byte</x:v>
      </x:c>
      <x:c r="B281" s="22" t="str">
        <x:v>279</x:v>
      </x:c>
      <x:c r="C281" s="22" t="str">
        <x:v>item/name</x:v>
      </x:c>
      <x:c r="D281" s="21" t="str">
        <x:v>しんぴのふく</x:v>
      </x:c>
      <x:c r="E281" s="19" t="str">
        <x:v>Mystic Garb</x:v>
      </x:c>
      <x:c r="F281" s="20" t="str"/>
      <x:c r="G281" s="20" t="str"/>
      <x:c r="H281" s="23" t="str">
        <x:v>31 5A 54 55 4A 44 01 2C 42 53 43</x:v>
      </x:c>
    </x:row>
    <x:row r="282">
      <x:c r="A282" s="22" t="str">
        <x:v>byte</x:v>
      </x:c>
      <x:c r="B282" s="22" t="str">
        <x:v>280</x:v>
      </x:c>
      <x:c r="C282" s="22" t="str">
        <x:v>item/name</x:v>
      </x:c>
      <x:c r="D282" s="21" t="str">
        <x:v>ヘブンコート</x:v>
      </x:c>
      <x:c r="E282" s="19" t="str">
        <x:v>Heaven Coat</x:v>
      </x:c>
      <x:c r="F282" s="20" t="str"/>
      <x:c r="G282" s="20" t="str"/>
      <x:c r="H282" s="23" t="str">
        <x:v>2D 46 42 57 46 4F 01 28 50 42 55</x:v>
      </x:c>
    </x:row>
    <x:row r="283">
      <x:c r="A283" s="22" t="str">
        <x:v>byte</x:v>
      </x:c>
      <x:c r="B283" s="22" t="str">
        <x:v>281</x:v>
      </x:c>
      <x:c r="C283" s="22" t="str">
        <x:v>item/name</x:v>
      </x:c>
      <x:c r="D283" s="21" t="str">
        <x:v>ボディコンシャス</x:v>
      </x:c>
      <x:c r="E283" s="19" t="str">
        <x:v>Bodycon Dress</x:v>
      </x:c>
      <x:c r="F283" s="20" t="str"/>
      <x:c r="G283" s="20" t="str"/>
      <x:c r="H283" s="23" t="str">
        <x:v>27 50 45 5A 44 50 4F 01 29 53 46 54 54</x:v>
      </x:c>
    </x:row>
    <x:row r="284">
      <x:c r="A284" s="22" t="str">
        <x:v>byte</x:v>
      </x:c>
      <x:c r="B284" s="22" t="str">
        <x:v>282</x:v>
      </x:c>
      <x:c r="C284" s="22" t="str">
        <x:v>item/name</x:v>
      </x:c>
      <x:c r="D284" s="21" t="str">
        <x:v>ひけしのふく</x:v>
      </x:c>
      <x:c r="E284" s="19" t="str">
        <x:v>Firefighter Suit</x:v>
      </x:c>
      <x:c r="F284" s="20" t="str"/>
      <x:c r="G284" s="20" t="str"/>
      <x:c r="H284" s="23" t="str">
        <x:v>2B 4A 53 46 47 4A 48 49 55 46 53 01 0D 56 4A 55</x:v>
      </x:c>
    </x:row>
    <x:row r="285">
      <x:c r="A285" s="22" t="str">
        <x:v>byte</x:v>
      </x:c>
      <x:c r="B285" s="22" t="str">
        <x:v>283</x:v>
      </x:c>
      <x:c r="C285" s="22" t="str">
        <x:v>item/name</x:v>
      </x:c>
      <x:c r="D285" s="21" t="str">
        <x:v>アテナスーツ</x:v>
      </x:c>
      <x:c r="E285" s="19" t="str">
        <x:v>Athena Suit</x:v>
      </x:c>
      <x:c r="F285" s="20" t="str"/>
      <x:c r="G285" s="20" t="str"/>
      <x:c r="H285" s="23" t="str">
        <x:v>26 55 49 46 4F 42 01 0D 56 4A 55</x:v>
      </x:c>
    </x:row>
    <x:row r="286">
      <x:c r="A286" s="22" t="str">
        <x:v>byte</x:v>
      </x:c>
      <x:c r="B286" s="22" t="str">
        <x:v>284</x:v>
      </x:c>
      <x:c r="C286" s="22" t="str">
        <x:v>item/name</x:v>
      </x:c>
      <x:c r="D286" s="21" t="str">
        <x:v>ゴールドコート</x:v>
      </x:c>
      <x:c r="E286" s="19" t="str">
        <x:v>Gold Coat</x:v>
      </x:c>
      <x:c r="F286" s="20" t="str"/>
      <x:c r="G286" s="20" t="str"/>
      <x:c r="H286" s="23" t="str">
        <x:v>2C 50 4D 45 01 28 50 42 55</x:v>
      </x:c>
    </x:row>
    <x:row r="287">
      <x:c r="A287" s="22" t="str">
        <x:v>byte</x:v>
      </x:c>
      <x:c r="B287" s="22" t="str">
        <x:v>285</x:v>
      </x:c>
      <x:c r="C287" s="22" t="str">
        <x:v>item/name</x:v>
      </x:c>
      <x:c r="D287" s="21" t="str">
        <x:v>デビルコート</x:v>
      </x:c>
      <x:c r="E287" s="19" t="str">
        <x:v>Devil Coat</x:v>
      </x:c>
      <x:c r="F287" s="20" t="str"/>
      <x:c r="G287" s="20" t="str"/>
      <x:c r="H287" s="23" t="str">
        <x:v>29 46 57 4A 4D 01 28 50 42 55</x:v>
      </x:c>
    </x:row>
    <x:row r="288">
      <x:c r="A288" s="22" t="str">
        <x:v>byte</x:v>
      </x:c>
      <x:c r="B288" s="22" t="str">
        <x:v>286</x:v>
      </x:c>
      <x:c r="C288" s="22" t="str">
        <x:v>item/name</x:v>
      </x:c>
      <x:c r="D288" s="21" t="str">
        <x:v>チャイナドレス</x:v>
      </x:c>
      <x:c r="E288" s="19" t="str">
        <x:v>China Dress</x:v>
      </x:c>
      <x:c r="F288" s="20" t="str"/>
      <x:c r="G288" s="20" t="str"/>
      <x:c r="H288" s="23" t="str">
        <x:v>28 49 4A 4F 42 01 29 53 46 54 54</x:v>
      </x:c>
    </x:row>
    <x:row r="289">
      <x:c r="A289" s="22" t="str">
        <x:v>byte</x:v>
      </x:c>
      <x:c r="B289" s="22" t="str">
        <x:v>287</x:v>
      </x:c>
      <x:c r="C289" s="22" t="str">
        <x:v>item/name</x:v>
      </x:c>
      <x:c r="D289" s="21" t="str">
        <x:v>チャイナブーツ</x:v>
      </x:c>
      <x:c r="E289" s="19" t="str">
        <x:v>China Boots</x:v>
      </x:c>
      <x:c r="F289" s="20" t="str"/>
      <x:c r="G289" s="20" t="str"/>
      <x:c r="H289" s="23" t="str">
        <x:v>28 49 4A 4F 42 01 27 50 50 55 54</x:v>
      </x:c>
    </x:row>
    <x:row r="290">
      <x:c r="A290" s="22" t="str">
        <x:v>byte</x:v>
      </x:c>
      <x:c r="B290" s="22" t="str">
        <x:v>288</x:v>
      </x:c>
      <x:c r="C290" s="22" t="str">
        <x:v>item/name</x:v>
      </x:c>
      <x:c r="D290" s="21" t="str">
        <x:v>ペナント</x:v>
      </x:c>
      <x:c r="E290" s="19" t="str">
        <x:v>Pennant</x:v>
      </x:c>
      <x:c r="F290" s="20" t="str"/>
      <x:c r="G290" s="20" t="str"/>
      <x:c r="H290" s="23" t="str">
        <x:v>0E 46 4F 4F 42 4F 55</x:v>
      </x:c>
    </x:row>
    <x:row r="291">
      <x:c r="A291" s="22" t="str">
        <x:v>byte</x:v>
      </x:c>
      <x:c r="B291" s="22" t="str">
        <x:v>289</x:v>
      </x:c>
      <x:c r="C291" s="22" t="str">
        <x:v>item/name</x:v>
      </x:c>
      <x:c r="D291" s="21" t="str">
        <x:v>いしのたて</x:v>
      </x:c>
      <x:c r="E291" s="19" t="str">
        <x:v>Stone Shield</x:v>
      </x:c>
      <x:c r="F291" s="20" t="str"/>
      <x:c r="G291" s="20" t="str"/>
      <x:c r="H291" s="23" t="str">
        <x:v>0D 55 50 4F 46 01 0D 49 4A 46 4D 45</x:v>
      </x:c>
    </x:row>
    <x:row r="292">
      <x:c r="A292" s="22" t="str">
        <x:v>byte</x:v>
      </x:c>
      <x:c r="B292" s="22" t="str">
        <x:v>290</x:v>
      </x:c>
      <x:c r="C292" s="22" t="str">
        <x:v>item/name</x:v>
      </x:c>
      <x:c r="D292" s="21" t="str">
        <x:v>きんぞくたて</x:v>
      </x:c>
      <x:c r="E292" s="19" t="str">
        <x:v>Metal Shield</x:v>
      </x:c>
      <x:c r="F292" s="20" t="str"/>
      <x:c r="G292" s="20" t="str"/>
      <x:c r="H292" s="23" t="str">
        <x:v>31 46 55 42 4D 01 0D 49 4A 46 4D 45</x:v>
      </x:c>
    </x:row>
    <x:row r="293">
      <x:c r="A293" s="22" t="str">
        <x:v>byte</x:v>
      </x:c>
      <x:c r="B293" s="22" t="str">
        <x:v>291</x:v>
      </x:c>
      <x:c r="C293" s="22" t="str">
        <x:v>item/name</x:v>
      </x:c>
      <x:c r="D293" s="21" t="str">
        <x:v>おうのたて</x:v>
      </x:c>
      <x:c r="E293" s="19" t="str">
        <x:v>King's Shield</x:v>
      </x:c>
      <x:c r="F293" s="20" t="str"/>
      <x:c r="G293" s="20" t="str"/>
      <x:c r="H293" s="23" t="str">
        <x:v>30 4A 4F 48 16 54 01 0D 49 4A 46 4D 45</x:v>
      </x:c>
    </x:row>
    <x:row r="294">
      <x:c r="A294" s="22" t="str">
        <x:v>byte</x:v>
      </x:c>
      <x:c r="B294" s="22" t="str">
        <x:v>292</x:v>
      </x:c>
      <x:c r="C294" s="22" t="str">
        <x:v>item/name</x:v>
      </x:c>
      <x:c r="D294" s="21" t="str">
        <x:v>しんぴのたて</x:v>
      </x:c>
      <x:c r="E294" s="19" t="str">
        <x:v>Mystic Shield</x:v>
      </x:c>
      <x:c r="F294" s="20" t="str"/>
      <x:c r="G294" s="20" t="str"/>
      <x:c r="H294" s="23" t="str">
        <x:v>31 5A 54 55 4A 44 01 0D 49 4A 46 4D 45</x:v>
      </x:c>
    </x:row>
    <x:row r="295">
      <x:c r="A295" s="22" t="str">
        <x:v>byte</x:v>
      </x:c>
      <x:c r="B295" s="22" t="str">
        <x:v>293</x:v>
      </x:c>
      <x:c r="C295" s="22" t="str">
        <x:v>item/name</x:v>
      </x:c>
      <x:c r="D295" s="21" t="str">
        <x:v>じゅんきんのたて</x:v>
      </x:c>
      <x:c r="E295" s="19" t="str">
        <x:v>Pure Gold Shield</x:v>
      </x:c>
      <x:c r="F295" s="20" t="str"/>
      <x:c r="G295" s="20" t="str"/>
      <x:c r="H295" s="23" t="str">
        <x:v>0E 56 53 46 01 2C 50 4D 45 01 0D 49 4A 46 4D 45</x:v>
      </x:c>
    </x:row>
    <x:row r="296">
      <x:c r="A296" s="22" t="str">
        <x:v>byte</x:v>
      </x:c>
      <x:c r="B296" s="22" t="str">
        <x:v>294</x:v>
      </x:c>
      <x:c r="C296" s="22" t="str">
        <x:v>item/name</x:v>
      </x:c>
      <x:c r="D296" s="21" t="str">
        <x:v>せいなるたて</x:v>
      </x:c>
      <x:c r="E296" s="19" t="str">
        <x:v>Holy Shield</x:v>
      </x:c>
      <x:c r="F296" s="20" t="str"/>
      <x:c r="G296" s="20" t="str"/>
      <x:c r="H296" s="23" t="str">
        <x:v>2D 50 4D 5A 01 0D 49 4A 46 4D 45</x:v>
      </x:c>
    </x:row>
    <x:row r="297">
      <x:c r="A297" s="22" t="str">
        <x:v>byte</x:v>
      </x:c>
      <x:c r="B297" s="22" t="str">
        <x:v>295</x:v>
      </x:c>
      <x:c r="C297" s="22" t="str">
        <x:v>item/name</x:v>
      </x:c>
      <x:c r="D297" s="21" t="str">
        <x:v>チャイナパッド</x:v>
      </x:c>
      <x:c r="E297" s="19" t="str">
        <x:v>China Pad</x:v>
      </x:c>
      <x:c r="F297" s="20" t="str"/>
      <x:c r="G297" s="20" t="str"/>
      <x:c r="H297" s="23" t="str">
        <x:v>28 49 4A 4F 42 01 0E 42 45</x:v>
      </x:c>
    </x:row>
    <x:row r="298">
      <x:c r="A298" s="22" t="str">
        <x:v>byte</x:v>
      </x:c>
      <x:c r="B298" s="22" t="str">
        <x:v>296</x:v>
      </x:c>
      <x:c r="C298" s="22" t="str">
        <x:v>item/name</x:v>
      </x:c>
      <x:c r="D298" s="21" t="str">
        <x:v>こうらのこて</x:v>
      </x:c>
      <x:c r="E298" s="19" t="str">
        <x:v>Shell Gauntlet</x:v>
      </x:c>
      <x:c r="F298" s="20" t="str"/>
      <x:c r="G298" s="20" t="str"/>
      <x:c r="H298" s="23" t="str">
        <x:v>0D 49 46 4D 4D 01 2C 42 56 4F 55 4D 46 55</x:v>
      </x:c>
    </x:row>
    <x:row r="299">
      <x:c r="A299" s="22" t="str">
        <x:v>byte</x:v>
      </x:c>
      <x:c r="B299" s="22" t="str">
        <x:v>297</x:v>
      </x:c>
      <x:c r="C299" s="22" t="str">
        <x:v>item/name</x:v>
      </x:c>
      <x:c r="D299" s="21" t="str"/>
      <x:c r="E299" s="19" t="str"/>
      <x:c r="F299" s="20" t="str"/>
      <x:c r="G299" s="20" t="str"/>
      <x:c r="H299" s="23" t="str"/>
    </x:row>
    <x:row r="300">
      <x:c r="A300" s="22" t="str">
        <x:v>byte</x:v>
      </x:c>
      <x:c r="B300" s="22" t="str">
        <x:v>298</x:v>
      </x:c>
      <x:c r="C300" s="22" t="str">
        <x:v>item/name</x:v>
      </x:c>
      <x:c r="D300" s="21" t="str"/>
      <x:c r="E300" s="19" t="str"/>
      <x:c r="F300" s="20" t="str"/>
      <x:c r="G300" s="20" t="str"/>
      <x:c r="H300" s="23" t="str"/>
    </x:row>
    <x:row r="301">
      <x:c r="A301" s="22" t="str">
        <x:v>byte</x:v>
      </x:c>
      <x:c r="B301" s="22" t="str">
        <x:v>299</x:v>
      </x:c>
      <x:c r="C301" s="22" t="str">
        <x:v>item/name</x:v>
      </x:c>
      <x:c r="D301" s="21" t="str">
        <x:v>きれのぼうし</x:v>
      </x:c>
      <x:c r="E301" s="19" t="str">
        <x:v>Cloth Cap</x:v>
      </x:c>
      <x:c r="F301" s="20" t="str"/>
      <x:c r="G301" s="20" t="str"/>
      <x:c r="H301" s="23" t="str">
        <x:v>28 4D 50 55 49 01 28 42 51</x:v>
      </x:c>
    </x:row>
    <x:row r="302">
      <x:c r="A302" s="22" t="str">
        <x:v>byte</x:v>
      </x:c>
      <x:c r="B302" s="22" t="str">
        <x:v>300</x:v>
      </x:c>
      <x:c r="C302" s="22" t="str">
        <x:v>item/name</x:v>
      </x:c>
      <x:c r="D302" s="21" t="str">
        <x:v>コックぼう</x:v>
      </x:c>
      <x:c r="E302" s="19" t="str">
        <x:v>Chef's Hat</x:v>
      </x:c>
      <x:c r="F302" s="20" t="str"/>
      <x:c r="G302" s="20" t="str"/>
      <x:c r="H302" s="23" t="str">
        <x:v>28 49 46 47 16 54 01 2D 42 55</x:v>
      </x:c>
    </x:row>
    <x:row r="303">
      <x:c r="A303" s="22" t="str">
        <x:v>byte</x:v>
      </x:c>
      <x:c r="B303" s="22" t="str">
        <x:v>301</x:v>
      </x:c>
      <x:c r="C303" s="22" t="str">
        <x:v>item/name</x:v>
      </x:c>
      <x:c r="D303" s="21" t="str">
        <x:v>ピナぼうし</x:v>
      </x:c>
      <x:c r="E303" s="19" t="str">
        <x:v>Pina Hat</x:v>
      </x:c>
      <x:c r="F303" s="20" t="str"/>
      <x:c r="G303" s="20" t="str"/>
      <x:c r="H303" s="23" t="str">
        <x:v>0E 4A 4F 42 01 2D 42 55</x:v>
      </x:c>
    </x:row>
    <x:row r="304">
      <x:c r="A304" s="22" t="str">
        <x:v>byte</x:v>
      </x:c>
      <x:c r="B304" s="22" t="str">
        <x:v>302</x:v>
      </x:c>
      <x:c r="C304" s="22" t="str">
        <x:v>item/name</x:v>
      </x:c>
      <x:c r="D304" s="21" t="str">
        <x:v>テンガロンハット</x:v>
      </x:c>
      <x:c r="E304" s="19" t="str">
        <x:v>Ten-Gallon Hat</x:v>
      </x:c>
      <x:c r="F304" s="20" t="str"/>
      <x:c r="G304" s="20" t="str"/>
      <x:c r="H304" s="23" t="str">
        <x:v>36 46 4F 1C 2C 42 4D 4D 50 4F 01 2D 42 55</x:v>
      </x:c>
    </x:row>
    <x:row r="305">
      <x:c r="A305" s="22" t="str">
        <x:v>byte</x:v>
      </x:c>
      <x:c r="B305" s="22" t="str">
        <x:v>303</x:v>
      </x:c>
      <x:c r="C305" s="22" t="str">
        <x:v>item/name</x:v>
      </x:c>
      <x:c r="D305" s="21" t="str">
        <x:v>レディウォッチ</x:v>
      </x:c>
      <x:c r="E305" s="19" t="str">
        <x:v>Lady Watch</x:v>
      </x:c>
      <x:c r="F305" s="20" t="str"/>
      <x:c r="G305" s="20" t="str"/>
      <x:c r="H305" s="23" t="str">
        <x:v>0C 42 45 5A 01 39 42 55 44 49</x:v>
      </x:c>
    </x:row>
    <x:row r="306">
      <x:c r="A306" s="22" t="str">
        <x:v>byte</x:v>
      </x:c>
      <x:c r="B306" s="22" t="str">
        <x:v>304</x:v>
      </x:c>
      <x:c r="C306" s="22" t="str">
        <x:v>item/name</x:v>
      </x:c>
      <x:c r="D306" s="21" t="str">
        <x:v>ヘルメット</x:v>
      </x:c>
      <x:c r="E306" s="19" t="str">
        <x:v>Helmet</x:v>
      </x:c>
      <x:c r="F306" s="20" t="str"/>
      <x:c r="G306" s="20" t="str"/>
      <x:c r="H306" s="23" t="str">
        <x:v>2D 46 4D 4E 46 55</x:v>
      </x:c>
    </x:row>
    <x:row r="307">
      <x:c r="A307" s="22" t="str">
        <x:v>byte</x:v>
      </x:c>
      <x:c r="B307" s="22" t="str">
        <x:v>305</x:v>
      </x:c>
      <x:c r="C307" s="22" t="str">
        <x:v>item/name</x:v>
      </x:c>
      <x:c r="D307" s="21" t="str">
        <x:v>ゴールドハット</x:v>
      </x:c>
      <x:c r="E307" s="19" t="str">
        <x:v>Gold Hat</x:v>
      </x:c>
      <x:c r="F307" s="20" t="str"/>
      <x:c r="G307" s="20" t="str"/>
      <x:c r="H307" s="23" t="str">
        <x:v>2C 50 4D 45 01 2D 42 55</x:v>
      </x:c>
    </x:row>
    <x:row r="308">
      <x:c r="A308" s="22" t="str">
        <x:v>byte</x:v>
      </x:c>
      <x:c r="B308" s="22" t="str">
        <x:v>306</x:v>
      </x:c>
      <x:c r="C308" s="22" t="str">
        <x:v>item/name</x:v>
      </x:c>
      <x:c r="D308" s="21" t="str">
        <x:v>ベビーマスク</x:v>
      </x:c>
      <x:c r="E308" s="19" t="str">
        <x:v>Baby Mask</x:v>
      </x:c>
      <x:c r="F308" s="20" t="str"/>
      <x:c r="G308" s="20" t="str"/>
      <x:c r="H308" s="23" t="str">
        <x:v>27 42 43 5A 01 31 42 54 4C</x:v>
      </x:c>
    </x:row>
    <x:row r="309">
      <x:c r="A309" s="22" t="str">
        <x:v>byte</x:v>
      </x:c>
      <x:c r="B309" s="22" t="str">
        <x:v>307</x:v>
      </x:c>
      <x:c r="C309" s="22" t="str">
        <x:v>item/name</x:v>
      </x:c>
      <x:c r="D309" s="21" t="str">
        <x:v>チャイナぼうし</x:v>
      </x:c>
      <x:c r="E309" s="19" t="str">
        <x:v>China Hat</x:v>
      </x:c>
      <x:c r="F309" s="20" t="str"/>
      <x:c r="G309" s="20" t="str"/>
      <x:c r="H309" s="23" t="str">
        <x:v>28 49 4A 4F 42 01 2D 42 55</x:v>
      </x:c>
    </x:row>
    <x:row r="310">
      <x:c r="A310" s="22" t="str">
        <x:v>byte</x:v>
      </x:c>
      <x:c r="B310" s="22" t="str">
        <x:v>308</x:v>
      </x:c>
      <x:c r="C310" s="22" t="str">
        <x:v>item/name</x:v>
      </x:c>
      <x:c r="D310" s="21" t="str">
        <x:v>シアネルリボン</x:v>
      </x:c>
      <x:c r="E310" s="19" t="str">
        <x:v>Shianel Ribbon</x:v>
      </x:c>
      <x:c r="F310" s="20" t="str"/>
      <x:c r="G310" s="20" t="str"/>
      <x:c r="H310" s="23" t="str">
        <x:v>0D 49 4A 42 4F 46 4D 01 35 4A 43 43 50 4F</x:v>
      </x:c>
    </x:row>
    <x:row r="311">
      <x:c r="A311" s="22" t="str">
        <x:v>byte</x:v>
      </x:c>
      <x:c r="B311" s="22" t="str">
        <x:v>309</x:v>
      </x:c>
      <x:c r="C311" s="22" t="str">
        <x:v>item/name</x:v>
      </x:c>
      <x:c r="D311" s="21" t="str">
        <x:v>ベルサチスコップ</x:v>
      </x:c>
      <x:c r="E311" s="19" t="str">
        <x:v>Versachi Shovel</x:v>
      </x:c>
      <x:c r="F311" s="20" t="str"/>
      <x:c r="G311" s="20" t="str"/>
      <x:c r="H311" s="23" t="str">
        <x:v>38 46 53 54 42 44 49 4A 01 0D 49 50 57 46 4D</x:v>
      </x:c>
    </x:row>
    <x:row r="312">
      <x:c r="A312" s="22" t="str">
        <x:v>byte</x:v>
      </x:c>
      <x:c r="B312" s="22" t="str">
        <x:v>310</x:v>
      </x:c>
      <x:c r="C312" s="22" t="str">
        <x:v>item/name</x:v>
      </x:c>
      <x:c r="D312" s="21" t="str">
        <x:v>おくすり</x:v>
      </x:c>
      <x:c r="E312" s="19" t="str">
        <x:v>Medicine</x:v>
      </x:c>
      <x:c r="F312" s="20" t="str"/>
      <x:c r="G312" s="20" t="str"/>
      <x:c r="H312" s="23" t="str">
        <x:v>31 46 45 4A 44 4A 4F 46</x:v>
      </x:c>
    </x:row>
    <x:row r="313">
      <x:c r="A313" s="22" t="str">
        <x:v>byte</x:v>
      </x:c>
      <x:c r="B313" s="22" t="str">
        <x:v>311</x:v>
      </x:c>
      <x:c r="C313" s="22" t="str">
        <x:v>item/name</x:v>
      </x:c>
      <x:c r="D313" s="21" t="str">
        <x:v>どくちゅうわ</x:v>
      </x:c>
      <x:c r="E313" s="19" t="str">
        <x:v>Antidote</x:v>
      </x:c>
      <x:c r="F313" s="20" t="str"/>
      <x:c r="G313" s="20" t="str"/>
      <x:c r="H313" s="23" t="str">
        <x:v>26 4F 55 4A 45 50 55 46</x:v>
      </x:c>
    </x:row>
    <x:row r="314">
      <x:c r="A314" s="22" t="str">
        <x:v>byte</x:v>
      </x:c>
      <x:c r="B314" s="22" t="str">
        <x:v>312</x:v>
      </x:c>
      <x:c r="C314" s="22" t="str">
        <x:v>item/name</x:v>
      </x:c>
      <x:c r="D314" s="21" t="str">
        <x:v>マヒノン</x:v>
      </x:c>
      <x:c r="E314" s="19" t="str">
        <x:v>Para-Cure</x:v>
      </x:c>
      <x:c r="F314" s="20" t="str"/>
      <x:c r="G314" s="20" t="str"/>
      <x:c r="H314" s="23" t="str">
        <x:v>0E 42 53 42 1C 28 56 53 46</x:v>
      </x:c>
    </x:row>
    <x:row r="315">
      <x:c r="A315" s="22" t="str">
        <x:v>byte</x:v>
      </x:c>
      <x:c r="B315" s="22" t="str">
        <x:v>313</x:v>
      </x:c>
      <x:c r="C315" s="22" t="str">
        <x:v>item/name</x:v>
      </x:c>
      <x:c r="D315" s="21" t="str">
        <x:v>おふだ</x:v>
      </x:c>
      <x:c r="E315" s="19" t="str">
        <x:v>Ward Charm</x:v>
      </x:c>
      <x:c r="F315" s="20" t="str"/>
      <x:c r="G315" s="20" t="str"/>
      <x:c r="H315" s="23" t="str">
        <x:v>39 42 53 45 01 28 49 42 53 4E</x:v>
      </x:c>
    </x:row>
    <x:row r="316">
      <x:c r="A316" s="22" t="str">
        <x:v>byte</x:v>
      </x:c>
      <x:c r="B316" s="22" t="str">
        <x:v>314</x:v>
      </x:c>
      <x:c r="C316" s="22" t="str">
        <x:v>item/name</x:v>
      </x:c>
      <x:c r="D316" s="21" t="str">
        <x:v>スプリング</x:v>
      </x:c>
      <x:c r="E316" s="19" t="str">
        <x:v>Spring</x:v>
      </x:c>
      <x:c r="F316" s="20" t="str"/>
      <x:c r="G316" s="20" t="str"/>
      <x:c r="H316" s="23" t="str">
        <x:v>0D 51 53 4A 4F 48</x:v>
      </x:c>
    </x:row>
    <x:row r="317">
      <x:c r="A317" s="22" t="str">
        <x:v>byte</x:v>
      </x:c>
      <x:c r="B317" s="22" t="str">
        <x:v>315</x:v>
      </x:c>
      <x:c r="C317" s="22" t="str">
        <x:v>item/name</x:v>
      </x:c>
      <x:c r="D317" s="21" t="str">
        <x:v>まかいのにく</x:v>
      </x:c>
      <x:c r="E317" s="19" t="str">
        <x:v>Demon Meat</x:v>
      </x:c>
      <x:c r="F317" s="20" t="str"/>
      <x:c r="G317" s="20" t="str"/>
      <x:c r="H317" s="23" t="str">
        <x:v>29 46 4E 50 4F 01 31 46 42 55</x:v>
      </x:c>
    </x:row>
    <x:row r="318">
      <x:c r="A318" s="22" t="str">
        <x:v>byte</x:v>
      </x:c>
      <x:c r="B318" s="22" t="str">
        <x:v>316</x:v>
      </x:c>
      <x:c r="C318" s="22" t="str">
        <x:v>item/name</x:v>
      </x:c>
      <x:c r="D318" s="21" t="str">
        <x:v>マジックウォータ</x:v>
      </x:c>
      <x:c r="E318" s="19" t="str">
        <x:v>Magic Water</x:v>
      </x:c>
      <x:c r="F318" s="20" t="str"/>
      <x:c r="G318" s="20" t="str"/>
      <x:c r="H318" s="23" t="str">
        <x:v>31 42 48 4A 44 01 39 42 55 46 53</x:v>
      </x:c>
    </x:row>
    <x:row r="319">
      <x:c r="A319" s="22" t="str">
        <x:v>byte</x:v>
      </x:c>
      <x:c r="B319" s="22" t="str">
        <x:v>317</x:v>
      </x:c>
      <x:c r="C319" s="22" t="str">
        <x:v>item/name</x:v>
      </x:c>
      <x:c r="D319" s="21" t="str">
        <x:v>テレショップ</x:v>
      </x:c>
      <x:c r="E319" s="19" t="str">
        <x:v>Teleshop</x:v>
      </x:c>
      <x:c r="F319" s="20" t="str"/>
      <x:c r="G319" s="20" t="str"/>
      <x:c r="H319" s="23" t="str">
        <x:v>36 46 4D 46 54 49 50 51</x:v>
      </x:c>
    </x:row>
    <x:row r="320">
      <x:c r="A320" s="22" t="str">
        <x:v>byte</x:v>
      </x:c>
      <x:c r="B320" s="22" t="str">
        <x:v>318</x:v>
      </x:c>
      <x:c r="C320" s="22" t="str">
        <x:v>item/name</x:v>
      </x:c>
      <x:c r="D320" s="21" t="str">
        <x:v>ゲムおかし</x:v>
      </x:c>
      <x:c r="E320" s="19" t="str">
        <x:v>Gem Snack</x:v>
      </x:c>
      <x:c r="F320" s="20" t="str"/>
      <x:c r="G320" s="20" t="str"/>
      <x:c r="H320" s="23" t="str">
        <x:v>2C 46 4E 01 0D 4F 42 44 4C</x:v>
      </x:c>
    </x:row>
    <x:row r="321">
      <x:c r="A321" s="22" t="str">
        <x:v>byte</x:v>
      </x:c>
      <x:c r="B321" s="22" t="str">
        <x:v>319</x:v>
      </x:c>
      <x:c r="C321" s="22" t="str">
        <x:v>item/name</x:v>
      </x:c>
      <x:c r="D321" s="21" t="str">
        <x:v>パワーチャージ</x:v>
      </x:c>
      <x:c r="E321" s="19" t="str">
        <x:v>Power Charge</x:v>
      </x:c>
      <x:c r="F321" s="20" t="str"/>
      <x:c r="G321" s="20" t="str"/>
      <x:c r="H321" s="23" t="str">
        <x:v>0E 50 58 46 53 01 28 49 42 53 48 46</x:v>
      </x:c>
    </x:row>
    <x:row r="322">
      <x:c r="A322" s="22" t="str">
        <x:v>byte</x:v>
      </x:c>
      <x:c r="B322" s="22" t="str">
        <x:v>320</x:v>
      </x:c>
      <x:c r="C322" s="22" t="str">
        <x:v>item/name</x:v>
      </x:c>
      <x:c r="D322" s="21" t="str">
        <x:v>カジノのコイン</x:v>
      </x:c>
      <x:c r="E322" s="19" t="str">
        <x:v>Casino Coin</x:v>
      </x:c>
      <x:c r="F322" s="20" t="str"/>
      <x:c r="G322" s="20" t="str"/>
      <x:c r="H322" s="23" t="str">
        <x:v>28 42 54 4A 4F 50 01 28 50 4A 4F</x:v>
      </x:c>
    </x:row>
    <x:row r="323">
      <x:c r="A323" s="22" t="str">
        <x:v>byte</x:v>
      </x:c>
      <x:c r="B323" s="22" t="str">
        <x:v>321</x:v>
      </x:c>
      <x:c r="C323" s="22" t="str">
        <x:v>item/name</x:v>
      </x:c>
      <x:c r="D323" s="21" t="str">
        <x:v>ひかるビーダマ</x:v>
      </x:c>
      <x:c r="E323" s="19" t="str">
        <x:v>Shining Marble</x:v>
      </x:c>
      <x:c r="F323" s="20" t="str"/>
      <x:c r="G323" s="20" t="str"/>
      <x:c r="H323" s="23" t="str">
        <x:v>0D 49 4A 4F 4A 4F 48 01 31 42 53 43 4D 46</x:v>
      </x:c>
    </x:row>
    <x:row r="324">
      <x:c r="A324" s="22" t="str">
        <x:v>byte</x:v>
      </x:c>
      <x:c r="B324" s="22" t="str">
        <x:v>322</x:v>
      </x:c>
      <x:c r="C324" s="22" t="str">
        <x:v>item/name</x:v>
      </x:c>
      <x:c r="D324" s="21" t="str">
        <x:v>チカルシウム</x:v>
      </x:c>
      <x:c r="E324" s="19" t="str">
        <x:v>Power Calcium</x:v>
      </x:c>
      <x:c r="F324" s="20" t="str"/>
      <x:c r="G324" s="20" t="str"/>
      <x:c r="H324" s="23" t="str">
        <x:v>0E 50 58 46 53 01 28 42 4D 44 4A 56 4E</x:v>
      </x:c>
    </x:row>
    <x:row r="325">
      <x:c r="A325" s="22" t="str">
        <x:v>byte</x:v>
      </x:c>
      <x:c r="B325" s="22" t="str">
        <x:v>323</x:v>
      </x:c>
      <x:c r="C325" s="22" t="str">
        <x:v>item/name</x:v>
      </x:c>
      <x:c r="D325" s="21" t="str">
        <x:v>チャージンガム</x:v>
      </x:c>
      <x:c r="E325" s="19" t="str">
        <x:v>Charging Gum</x:v>
      </x:c>
      <x:c r="F325" s="20" t="str"/>
      <x:c r="G325" s="20" t="str"/>
      <x:c r="H325" s="23" t="str">
        <x:v>28 49 42 53 48 4A 4F 48 01 2C 56 4E</x:v>
      </x:c>
    </x:row>
    <x:row r="326">
      <x:c r="A326" s="22" t="str">
        <x:v>byte</x:v>
      </x:c>
      <x:c r="B326" s="22" t="str">
        <x:v>324</x:v>
      </x:c>
      <x:c r="C326" s="22" t="str">
        <x:v>item/name</x:v>
      </x:c>
      <x:c r="D326" s="21" t="str">
        <x:v>チョコレータム</x:v>
      </x:c>
      <x:c r="E326" s="19" t="str">
        <x:v>Chocolatum</x:v>
      </x:c>
      <x:c r="F326" s="20" t="str"/>
      <x:c r="G326" s="20" t="str"/>
      <x:c r="H326" s="23" t="str">
        <x:v>28 49 50 44 50 4D 42 55 56 4E</x:v>
      </x:c>
    </x:row>
    <x:row r="327">
      <x:c r="A327" s="22" t="str">
        <x:v>byte</x:v>
      </x:c>
      <x:c r="B327" s="22" t="str">
        <x:v>325</x:v>
      </x:c>
      <x:c r="C327" s="22" t="str">
        <x:v>item/name</x:v>
      </x:c>
      <x:c r="D327" s="21" t="str">
        <x:v>マジキャンデー</x:v>
      </x:c>
      <x:c r="E327" s="19" t="str">
        <x:v>Magic Candy</x:v>
      </x:c>
      <x:c r="F327" s="20" t="str"/>
      <x:c r="G327" s="20" t="str"/>
      <x:c r="H327" s="23" t="str">
        <x:v>31 42 48 4A 44 01 28 42 4F 45 5A</x:v>
      </x:c>
    </x:row>
    <x:row r="328">
      <x:c r="A328" s="22" t="str">
        <x:v>byte</x:v>
      </x:c>
      <x:c r="B328" s="22" t="str">
        <x:v>326</x:v>
      </x:c>
      <x:c r="C328" s="22" t="str">
        <x:v>item/name</x:v>
      </x:c>
      <x:c r="D328" s="21" t="str">
        <x:v>ライブアゲイン</x:v>
      </x:c>
      <x:c r="E328" s="19" t="str">
        <x:v>Live Again</x:v>
      </x:c>
      <x:c r="F328" s="20" t="str"/>
      <x:c r="G328" s="20" t="str"/>
      <x:c r="H328" s="23" t="str">
        <x:v>0C 4A 57 46 01 26 48 42 4A 4F</x:v>
      </x:c>
    </x:row>
    <x:row r="329">
      <x:c r="A329" s="22" t="str">
        <x:v>byte</x:v>
      </x:c>
      <x:c r="B329" s="22" t="str">
        <x:v>327</x:v>
      </x:c>
      <x:c r="C329" s="22" t="str">
        <x:v>item/name</x:v>
      </x:c>
      <x:c r="D329" s="21" t="str">
        <x:v>セントウォーター</x:v>
      </x:c>
      <x:c r="E329" s="19" t="str">
        <x:v>Holy Water</x:v>
      </x:c>
      <x:c r="F329" s="20" t="str"/>
      <x:c r="G329" s="20" t="str"/>
      <x:c r="H329" s="23" t="str">
        <x:v>2D 50 4D 5A 01 39 42 55 46 53</x:v>
      </x:c>
    </x:row>
    <x:row r="330">
      <x:c r="A330" s="22" t="str">
        <x:v>byte</x:v>
      </x:c>
      <x:c r="B330" s="22" t="str">
        <x:v>328</x:v>
      </x:c>
      <x:c r="C330" s="22" t="str">
        <x:v>item/name</x:v>
      </x:c>
      <x:c r="D330" s="21" t="str">
        <x:v>ルイスウィップ</x:v>
      </x:c>
      <x:c r="E330" s="19" t="str">
        <x:v>Louis Whip</x:v>
      </x:c>
      <x:c r="F330" s="20" t="str"/>
      <x:c r="G330" s="20" t="str"/>
      <x:c r="H330" s="23" t="str">
        <x:v>0C 50 56 4A 54 01 39 49 4A 51</x:v>
      </x:c>
    </x:row>
    <x:row r="331">
      <x:c r="A331" s="22" t="str">
        <x:v>byte</x:v>
      </x:c>
      <x:c r="B331" s="22" t="str">
        <x:v>329</x:v>
      </x:c>
      <x:c r="C331" s="22" t="str">
        <x:v>item/name</x:v>
      </x:c>
      <x:c r="D331" s="21" t="str">
        <x:v>バリアウィップ</x:v>
      </x:c>
      <x:c r="E331" s="19" t="str">
        <x:v>Barrier Whip</x:v>
      </x:c>
      <x:c r="F331" s="20" t="str"/>
      <x:c r="G331" s="20" t="str"/>
      <x:c r="H331" s="23" t="str">
        <x:v>27 42 53 53 4A 46 53 01 39 49 4A 51</x:v>
      </x:c>
    </x:row>
    <x:row r="332">
      <x:c r="A332" s="22" t="str">
        <x:v>byte</x:v>
      </x:c>
      <x:c r="B332" s="22" t="str">
        <x:v>330</x:v>
      </x:c>
      <x:c r="C332" s="22" t="str">
        <x:v>item/name</x:v>
      </x:c>
      <x:c r="D332" s="21" t="str">
        <x:v>スノウウィップ</x:v>
      </x:c>
      <x:c r="E332" s="19" t="str">
        <x:v>Snow Whip</x:v>
      </x:c>
      <x:c r="F332" s="20" t="str"/>
      <x:c r="G332" s="20" t="str"/>
      <x:c r="H332" s="23" t="str">
        <x:v>0D 4F 50 58 01 39 49 4A 51</x:v>
      </x:c>
    </x:row>
    <x:row r="333">
      <x:c r="A333" s="22" t="str">
        <x:v>byte</x:v>
      </x:c>
      <x:c r="B333" s="22" t="str">
        <x:v>331</x:v>
      </x:c>
      <x:c r="C333" s="22" t="str">
        <x:v>item/name</x:v>
      </x:c>
      <x:c r="D333" s="21" t="str">
        <x:v>ビザ</x:v>
      </x:c>
      <x:c r="E333" s="19" t="str">
        <x:v>Visa</x:v>
      </x:c>
      <x:c r="F333" s="20" t="str"/>
      <x:c r="G333" s="20" t="str"/>
      <x:c r="H333" s="23" t="str">
        <x:v>38 4A 54 42</x:v>
      </x:c>
    </x:row>
    <x:row r="334">
      <x:c r="A334" s="22" t="str">
        <x:v>byte</x:v>
      </x:c>
      <x:c r="B334" s="22" t="str">
        <x:v>332</x:v>
      </x:c>
      <x:c r="C334" s="22" t="str">
        <x:v>item/name</x:v>
      </x:c>
      <x:c r="D334" s="21" t="str">
        <x:v>くろいかぎ</x:v>
      </x:c>
      <x:c r="E334" s="19" t="str">
        <x:v>Black Key</x:v>
      </x:c>
      <x:c r="F334" s="20" t="str"/>
      <x:c r="G334" s="20" t="str"/>
      <x:c r="H334" s="23" t="str">
        <x:v>27 4D 42 44 4C 01 30 46 5A</x:v>
      </x:c>
    </x:row>
    <x:row r="335">
      <x:c r="A335" s="22" t="str">
        <x:v>byte</x:v>
      </x:c>
      <x:c r="B335" s="22" t="str">
        <x:v>333</x:v>
      </x:c>
      <x:c r="C335" s="22" t="str">
        <x:v>item/name</x:v>
      </x:c>
      <x:c r="D335" s="21" t="str">
        <x:v>すいどうのかぎ</x:v>
      </x:c>
      <x:c r="E335" s="19" t="str">
        <x:v>Waterway Key</x:v>
      </x:c>
      <x:c r="F335" s="20" t="str"/>
      <x:c r="G335" s="20" t="str"/>
      <x:c r="H335" s="23" t="str">
        <x:v>39 42 55 46 53 58 42 5A 01 30 46 5A</x:v>
      </x:c>
    </x:row>
    <x:row r="336">
      <x:c r="A336" s="22" t="str">
        <x:v>byte</x:v>
      </x:c>
      <x:c r="B336" s="22" t="str">
        <x:v>334</x:v>
      </x:c>
      <x:c r="C336" s="22" t="str">
        <x:v>item/name</x:v>
      </x:c>
      <x:c r="D336" s="21" t="str">
        <x:v>にゅうじょうけん</x:v>
      </x:c>
      <x:c r="E336" s="19" t="str">
        <x:v>Admission Ticket</x:v>
      </x:c>
      <x:c r="F336" s="20" t="str"/>
      <x:c r="G336" s="20" t="str"/>
      <x:c r="H336" s="23" t="str">
        <x:v>26 45 4E 4A 54 54 4A 50 4F 01 36 4A 44 4C 46 55</x:v>
      </x:c>
    </x:row>
    <x:row r="337">
      <x:c r="A337" s="22" t="str">
        <x:v>byte</x:v>
      </x:c>
      <x:c r="B337" s="22" t="str">
        <x:v>335</x:v>
      </x:c>
      <x:c r="C337" s="22" t="str">
        <x:v>item/name</x:v>
      </x:c>
      <x:c r="D337" s="21" t="str">
        <x:v>ケーブルのきっぷ</x:v>
      </x:c>
      <x:c r="E337" s="19" t="str">
        <x:v>Cable Ticket</x:v>
      </x:c>
      <x:c r="F337" s="20" t="str"/>
      <x:c r="G337" s="20" t="str"/>
      <x:c r="H337" s="23" t="str">
        <x:v>28 42 43 4D 46 01 36 4A 44 4C 46 55</x:v>
      </x:c>
    </x:row>
    <x:row r="338">
      <x:c r="A338" s="22" t="str">
        <x:v>byte</x:v>
      </x:c>
      <x:c r="B338" s="22" t="str">
        <x:v>336</x:v>
      </x:c>
      <x:c r="C338" s="22" t="str">
        <x:v>item/name</x:v>
      </x:c>
      <x:c r="D338" s="21" t="str">
        <x:v>バロンくん4</x:v>
      </x:c>
      <x:c r="E338" s="19" t="str">
        <x:v>Baron-kun 4</x:v>
      </x:c>
      <x:c r="F338" s="20" t="str"/>
      <x:c r="G338" s="20" t="str"/>
      <x:c r="H338" s="23" t="str">
        <x:v>27 42 53 50 4F 1C 4C 56 4F 01 06</x:v>
      </x:c>
    </x:row>
    <x:row r="339">
      <x:c r="A339" s="22" t="str">
        <x:v>byte</x:v>
      </x:c>
      <x:c r="B339" s="22" t="str">
        <x:v>337</x:v>
      </x:c>
      <x:c r="C339" s="22" t="str">
        <x:v>item/name</x:v>
      </x:c>
      <x:c r="D339" s="21" t="str">
        <x:v>うえきばさみ</x:v>
      </x:c>
      <x:c r="E339" s="19" t="str">
        <x:v>Pruning Shears</x:v>
      </x:c>
      <x:c r="F339" s="20" t="str"/>
      <x:c r="G339" s="20" t="str"/>
      <x:c r="H339" s="23" t="str">
        <x:v>0E 53 56 4F 4A 4F 48 01 0D 49 46 42 53 54</x:v>
      </x:c>
    </x:row>
    <x:row r="340">
      <x:c r="A340" s="22" t="str">
        <x:v>byte</x:v>
      </x:c>
      <x:c r="B340" s="22" t="str">
        <x:v>338</x:v>
      </x:c>
      <x:c r="C340" s="22" t="str">
        <x:v>item/name</x:v>
      </x:c>
      <x:c r="D340" s="21" t="str">
        <x:v>あおいかぎ</x:v>
      </x:c>
      <x:c r="E340" s="19" t="str">
        <x:v>Blue Key</x:v>
      </x:c>
      <x:c r="F340" s="20" t="str"/>
      <x:c r="G340" s="20" t="str"/>
      <x:c r="H340" s="23" t="str">
        <x:v>27 4D 56 46 01 30 46 5A</x:v>
      </x:c>
    </x:row>
    <x:row r="341">
      <x:c r="A341" s="22" t="str">
        <x:v>byte</x:v>
      </x:c>
      <x:c r="B341" s="22" t="str">
        <x:v>339</x:v>
      </x:c>
      <x:c r="C341" s="22" t="str">
        <x:v>item/name</x:v>
      </x:c>
      <x:c r="D341" s="21" t="str">
        <x:v>あかいかぎ</x:v>
      </x:c>
      <x:c r="E341" s="19" t="str">
        <x:v>Red Key</x:v>
      </x:c>
      <x:c r="F341" s="20" t="str"/>
      <x:c r="G341" s="20" t="str"/>
      <x:c r="H341" s="23" t="str">
        <x:v>35 46 45 01 30 46 5A</x:v>
      </x:c>
    </x:row>
    <x:row r="342">
      <x:c r="A342" s="22" t="str">
        <x:v>byte</x:v>
      </x:c>
      <x:c r="B342" s="22" t="str">
        <x:v>340</x:v>
      </x:c>
      <x:c r="C342" s="22" t="str">
        <x:v>item/name</x:v>
      </x:c>
      <x:c r="D342" s="21" t="str">
        <x:v>バロンのめ</x:v>
      </x:c>
      <x:c r="E342" s="19" t="str">
        <x:v>Baron's Eye</x:v>
      </x:c>
      <x:c r="F342" s="20" t="str"/>
      <x:c r="G342" s="20" t="str"/>
      <x:c r="H342" s="23" t="str">
        <x:v>27 42 53 50 4F 16 54 01 2A 5A 46</x:v>
      </x:c>
    </x:row>
    <x:row r="343">
      <x:c r="A343" s="22" t="str">
        <x:v>byte</x:v>
      </x:c>
      <x:c r="B343" s="22" t="str">
        <x:v>341</x:v>
      </x:c>
      <x:c r="C343" s="22" t="str">
        <x:v>item/name</x:v>
      </x:c>
      <x:c r="D343" s="21" t="str">
        <x:v>サジクのてがみ</x:v>
      </x:c>
      <x:c r="E343" s="19" t="str">
        <x:v>Sajik's Letter</x:v>
      </x:c>
      <x:c r="F343" s="20" t="str"/>
      <x:c r="G343" s="20" t="str"/>
      <x:c r="H343" s="23" t="str">
        <x:v>0D 42 4B 4A 4C 16 54 01 0C 46 55 55 46 53</x:v>
      </x:c>
    </x:row>
    <x:row r="344">
      <x:c r="A344" s="22" t="str">
        <x:v>byte</x:v>
      </x:c>
      <x:c r="B344" s="22" t="str">
        <x:v>342</x:v>
      </x:c>
      <x:c r="C344" s="22" t="str">
        <x:v>item/name</x:v>
      </x:c>
      <x:c r="D344" s="21" t="str">
        <x:v>せきばん</x:v>
      </x:c>
      <x:c r="E344" s="19" t="str">
        <x:v>Stone Tablet</x:v>
      </x:c>
      <x:c r="F344" s="20" t="str"/>
      <x:c r="G344" s="20" t="str"/>
      <x:c r="H344" s="23" t="str">
        <x:v>0D 55 50 4F 46 01 36 42 43 4D 46 55</x:v>
      </x:c>
    </x:row>
    <x:row r="345">
      <x:c r="A345" s="22" t="str">
        <x:v>byte</x:v>
      </x:c>
      <x:c r="B345" s="22" t="str">
        <x:v>343</x:v>
      </x:c>
      <x:c r="C345" s="22" t="str">
        <x:v>item/name</x:v>
      </x:c>
      <x:c r="D345" s="21" t="str">
        <x:v>まものエキス</x:v>
      </x:c>
      <x:c r="E345" s="19" t="str">
        <x:v>Monster Extract</x:v>
      </x:c>
      <x:c r="F345" s="20" t="str"/>
      <x:c r="G345" s="20" t="str"/>
      <x:c r="H345" s="23" t="str">
        <x:v>31 50 4F 54 55 46 53 01 2A 59 55 53 42 44 55</x:v>
      </x:c>
    </x:row>
    <x:row r="346">
      <x:c r="A346" s="22" t="str">
        <x:v>byte</x:v>
      </x:c>
      <x:c r="B346" s="22" t="str">
        <x:v>344</x:v>
      </x:c>
      <x:c r="C346" s="22" t="str">
        <x:v>item/name</x:v>
      </x:c>
      <x:c r="D346" s="21" t="str">
        <x:v>こだいのほん</x:v>
      </x:c>
      <x:c r="E346" s="19" t="str">
        <x:v>Ancient Book</x:v>
      </x:c>
      <x:c r="F346" s="20" t="str"/>
      <x:c r="G346" s="20" t="str"/>
      <x:c r="H346" s="23" t="str">
        <x:v>26 4F 44 4A 46 4F 55 01 27 50 50 4C</x:v>
      </x:c>
    </x:row>
    <x:row r="347">
      <x:c r="A347" s="22" t="str">
        <x:v>byte</x:v>
      </x:c>
      <x:c r="B347" s="22" t="str">
        <x:v>345</x:v>
      </x:c>
      <x:c r="C347" s="22" t="str">
        <x:v>item/name</x:v>
      </x:c>
      <x:c r="D347" s="21" t="str">
        <x:v>ホワイトボール</x:v>
      </x:c>
      <x:c r="E347" s="19" t="str">
        <x:v>White Ball</x:v>
      </x:c>
      <x:c r="F347" s="20" t="str"/>
      <x:c r="G347" s="20" t="str"/>
      <x:c r="H347" s="23" t="str">
        <x:v>39 49 4A 55 46 01 27 42 4D 4D</x:v>
      </x:c>
    </x:row>
    <x:row r="348">
      <x:c r="A348" s="22" t="str">
        <x:v>byte</x:v>
      </x:c>
      <x:c r="B348" s="22" t="str">
        <x:v>346</x:v>
      </x:c>
      <x:c r="C348" s="22" t="str">
        <x:v>item/name</x:v>
      </x:c>
      <x:c r="D348" s="21" t="str">
        <x:v>ブラックボール</x:v>
      </x:c>
      <x:c r="E348" s="19" t="str">
        <x:v>Black Ball</x:v>
      </x:c>
      <x:c r="F348" s="20" t="str"/>
      <x:c r="G348" s="20" t="str"/>
      <x:c r="H348" s="23" t="str">
        <x:v>27 4D 42 44 4C 01 27 42 4D 4D</x:v>
      </x:c>
    </x:row>
    <x:row r="349">
      <x:c r="A349" s="22" t="str">
        <x:v>byte</x:v>
      </x:c>
      <x:c r="B349" s="22" t="str">
        <x:v>347</x:v>
      </x:c>
      <x:c r="C349" s="22" t="str">
        <x:v>item/name</x:v>
      </x:c>
      <x:c r="D349" s="21" t="str">
        <x:v>ラムスのぞう</x:v>
      </x:c>
      <x:c r="E349" s="19" t="str">
        <x:v>Ramus Statue</x:v>
      </x:c>
      <x:c r="F349" s="20" t="str"/>
      <x:c r="G349" s="20" t="str"/>
      <x:c r="H349" s="23" t="str">
        <x:v>35 42 4E 56 54 01 0D 55 42 55 56 46</x:v>
      </x:c>
    </x:row>
    <x:row r="350">
      <x:c r="A350" s="22" t="str">
        <x:v>byte</x:v>
      </x:c>
      <x:c r="B350" s="22" t="str">
        <x:v>348</x:v>
      </x:c>
      <x:c r="C350" s="22" t="str">
        <x:v>item/name</x:v>
      </x:c>
      <x:c r="D350" s="21" t="str">
        <x:v>ふるいちず</x:v>
      </x:c>
      <x:c r="E350" s="19" t="str">
        <x:v>Old Map</x:v>
      </x:c>
      <x:c r="F350" s="20" t="str"/>
      <x:c r="G350" s="20" t="str"/>
      <x:c r="H350" s="23" t="str">
        <x:v>33 4D 45 01 31 42 51</x:v>
      </x:c>
    </x:row>
    <x:row r="351">
      <x:c r="A351" s="22" t="str">
        <x:v>byte</x:v>
      </x:c>
      <x:c r="B351" s="22" t="str">
        <x:v>349</x:v>
      </x:c>
      <x:c r="C351" s="22" t="str">
        <x:v>item/name</x:v>
      </x:c>
      <x:c r="D351" s="21" t="str">
        <x:v>ふるいじゅうたん</x:v>
      </x:c>
      <x:c r="E351" s="19" t="str">
        <x:v>Old Carpet</x:v>
      </x:c>
      <x:c r="F351" s="20" t="str"/>
      <x:c r="G351" s="20" t="str"/>
      <x:c r="H351" s="23" t="str">
        <x:v>33 4D 45 01 28 42 53 51 46 55</x:v>
      </x:c>
    </x:row>
    <x:row r="352">
      <x:c r="A352" s="22" t="str">
        <x:v>byte</x:v>
      </x:c>
      <x:c r="B352" s="22" t="str">
        <x:v>350</x:v>
      </x:c>
      <x:c r="C352" s="22" t="str">
        <x:v>item/name</x:v>
      </x:c>
      <x:c r="D352" s="21" t="str">
        <x:v>まほうじゅうたん</x:v>
      </x:c>
      <x:c r="E352" s="19" t="str">
        <x:v>Magic Carpet</x:v>
      </x:c>
      <x:c r="F352" s="20" t="str"/>
      <x:c r="G352" s="20" t="str"/>
      <x:c r="H352" s="23" t="str">
        <x:v>31 42 48 4A 44 01 28 42 53 51 46 55</x:v>
      </x:c>
    </x:row>
    <x:row r="353">
      <x:c r="A353" s="22" t="str">
        <x:v>byte</x:v>
      </x:c>
      <x:c r="B353" s="22" t="str">
        <x:v>351</x:v>
      </x:c>
      <x:c r="C353" s="22" t="str">
        <x:v>item/name</x:v>
      </x:c>
      <x:c r="D353" s="21" t="str">
        <x:v>こおりのかぎ</x:v>
      </x:c>
      <x:c r="E353" s="19" t="str">
        <x:v>Ice Key</x:v>
      </x:c>
      <x:c r="F353" s="20" t="str"/>
      <x:c r="G353" s="20" t="str"/>
      <x:c r="H353" s="23" t="str">
        <x:v>2E 44 46 01 30 46 5A</x:v>
      </x:c>
    </x:row>
    <x:row r="354">
      <x:c r="A354" s="22" t="str">
        <x:v>word</x:v>
      </x:c>
      <x:c r="B354" s="22" t="str">
        <x:v>0</x:v>
      </x:c>
      <x:c r="C354" s="22" t="str">
        <x:v>dynamic phrase</x:v>
      </x:c>
      <x:c r="D354" s="21" t="str">
        <x:v>お嬢さん</x:v>
      </x:c>
      <x:c r="E354" s="19" t="str">
        <x:v>Miss</x:v>
      </x:c>
      <x:c r="F354" s="20" t="str"/>
      <x:c r="G354" s="20" t="str"/>
      <x:c r="H354" s="23" t="str">
        <x:v>031 04A 054 054 1C0</x:v>
      </x:c>
    </x:row>
    <x:row r="355">
      <x:c r="A355" s="22" t="str">
        <x:v>word</x:v>
      </x:c>
      <x:c r="B355" s="22" t="str">
        <x:v>1</x:v>
      </x:c>
      <x:c r="C355" s="22" t="str">
        <x:v>dynamic phrase</x:v>
      </x:c>
      <x:c r="D355" s="21" t="str">
        <x:v>おニイさん</x:v>
      </x:c>
      <x:c r="E355" s="19" t="str">
        <x:v>Mister</x:v>
      </x:c>
      <x:c r="F355" s="20" t="str"/>
      <x:c r="G355" s="20" t="str"/>
      <x:c r="H355" s="23" t="str">
        <x:v>031 04A 054 055 046 053 1C0</x:v>
      </x:c>
    </x:row>
    <x:row r="356">
      <x:c r="A356" s="22" t="str">
        <x:v>word</x:v>
      </x:c>
      <x:c r="B356" s="22" t="str">
        <x:v>2</x:v>
      </x:c>
      <x:c r="C356" s="22" t="str">
        <x:v>dynamic phrase</x:v>
      </x:c>
      <x:c r="D356" s="21" t="str">
        <x:v>おじいさん</x:v>
      </x:c>
      <x:c r="E356" s="19" t="str">
        <x:v>Old-timer</x:v>
      </x:c>
      <x:c r="F356" s="20" t="str"/>
      <x:c r="G356" s="20" t="str"/>
      <x:c r="H356" s="23" t="str">
        <x:v>033 04D 045 01C 055 04A 04E 046 053 1C0</x:v>
      </x:c>
    </x:row>
    <x:row r="357">
      <x:c r="A357" s="22" t="str">
        <x:v>word</x:v>
      </x:c>
      <x:c r="B357" s="22" t="str">
        <x:v>3</x:v>
      </x:c>
      <x:c r="C357" s="22" t="str">
        <x:v>dynamic phrase</x:v>
      </x:c>
      <x:c r="D357" s="21" t="str">
        <x:v>お嬢ちゃん</x:v>
      </x:c>
      <x:c r="E357" s="19" t="str">
        <x:v>Missy</x:v>
      </x:c>
      <x:c r="F357" s="20" t="str"/>
      <x:c r="G357" s="20" t="str"/>
      <x:c r="H357" s="23" t="str">
        <x:v>031 04A 054 054 05A 1C0</x:v>
      </x:c>
    </x:row>
    <x:row r="358">
      <x:c r="A358" s="22" t="str">
        <x:v>word</x:v>
      </x:c>
      <x:c r="B358" s="22" t="str">
        <x:v>4</x:v>
      </x:c>
      <x:c r="C358" s="22" t="str">
        <x:v>dynamic phrase</x:v>
      </x:c>
      <x:c r="D358" s="21" t="str">
        <x:v>色男</x:v>
      </x:c>
      <x:c r="E358" s="19" t="str">
        <x:v>Handsome</x:v>
      </x:c>
      <x:c r="F358" s="20" t="str"/>
      <x:c r="G358" s="20" t="str"/>
      <x:c r="H358" s="23" t="str">
        <x:v>02D 042 04F 045 054 050 04E 046 1C0</x:v>
      </x:c>
    </x:row>
    <x:row r="359">
      <x:c r="A359" s="22" t="str">
        <x:v>word</x:v>
      </x:c>
      <x:c r="B359" s="22" t="str">
        <x:v>5</x:v>
      </x:c>
      <x:c r="C359" s="22" t="str">
        <x:v>dynamic phrase</x:v>
      </x:c>
      <x:c r="D359" s="21" t="str">
        <x:v>じいさん</x:v>
      </x:c>
      <x:c r="E359" s="19" t="str">
        <x:v>Old man</x:v>
      </x:c>
      <x:c r="F359" s="20" t="str"/>
      <x:c r="G359" s="20" t="str"/>
      <x:c r="H359" s="23" t="str">
        <x:v>033 04D 045 001 04E 042 04F 1C0</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3.75" hidden="0" customWidth="1"/>
    <x:col min="2" max="2" width="15" hidden="0" customWidth="1"/>
    <x:col min="3" max="3" width="15" hidden="0" customWidth="1"/>
    <x:col min="4" max="4" width="27.5" hidden="0" customWidth="1"/>
    <x:col min="5" max="5" width="18.75" hidden="0" customWidth="1"/>
  </x:cols>
  <x:sheetData>
    <x:row r="1" ht="25.5" customHeight="1">
      <x:c r="A1" s="27" t="str">
        <x:v>Lady Stalker Japanese Glyph Corrections — 2026-08-19</x:v>
      </x:c>
      <x:c r="B1" s="27"/>
      <x:c r="C1" s="27"/>
      <x:c r="D1" s="27"/>
      <x:c r="E1" s="27"/>
    </x:row>
    <x:row r="3" ht="36" customHeight="1">
      <x:c r="A3" s="31" t="str">
        <x:v>Eleven low-resolution font glyphs were relabeled. Raw ROM symbols, message IDs, controls, English references, and row alignment are unchanged. The corrections affect 77 dialogue rows and no lookup rows.</x:v>
      </x:c>
      <x:c r="B3" s="31"/>
      <x:c r="C3" s="31"/>
      <x:c r="D3" s="31"/>
      <x:c r="E3" s="31"/>
    </x:row>
    <x:row r="5" ht="24" customHeight="1">
      <x:c r="A5" s="35" t="str">
        <x:v>Glyph ID</x:v>
      </x:c>
      <x:c r="B5" s="35" t="str">
        <x:v>Previous label</x:v>
      </x:c>
      <x:c r="C5" s="35" t="str">
        <x:v>Correct label</x:v>
      </x:c>
      <x:c r="D5" s="35" t="str">
        <x:v>Representative reading</x:v>
      </x:c>
      <x:c r="E5" s="35" t="str">
        <x:v>Dialogue occurrences</x:v>
      </x:c>
    </x:row>
    <x:row r="6" ht="19.5" customHeight="1">
      <x:c r="A6" s="55" t="str">
        <x:f>"0x0A7"</x:f>
        <x:v>0x0A7</x:v>
      </x:c>
      <x:c r="B6" s="61" t="str">
        <x:v>昔</x:v>
      </x:c>
      <x:c r="C6" s="61" t="str">
        <x:v>者</x:v>
      </x:c>
      <x:c r="D6" s="62" t="str">
        <x:v>学者</x:v>
      </x:c>
      <x:c r="E6" s="67" t="n">
        <x:v>33</x:v>
      </x:c>
    </x:row>
    <x:row r="7" ht="19.5" customHeight="1">
      <x:c r="A7" s="57" t="str">
        <x:f>"0x0B1"</x:f>
        <x:v>0x0B1</x:v>
      </x:c>
      <x:c r="B7" s="63" t="str">
        <x:v>行</x:v>
      </x:c>
      <x:c r="C7" s="63" t="str">
        <x:v>動</x:v>
      </x:c>
      <x:c r="D7" s="64" t="str">
        <x:v>自動</x:v>
      </x:c>
      <x:c r="E7" s="68" t="n">
        <x:v>31</x:v>
      </x:c>
    </x:row>
    <x:row r="8" ht="19.5" customHeight="1">
      <x:c r="A8" s="57" t="str">
        <x:f>"0x0BA"</x:f>
        <x:v>0x0BA</x:v>
      </x:c>
      <x:c r="B8" s="63" t="str">
        <x:v>言</x:v>
      </x:c>
      <x:c r="C8" s="63" t="str">
        <x:v>冒</x:v>
      </x:c>
      <x:c r="D8" s="64" t="str">
        <x:v>冒険</x:v>
      </x:c>
      <x:c r="E8" s="68" t="n">
        <x:v>7</x:v>
      </x:c>
    </x:row>
    <x:row r="9" ht="19.5" customHeight="1">
      <x:c r="A9" s="57" t="str">
        <x:f>"0x104"</x:f>
        <x:v>0x104</x:v>
      </x:c>
      <x:c r="B9" s="63" t="str">
        <x:v>苦</x:v>
      </x:c>
      <x:c r="C9" s="63" t="str">
        <x:v>昔</x:v>
      </x:c>
      <x:c r="D9" s="64" t="str">
        <x:v>はるか昔</x:v>
      </x:c>
      <x:c r="E9" s="68" t="n">
        <x:v>2</x:v>
      </x:c>
    </x:row>
    <x:row r="10" ht="19.5" customHeight="1">
      <x:c r="A10" s="57" t="str">
        <x:f>"0x119"</x:f>
        <x:v>0x119</x:v>
      </x:c>
      <x:c r="B10" s="63" t="str">
        <x:v>落</x:v>
      </x:c>
      <x:c r="C10" s="63" t="str">
        <x:v>溶</x:v>
      </x:c>
      <x:c r="D10" s="64" t="str">
        <x:v>溶岩</x:v>
      </x:c>
      <x:c r="E10" s="68" t="n">
        <x:v>8</x:v>
      </x:c>
    </x:row>
    <x:row r="11" ht="19.5" customHeight="1">
      <x:c r="A11" s="57" t="str">
        <x:f>"0x13C"</x:f>
        <x:v>0x13C</x:v>
      </x:c>
      <x:c r="B11" s="63" t="str">
        <x:v>土</x:v>
      </x:c>
      <x:c r="C11" s="63" t="str">
        <x:v>士</x:v>
      </x:c>
      <x:c r="D11" s="64" t="str">
        <x:v>兵士</x:v>
      </x:c>
      <x:c r="E11" s="68" t="n">
        <x:v>3</x:v>
      </x:c>
    </x:row>
    <x:row r="12" ht="19.5" customHeight="1">
      <x:c r="A12" s="57" t="str">
        <x:f>"0x143"</x:f>
        <x:v>0x143</x:v>
      </x:c>
      <x:c r="B12" s="63" t="str">
        <x:v>営</x:v>
      </x:c>
      <x:c r="C12" s="63" t="str">
        <x:v>管</x:v>
      </x:c>
      <x:c r="D12" s="64" t="str">
        <x:v>水道管</x:v>
      </x:c>
      <x:c r="E12" s="68" t="n">
        <x:v>2</x:v>
      </x:c>
    </x:row>
    <x:row r="13" ht="19.5" customHeight="1">
      <x:c r="A13" s="57" t="str">
        <x:f>"0x14D"</x:f>
        <x:v>0x14D</x:v>
      </x:c>
      <x:c r="B13" s="63" t="str">
        <x:v>寝</x:v>
      </x:c>
      <x:c r="C13" s="63" t="str">
        <x:v>侵</x:v>
      </x:c>
      <x:c r="D13" s="64" t="str">
        <x:v>侵入</x:v>
      </x:c>
      <x:c r="E13" s="68" t="n">
        <x:v>7</x:v>
      </x:c>
    </x:row>
    <x:row r="14" ht="19.5" customHeight="1">
      <x:c r="A14" s="57" t="str">
        <x:f>"0x16D"</x:f>
        <x:v>0x16D</x:v>
      </x:c>
      <x:c r="B14" s="63" t="str">
        <x:v>刻</x:v>
      </x:c>
      <x:c r="C14" s="63" t="str">
        <x:v>剣</x:v>
      </x:c>
      <x:c r="D14" s="64" t="str">
        <x:v>剣のけいこ</x:v>
      </x:c>
      <x:c r="E14" s="68" t="n">
        <x:v>2</x:v>
      </x:c>
    </x:row>
    <x:row r="15" ht="19.5" customHeight="1">
      <x:c r="A15" s="57" t="str">
        <x:f>"0x1A5"</x:f>
        <x:v>0x1A5</x:v>
      </x:c>
      <x:c r="B15" s="63" t="str">
        <x:v>続</x:v>
      </x:c>
      <x:c r="C15" s="63" t="str">
        <x:v>継</x:v>
      </x:c>
      <x:c r="D15" s="64" t="str">
        <x:v>後継者</x:v>
      </x:c>
      <x:c r="E15" s="68" t="n">
        <x:v>12</x:v>
      </x:c>
    </x:row>
    <x:row r="16" ht="19.5" customHeight="1">
      <x:c r="A16" s="59" t="str">
        <x:f>"0x1B4"</x:f>
        <x:v>0x1B4</x:v>
      </x:c>
      <x:c r="B16" s="65" t="str">
        <x:v>士</x:v>
      </x:c>
      <x:c r="C16" s="65" t="str">
        <x:v>土</x:v>
      </x:c>
      <x:c r="D16" s="66" t="str">
        <x:v>領土</x:v>
      </x:c>
      <x:c r="E16" s="69" t="n">
        <x:v>1</x:v>
      </x:c>
    </x:row>
  </x:sheetData>
  <x:mergeCells>
    <x:mergeCell ref="A1:E1"/>
    <x:mergeCell ref="A3:E3"/>
  </x:mergeCells>
  <x:pageMargins left="0.7" right="0.7" top="0.75" bottom="0.75" header="0.3" footer="0.3"/>
</x:worksheet>
</file>